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ml.chartshapes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ml.chartshapes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ml.chartsha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 sets\Portfolio rojects\"/>
    </mc:Choice>
  </mc:AlternateContent>
  <xr:revisionPtr revIDLastSave="0" documentId="8_{260A6F0B-F62D-40FB-97F9-76B16E5BD568}" xr6:coauthVersionLast="47" xr6:coauthVersionMax="47" xr10:uidLastSave="{00000000-0000-0000-0000-000000000000}"/>
  <bookViews>
    <workbookView xWindow="-120" yWindow="-120" windowWidth="29040" windowHeight="15720" xr2:uid="{BEEAC878-BBC8-43BF-AF37-5867F6032F4D}"/>
  </bookViews>
  <sheets>
    <sheet name="DashBoard" sheetId="36" r:id="rId1"/>
    <sheet name="Best Value by Brand" sheetId="30" r:id="rId2"/>
    <sheet name="Top 10 Phone by Value" sheetId="33" r:id="rId3"/>
    <sheet name="Chipset Value ranking" sheetId="34" r:id="rId4"/>
    <sheet name="Trend Line" sheetId="38" r:id="rId5"/>
    <sheet name="Mobile Dataset Cleaned (PQ)" sheetId="29" r:id="rId6"/>
    <sheet name="Mobiles Dataset (2025) main" sheetId="3" r:id="rId7"/>
    <sheet name="Mobiles Dataset (2025) raw" sheetId="2" r:id="rId8"/>
  </sheets>
  <definedNames>
    <definedName name="ExternalData_1" localSheetId="6" hidden="1">'Mobiles Dataset (2025) main'!$A:$S</definedName>
  </definedNames>
  <calcPr calcId="191029"/>
  <pivotCaches>
    <pivotCache cacheId="18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29" l="1"/>
  <c r="R3" i="29"/>
  <c r="R4" i="29"/>
  <c r="R5" i="29"/>
  <c r="R6" i="29"/>
  <c r="R7" i="29"/>
  <c r="R8" i="29"/>
  <c r="R9" i="29"/>
  <c r="R10" i="29"/>
  <c r="R11" i="29"/>
  <c r="R12" i="29"/>
  <c r="R13" i="29"/>
  <c r="R14" i="29"/>
  <c r="R15" i="29"/>
  <c r="R16" i="29"/>
  <c r="R17" i="29"/>
  <c r="R18" i="29"/>
  <c r="R19" i="29"/>
  <c r="R20" i="29"/>
  <c r="R21" i="29"/>
  <c r="R22" i="29"/>
  <c r="R23" i="29"/>
  <c r="R24" i="29"/>
  <c r="R25" i="29"/>
  <c r="R26" i="29"/>
  <c r="R27" i="29"/>
  <c r="R28" i="29"/>
  <c r="R29" i="29"/>
  <c r="R30" i="29"/>
  <c r="R31" i="29"/>
  <c r="R32" i="29"/>
  <c r="R33" i="29"/>
  <c r="R34" i="29"/>
  <c r="R35" i="29"/>
  <c r="R36" i="29"/>
  <c r="R37" i="29"/>
  <c r="R38" i="29"/>
  <c r="R39" i="29"/>
  <c r="R40" i="29"/>
  <c r="R41" i="29"/>
  <c r="R42" i="29"/>
  <c r="R43" i="29"/>
  <c r="R44" i="29"/>
  <c r="R45" i="29"/>
  <c r="R46" i="29"/>
  <c r="R47" i="29"/>
  <c r="R48" i="29"/>
  <c r="R49" i="29"/>
  <c r="R50" i="29"/>
  <c r="R51" i="29"/>
  <c r="R52" i="29"/>
  <c r="R53" i="29"/>
  <c r="R54" i="29"/>
  <c r="R55" i="29"/>
  <c r="R56" i="29"/>
  <c r="R57" i="29"/>
  <c r="R58" i="29"/>
  <c r="R59" i="29"/>
  <c r="R60" i="29"/>
  <c r="R61" i="29"/>
  <c r="R62" i="29"/>
  <c r="R63" i="29"/>
  <c r="R64" i="29"/>
  <c r="R65" i="29"/>
  <c r="R66" i="29"/>
  <c r="R67" i="29"/>
  <c r="R68" i="29"/>
  <c r="R69" i="29"/>
  <c r="R70" i="29"/>
  <c r="R71" i="29"/>
  <c r="R72" i="29"/>
  <c r="R73" i="29"/>
  <c r="R74" i="29"/>
  <c r="R75" i="29"/>
  <c r="R76" i="29"/>
  <c r="R77" i="29"/>
  <c r="R78" i="29"/>
  <c r="R79" i="29"/>
  <c r="R80" i="29"/>
  <c r="R81" i="29"/>
  <c r="R82" i="29"/>
  <c r="R83" i="29"/>
  <c r="R84" i="29"/>
  <c r="R85" i="29"/>
  <c r="R86" i="29"/>
  <c r="R87" i="29"/>
  <c r="R88" i="29"/>
  <c r="R89" i="29"/>
  <c r="R90" i="29"/>
  <c r="R91" i="29"/>
  <c r="R92" i="29"/>
  <c r="R93" i="29"/>
  <c r="R94" i="29"/>
  <c r="R95" i="29"/>
  <c r="R96" i="29"/>
  <c r="R97" i="29"/>
  <c r="R98" i="29"/>
  <c r="R99" i="29"/>
  <c r="R100" i="29"/>
  <c r="R101" i="29"/>
  <c r="R102" i="29"/>
  <c r="R103" i="29"/>
  <c r="R104" i="29"/>
  <c r="R105" i="29"/>
  <c r="R106" i="29"/>
  <c r="R107" i="29"/>
  <c r="R108" i="29"/>
  <c r="R109" i="29"/>
  <c r="R110" i="29"/>
  <c r="R111" i="29"/>
  <c r="R112" i="29"/>
  <c r="R113" i="29"/>
  <c r="R114" i="29"/>
  <c r="R115" i="29"/>
  <c r="R116" i="29"/>
  <c r="R117" i="29"/>
  <c r="R118" i="29"/>
  <c r="R119" i="29"/>
  <c r="R120" i="29"/>
  <c r="R121" i="29"/>
  <c r="R122" i="29"/>
  <c r="R123" i="29"/>
  <c r="R124" i="29"/>
  <c r="R125" i="29"/>
  <c r="R126" i="29"/>
  <c r="R127" i="29"/>
  <c r="R128" i="29"/>
  <c r="R129" i="29"/>
  <c r="R130" i="29"/>
  <c r="R131" i="29"/>
  <c r="R132" i="29"/>
  <c r="R133" i="29"/>
  <c r="R134" i="29"/>
  <c r="R135" i="29"/>
  <c r="R136" i="29"/>
  <c r="R137" i="29"/>
  <c r="R138" i="29"/>
  <c r="R139" i="29"/>
  <c r="R140" i="29"/>
  <c r="R141" i="29"/>
  <c r="R142" i="29"/>
  <c r="R143" i="29"/>
  <c r="R144" i="29"/>
  <c r="R145" i="29"/>
  <c r="R146" i="29"/>
  <c r="R147" i="29"/>
  <c r="R148" i="29"/>
  <c r="R149" i="29"/>
  <c r="R150" i="29"/>
  <c r="R151" i="29"/>
  <c r="R152" i="29"/>
  <c r="R153" i="29"/>
  <c r="R154" i="29"/>
  <c r="R155" i="29"/>
  <c r="R156" i="29"/>
  <c r="R157" i="29"/>
  <c r="R158" i="29"/>
  <c r="R159" i="29"/>
  <c r="R160" i="29"/>
  <c r="R161" i="29"/>
  <c r="R162" i="29"/>
  <c r="R163" i="29"/>
  <c r="R164" i="29"/>
  <c r="R165" i="29"/>
  <c r="R166" i="29"/>
  <c r="R167" i="29"/>
  <c r="R168" i="29"/>
  <c r="R169" i="29"/>
  <c r="R170" i="29"/>
  <c r="R171" i="29"/>
  <c r="R172" i="29"/>
  <c r="R173" i="29"/>
  <c r="R174" i="29"/>
  <c r="R175" i="29"/>
  <c r="R176" i="29"/>
  <c r="R177" i="29"/>
  <c r="R178" i="29"/>
  <c r="R179" i="29"/>
  <c r="R180" i="29"/>
  <c r="R181" i="29"/>
  <c r="R182" i="29"/>
  <c r="R183" i="29"/>
  <c r="R184" i="29"/>
  <c r="R185" i="29"/>
  <c r="R186" i="29"/>
  <c r="R187" i="29"/>
  <c r="R188" i="29"/>
  <c r="R189" i="29"/>
  <c r="R190" i="29"/>
  <c r="R191" i="29"/>
  <c r="R192" i="29"/>
  <c r="R193" i="29"/>
  <c r="R194" i="29"/>
  <c r="R195" i="29"/>
  <c r="R196" i="29"/>
  <c r="R197" i="29"/>
  <c r="R198" i="29"/>
  <c r="R199" i="29"/>
  <c r="R200" i="29"/>
  <c r="R201" i="29"/>
  <c r="R202" i="29"/>
  <c r="R203" i="29"/>
  <c r="R204" i="29"/>
  <c r="R205" i="29"/>
  <c r="R206" i="29"/>
  <c r="R207" i="29"/>
  <c r="R208" i="29"/>
  <c r="R209" i="29"/>
  <c r="R210" i="29"/>
  <c r="R211" i="29"/>
  <c r="R212" i="29"/>
  <c r="R213" i="29"/>
  <c r="R214" i="29"/>
  <c r="R215" i="29"/>
  <c r="R216" i="29"/>
  <c r="R217" i="29"/>
  <c r="R218" i="29"/>
  <c r="R219" i="29"/>
  <c r="R220" i="29"/>
  <c r="R221" i="29"/>
  <c r="R222" i="29"/>
  <c r="R223" i="29"/>
  <c r="R224" i="29"/>
  <c r="R225" i="29"/>
  <c r="R226" i="29"/>
  <c r="R227" i="29"/>
  <c r="R228" i="29"/>
  <c r="R229" i="29"/>
  <c r="R230" i="29"/>
  <c r="R231" i="29"/>
  <c r="R232" i="29"/>
  <c r="R233" i="29"/>
  <c r="R234" i="29"/>
  <c r="R235" i="29"/>
  <c r="R236" i="29"/>
  <c r="R237" i="29"/>
  <c r="R238" i="29"/>
  <c r="R239" i="29"/>
  <c r="R240" i="29"/>
  <c r="R241" i="29"/>
  <c r="R242" i="29"/>
  <c r="R243" i="29"/>
  <c r="R244" i="29"/>
  <c r="R245" i="29"/>
  <c r="R246" i="29"/>
  <c r="R247" i="29"/>
  <c r="R248" i="29"/>
  <c r="R249" i="29"/>
  <c r="R250" i="29"/>
  <c r="R251" i="29"/>
  <c r="R252" i="29"/>
  <c r="R253" i="29"/>
  <c r="R254" i="29"/>
  <c r="R255" i="29"/>
  <c r="R256" i="29"/>
  <c r="R257" i="29"/>
  <c r="R258" i="29"/>
  <c r="R259" i="29"/>
  <c r="R260" i="29"/>
  <c r="R261" i="29"/>
  <c r="R262" i="29"/>
  <c r="R263" i="29"/>
  <c r="R264" i="29"/>
  <c r="R265" i="29"/>
  <c r="R266" i="29"/>
  <c r="R267" i="29"/>
  <c r="R268" i="29"/>
  <c r="R269" i="29"/>
  <c r="R270" i="29"/>
  <c r="R271" i="29"/>
  <c r="R272" i="29"/>
  <c r="R273" i="29"/>
  <c r="R274" i="29"/>
  <c r="R275" i="29"/>
  <c r="R276" i="29"/>
  <c r="R277" i="29"/>
  <c r="R278" i="29"/>
  <c r="R279" i="29"/>
  <c r="R280" i="29"/>
  <c r="R281" i="29"/>
  <c r="R282" i="29"/>
  <c r="R283" i="29"/>
  <c r="R284" i="29"/>
  <c r="R285" i="29"/>
  <c r="R286" i="29"/>
  <c r="R287" i="29"/>
  <c r="R288" i="29"/>
  <c r="R289" i="29"/>
  <c r="R290" i="29"/>
  <c r="R291" i="29"/>
  <c r="R292" i="29"/>
  <c r="R293" i="29"/>
  <c r="R294" i="29"/>
  <c r="R295" i="29"/>
  <c r="R296" i="29"/>
  <c r="R297" i="29"/>
  <c r="R298" i="29"/>
  <c r="R299" i="29"/>
  <c r="R300" i="29"/>
  <c r="R301" i="29"/>
  <c r="R302" i="29"/>
  <c r="R303" i="29"/>
  <c r="R304" i="29"/>
  <c r="R305" i="29"/>
  <c r="R306" i="29"/>
  <c r="R307" i="29"/>
  <c r="R308" i="29"/>
  <c r="R309" i="29"/>
  <c r="R310" i="29"/>
  <c r="R311" i="29"/>
  <c r="R312" i="29"/>
  <c r="R313" i="29"/>
  <c r="R314" i="29"/>
  <c r="R315" i="29"/>
  <c r="R316" i="29"/>
  <c r="R317" i="29"/>
  <c r="R318" i="29"/>
  <c r="R319" i="29"/>
  <c r="R320" i="29"/>
  <c r="R321" i="29"/>
  <c r="R322" i="29"/>
  <c r="R323" i="29"/>
  <c r="R324" i="29"/>
  <c r="R325" i="29"/>
  <c r="R326" i="29"/>
  <c r="R327" i="29"/>
  <c r="R328" i="29"/>
  <c r="R329" i="29"/>
  <c r="R330" i="29"/>
  <c r="R331" i="29"/>
  <c r="R332" i="29"/>
  <c r="R333" i="29"/>
  <c r="R334" i="29"/>
  <c r="R335" i="29"/>
  <c r="R336" i="29"/>
  <c r="R337" i="29"/>
  <c r="R338" i="29"/>
  <c r="R339" i="29"/>
  <c r="R340" i="29"/>
  <c r="R341" i="29"/>
  <c r="R342" i="29"/>
  <c r="R343" i="29"/>
  <c r="R344" i="29"/>
  <c r="R345" i="29"/>
  <c r="R346" i="29"/>
  <c r="R347" i="29"/>
  <c r="R348" i="29"/>
  <c r="R349" i="29"/>
  <c r="R350" i="29"/>
  <c r="R351" i="29"/>
  <c r="R352" i="29"/>
  <c r="R353" i="29"/>
  <c r="R354" i="29"/>
  <c r="R355" i="29"/>
  <c r="R356" i="29"/>
  <c r="R357" i="29"/>
  <c r="R358" i="29"/>
  <c r="R359" i="29"/>
  <c r="R360" i="29"/>
  <c r="R361" i="29"/>
  <c r="R362" i="29"/>
  <c r="R363" i="29"/>
  <c r="R364" i="29"/>
  <c r="R365" i="29"/>
  <c r="R366" i="29"/>
  <c r="R367" i="29"/>
  <c r="R368" i="29"/>
  <c r="R369" i="29"/>
  <c r="R370" i="29"/>
  <c r="R371" i="29"/>
  <c r="R372" i="29"/>
  <c r="R373" i="29"/>
  <c r="R374" i="29"/>
  <c r="R375" i="29"/>
  <c r="R376" i="29"/>
  <c r="R377" i="29"/>
  <c r="R378" i="29"/>
  <c r="R379" i="29"/>
  <c r="R380" i="29"/>
  <c r="R381" i="29"/>
  <c r="R382" i="29"/>
  <c r="R383" i="29"/>
  <c r="R384" i="29"/>
  <c r="R385" i="29"/>
  <c r="R386" i="29"/>
  <c r="R387" i="29"/>
  <c r="R388" i="29"/>
  <c r="R389" i="29"/>
  <c r="R390" i="29"/>
  <c r="R391" i="29"/>
  <c r="R392" i="29"/>
  <c r="R393" i="29"/>
  <c r="R394" i="29"/>
  <c r="R395" i="29"/>
  <c r="R396" i="29"/>
  <c r="R397" i="29"/>
  <c r="R398" i="29"/>
  <c r="R399" i="29"/>
  <c r="R400" i="29"/>
  <c r="R401" i="29"/>
  <c r="R402" i="29"/>
  <c r="R403" i="29"/>
  <c r="R404" i="29"/>
  <c r="R405" i="29"/>
  <c r="R406" i="29"/>
  <c r="R407" i="29"/>
  <c r="R408" i="29"/>
  <c r="R409" i="29"/>
  <c r="R410" i="29"/>
  <c r="R411" i="29"/>
  <c r="R412" i="29"/>
  <c r="R413" i="29"/>
  <c r="R414" i="29"/>
  <c r="R415" i="29"/>
  <c r="R416" i="29"/>
  <c r="R417" i="29"/>
  <c r="R418" i="29"/>
  <c r="R419" i="29"/>
  <c r="R420" i="29"/>
  <c r="R421" i="29"/>
  <c r="R422" i="29"/>
  <c r="R423" i="29"/>
  <c r="R424" i="29"/>
  <c r="R425" i="29"/>
  <c r="R426" i="29"/>
  <c r="R427" i="29"/>
  <c r="R428" i="29"/>
  <c r="R429" i="29"/>
  <c r="R430" i="29"/>
  <c r="R431" i="29"/>
  <c r="R432" i="29"/>
  <c r="R433" i="29"/>
  <c r="R434" i="29"/>
  <c r="R435" i="29"/>
  <c r="R436" i="29"/>
  <c r="R437" i="29"/>
  <c r="R438" i="29"/>
  <c r="R439" i="29"/>
  <c r="R440" i="29"/>
  <c r="R441" i="29"/>
  <c r="R442" i="29"/>
  <c r="R443" i="29"/>
  <c r="R444" i="29"/>
  <c r="R445" i="29"/>
  <c r="R446" i="29"/>
  <c r="R447" i="29"/>
  <c r="R448" i="29"/>
  <c r="R449" i="29"/>
  <c r="R450" i="29"/>
  <c r="R451" i="29"/>
  <c r="R452" i="29"/>
  <c r="R453" i="29"/>
  <c r="R454" i="29"/>
  <c r="R455" i="29"/>
  <c r="R456" i="29"/>
  <c r="R457" i="29"/>
  <c r="R458" i="29"/>
  <c r="R459" i="29"/>
  <c r="R460" i="29"/>
  <c r="R461" i="29"/>
  <c r="R462" i="29"/>
  <c r="R463" i="29"/>
  <c r="R464" i="29"/>
  <c r="R465" i="29"/>
  <c r="R466" i="29"/>
  <c r="R467" i="29"/>
  <c r="R468" i="29"/>
  <c r="R469" i="29"/>
  <c r="R470" i="29"/>
  <c r="R471" i="29"/>
  <c r="R472" i="29"/>
  <c r="R473" i="29"/>
  <c r="R474" i="29"/>
  <c r="R475" i="29"/>
  <c r="R476" i="29"/>
  <c r="R477" i="29"/>
  <c r="R478" i="29"/>
  <c r="R479" i="29"/>
  <c r="R480" i="29"/>
  <c r="R481" i="29"/>
  <c r="R482" i="29"/>
  <c r="R483" i="29"/>
  <c r="R484" i="29"/>
  <c r="R485" i="29"/>
  <c r="R486" i="29"/>
  <c r="R487" i="29"/>
  <c r="R488" i="29"/>
  <c r="R489" i="29"/>
  <c r="R490" i="29"/>
  <c r="R491" i="29"/>
  <c r="R492" i="29"/>
  <c r="R493" i="29"/>
  <c r="R494" i="29"/>
  <c r="R495" i="29"/>
  <c r="R496" i="29"/>
  <c r="R497" i="29"/>
  <c r="R498" i="29"/>
  <c r="R499" i="29"/>
  <c r="R500" i="29"/>
  <c r="R501" i="29"/>
  <c r="R502" i="29"/>
  <c r="R503" i="29"/>
  <c r="R504" i="29"/>
  <c r="R505" i="29"/>
  <c r="R506" i="29"/>
  <c r="R507" i="29"/>
  <c r="R508" i="29"/>
  <c r="R509" i="29"/>
  <c r="R510" i="29"/>
  <c r="R511" i="29"/>
  <c r="R512" i="29"/>
  <c r="R513" i="29"/>
  <c r="R514" i="29"/>
  <c r="R515" i="29"/>
  <c r="R516" i="29"/>
  <c r="R517" i="29"/>
  <c r="R518" i="29"/>
  <c r="R519" i="29"/>
  <c r="R520" i="29"/>
  <c r="R521" i="29"/>
  <c r="R522" i="29"/>
  <c r="R523" i="29"/>
  <c r="R524" i="29"/>
  <c r="R525" i="29"/>
  <c r="R526" i="29"/>
  <c r="R527" i="29"/>
  <c r="R528" i="29"/>
  <c r="R529" i="29"/>
  <c r="R530" i="29"/>
  <c r="R531" i="29"/>
  <c r="R532" i="29"/>
  <c r="R533" i="29"/>
  <c r="R534" i="29"/>
  <c r="R535" i="29"/>
  <c r="R536" i="29"/>
  <c r="R537" i="29"/>
  <c r="R538" i="29"/>
  <c r="R539" i="29"/>
  <c r="R540" i="29"/>
  <c r="R541" i="29"/>
  <c r="R542" i="29"/>
  <c r="R543" i="29"/>
  <c r="R544" i="29"/>
  <c r="R545" i="29"/>
  <c r="R546" i="29"/>
  <c r="R547" i="29"/>
  <c r="R548" i="29"/>
  <c r="R549" i="29"/>
  <c r="R550" i="29"/>
  <c r="R551" i="29"/>
  <c r="R552" i="29"/>
  <c r="R553" i="29"/>
  <c r="R554" i="29"/>
  <c r="R555" i="29"/>
  <c r="R556" i="29"/>
  <c r="R557" i="29"/>
  <c r="R558" i="29"/>
  <c r="R559" i="29"/>
  <c r="R560" i="29"/>
  <c r="R561" i="29"/>
  <c r="R562" i="29"/>
  <c r="R563" i="29"/>
  <c r="R564" i="29"/>
  <c r="R565" i="29"/>
  <c r="R566" i="29"/>
  <c r="R567" i="29"/>
  <c r="R568" i="29"/>
  <c r="R569" i="29"/>
  <c r="R570" i="29"/>
  <c r="R571" i="29"/>
  <c r="R572" i="29"/>
  <c r="R573" i="29"/>
  <c r="R574" i="29"/>
  <c r="R575" i="29"/>
  <c r="R576" i="29"/>
  <c r="R577" i="29"/>
  <c r="R578" i="29"/>
  <c r="R579" i="29"/>
  <c r="R580" i="29"/>
  <c r="R581" i="29"/>
  <c r="R582" i="29"/>
  <c r="R583" i="29"/>
  <c r="R584" i="29"/>
  <c r="R585" i="29"/>
  <c r="R586" i="29"/>
  <c r="R587" i="29"/>
  <c r="R588" i="29"/>
  <c r="R589" i="29"/>
  <c r="R590" i="29"/>
  <c r="R591" i="29"/>
  <c r="R592" i="29"/>
  <c r="R593" i="29"/>
  <c r="R594" i="29"/>
  <c r="R595" i="29"/>
  <c r="R596" i="29"/>
  <c r="R597" i="29"/>
  <c r="R598" i="29"/>
  <c r="R599" i="29"/>
  <c r="R600" i="29"/>
  <c r="R601" i="29"/>
  <c r="R602" i="29"/>
  <c r="R603" i="29"/>
  <c r="R604" i="29"/>
  <c r="R605" i="29"/>
  <c r="R606" i="29"/>
  <c r="R607" i="29"/>
  <c r="R608" i="29"/>
  <c r="R609" i="29"/>
  <c r="R610" i="29"/>
  <c r="R611" i="29"/>
  <c r="R612" i="29"/>
  <c r="R613" i="29"/>
  <c r="R614" i="29"/>
  <c r="R615" i="29"/>
  <c r="R616" i="29"/>
  <c r="R617" i="29"/>
  <c r="R618" i="29"/>
  <c r="R619" i="29"/>
  <c r="R620" i="29"/>
  <c r="R621" i="29"/>
  <c r="R622" i="29"/>
  <c r="R623" i="29"/>
  <c r="R624" i="29"/>
  <c r="R625" i="29"/>
  <c r="R626" i="29"/>
  <c r="R627" i="29"/>
  <c r="R628" i="29"/>
  <c r="R629" i="29"/>
  <c r="R630" i="29"/>
  <c r="R631" i="29"/>
  <c r="R632" i="29"/>
  <c r="R633" i="29"/>
  <c r="R634" i="29"/>
  <c r="R635" i="29"/>
  <c r="R636" i="29"/>
  <c r="R637" i="29"/>
  <c r="R638" i="29"/>
  <c r="R639" i="29"/>
  <c r="R640" i="29"/>
  <c r="R641" i="29"/>
  <c r="R642" i="29"/>
  <c r="R643" i="29"/>
  <c r="R644" i="29"/>
  <c r="R645" i="29"/>
  <c r="R646" i="29"/>
  <c r="R647" i="29"/>
  <c r="R648" i="29"/>
  <c r="R649" i="29"/>
  <c r="R650" i="29"/>
  <c r="R651" i="29"/>
  <c r="R652" i="29"/>
  <c r="R653" i="29"/>
  <c r="R654" i="29"/>
  <c r="R655" i="29"/>
  <c r="R656" i="29"/>
  <c r="R657" i="29"/>
  <c r="R658" i="29"/>
  <c r="R659" i="29"/>
  <c r="R660" i="29"/>
  <c r="R661" i="29"/>
  <c r="R662" i="29"/>
  <c r="R663" i="29"/>
  <c r="R664" i="29"/>
  <c r="R665" i="29"/>
  <c r="R666" i="29"/>
  <c r="R667" i="29"/>
  <c r="R668" i="29"/>
  <c r="R669" i="29"/>
  <c r="R670" i="29"/>
  <c r="R671" i="29"/>
  <c r="R672" i="29"/>
  <c r="R673" i="29"/>
  <c r="R674" i="29"/>
  <c r="R675" i="29"/>
  <c r="R676" i="29"/>
  <c r="R677" i="29"/>
  <c r="R678" i="29"/>
  <c r="R679" i="29"/>
  <c r="R680" i="29"/>
  <c r="R681" i="29"/>
  <c r="R682" i="29"/>
  <c r="R683" i="29"/>
  <c r="R684" i="29"/>
  <c r="R685" i="29"/>
  <c r="R686" i="29"/>
  <c r="R687" i="29"/>
  <c r="R688" i="29"/>
  <c r="R689" i="29"/>
  <c r="R690" i="29"/>
  <c r="R691" i="29"/>
  <c r="R692" i="29"/>
  <c r="R693" i="29"/>
  <c r="R694" i="29"/>
  <c r="R695" i="29"/>
  <c r="R696" i="29"/>
  <c r="R697" i="29"/>
  <c r="R698" i="29"/>
  <c r="R699" i="29"/>
  <c r="R700" i="29"/>
  <c r="R701" i="29"/>
  <c r="R702" i="29"/>
  <c r="R703" i="29"/>
  <c r="R704" i="29"/>
  <c r="R705" i="29"/>
  <c r="R706" i="29"/>
  <c r="R707" i="29"/>
  <c r="R708" i="29"/>
  <c r="R709" i="29"/>
  <c r="R710" i="29"/>
  <c r="R711" i="29"/>
  <c r="R712" i="29"/>
  <c r="R713" i="29"/>
  <c r="R714" i="29"/>
  <c r="R715" i="29"/>
  <c r="R716" i="29"/>
  <c r="R717" i="29"/>
  <c r="R718" i="29"/>
  <c r="R719" i="29"/>
  <c r="R720" i="29"/>
  <c r="R721" i="29"/>
  <c r="R722" i="29"/>
  <c r="R723" i="29"/>
  <c r="R724" i="29"/>
  <c r="R725" i="29"/>
  <c r="R726" i="29"/>
  <c r="R727" i="29"/>
  <c r="R728" i="29"/>
  <c r="R729" i="29"/>
  <c r="R730" i="29"/>
  <c r="R731" i="29"/>
  <c r="R732" i="29"/>
  <c r="R733" i="29"/>
  <c r="R734" i="29"/>
  <c r="R735" i="29"/>
  <c r="R736" i="29"/>
  <c r="R737" i="29"/>
  <c r="R738" i="29"/>
  <c r="R739" i="29"/>
  <c r="R740" i="29"/>
  <c r="R741" i="29"/>
  <c r="R742" i="29"/>
  <c r="R743" i="29"/>
  <c r="R744" i="29"/>
  <c r="R745" i="29"/>
  <c r="R746" i="29"/>
  <c r="R747" i="29"/>
  <c r="R748" i="29"/>
  <c r="R749" i="29"/>
  <c r="R750" i="29"/>
  <c r="R751" i="29"/>
  <c r="R752" i="29"/>
  <c r="R753" i="29"/>
  <c r="R754" i="29"/>
  <c r="R755" i="29"/>
  <c r="R756" i="29"/>
  <c r="R757" i="29"/>
  <c r="R758" i="29"/>
  <c r="R759" i="29"/>
  <c r="R760" i="29"/>
  <c r="R761" i="29"/>
  <c r="R762" i="29"/>
  <c r="R763" i="29"/>
  <c r="R764" i="29"/>
  <c r="R765" i="29"/>
  <c r="R766" i="29"/>
  <c r="R767" i="29"/>
  <c r="R768" i="29"/>
  <c r="R769" i="29"/>
  <c r="R770" i="29"/>
  <c r="R771" i="29"/>
  <c r="R772" i="29"/>
  <c r="R773" i="29"/>
  <c r="R774" i="29"/>
  <c r="R775" i="29"/>
  <c r="R776" i="29"/>
  <c r="R777" i="29"/>
  <c r="R778" i="29"/>
  <c r="R779" i="29"/>
  <c r="R780" i="29"/>
  <c r="R781" i="29"/>
  <c r="R782" i="29"/>
  <c r="R783" i="29"/>
  <c r="R784" i="29"/>
  <c r="R785" i="29"/>
  <c r="R786" i="29"/>
  <c r="R787" i="29"/>
  <c r="R788" i="29"/>
  <c r="R789" i="29"/>
  <c r="R790" i="29"/>
  <c r="R791" i="29"/>
  <c r="R792" i="29"/>
  <c r="R793" i="29"/>
  <c r="R794" i="29"/>
  <c r="R795" i="29"/>
  <c r="R796" i="29"/>
  <c r="R797" i="29"/>
  <c r="R798" i="29"/>
  <c r="R799" i="29"/>
  <c r="R800" i="29"/>
  <c r="R801" i="29"/>
  <c r="R802" i="29"/>
  <c r="R803" i="29"/>
  <c r="R804" i="29"/>
  <c r="R805" i="29"/>
  <c r="R806" i="29"/>
  <c r="R807" i="29"/>
  <c r="R808" i="29"/>
  <c r="R809" i="29"/>
  <c r="R810" i="29"/>
  <c r="R811" i="29"/>
  <c r="R812" i="29"/>
  <c r="R813" i="29"/>
  <c r="R814" i="29"/>
  <c r="R815" i="29"/>
  <c r="R816" i="29"/>
  <c r="R817" i="29"/>
  <c r="R818" i="29"/>
  <c r="R819" i="29"/>
  <c r="R820" i="29"/>
  <c r="R821" i="29"/>
  <c r="R822" i="29"/>
  <c r="R823" i="29"/>
  <c r="R824" i="29"/>
  <c r="R825" i="29"/>
  <c r="R826" i="29"/>
  <c r="R827" i="29"/>
  <c r="R828" i="29"/>
  <c r="R829" i="29"/>
  <c r="R830" i="29"/>
  <c r="R831" i="29"/>
  <c r="R832" i="29"/>
  <c r="R833" i="29"/>
  <c r="R834" i="29"/>
  <c r="R835" i="29"/>
  <c r="R836" i="29"/>
  <c r="R837" i="29"/>
  <c r="R838" i="29"/>
  <c r="R839" i="29"/>
  <c r="R840" i="29"/>
  <c r="R841" i="29"/>
  <c r="R842" i="29"/>
  <c r="R843" i="29"/>
  <c r="R844" i="29"/>
  <c r="R845" i="29"/>
  <c r="R846" i="29"/>
  <c r="R847" i="29"/>
  <c r="R848" i="29"/>
  <c r="R849" i="29"/>
  <c r="R850" i="29"/>
  <c r="R851" i="29"/>
  <c r="R852" i="29"/>
  <c r="R853" i="29"/>
  <c r="R854" i="29"/>
  <c r="R855" i="29"/>
  <c r="R856" i="29"/>
  <c r="R857" i="29"/>
  <c r="R858" i="29"/>
  <c r="R859" i="29"/>
  <c r="R860" i="29"/>
  <c r="R861" i="29"/>
  <c r="R862" i="29"/>
  <c r="R863" i="29"/>
  <c r="R864" i="29"/>
  <c r="R865" i="29"/>
  <c r="R866" i="29"/>
  <c r="R867" i="29"/>
  <c r="R868" i="29"/>
  <c r="R869" i="29"/>
  <c r="R870" i="29"/>
  <c r="R871" i="29"/>
  <c r="R872" i="29"/>
  <c r="R873" i="29"/>
  <c r="R874" i="29"/>
  <c r="R875" i="29"/>
  <c r="R876" i="29"/>
  <c r="R877" i="29"/>
  <c r="R878" i="29"/>
  <c r="R879" i="29"/>
  <c r="R880" i="29"/>
  <c r="R881" i="29"/>
  <c r="R882" i="29"/>
  <c r="R883" i="29"/>
  <c r="R884" i="29"/>
  <c r="R885" i="29"/>
  <c r="R886" i="29"/>
  <c r="R887" i="29"/>
  <c r="R888" i="29"/>
  <c r="R889" i="29"/>
  <c r="R890" i="29"/>
  <c r="R891" i="29"/>
  <c r="R892" i="29"/>
  <c r="R893" i="29"/>
  <c r="R894" i="29"/>
  <c r="R895" i="29"/>
  <c r="R896" i="29"/>
  <c r="R897" i="29"/>
  <c r="R898" i="29"/>
  <c r="R899" i="29"/>
  <c r="R900" i="29"/>
  <c r="R901" i="29"/>
  <c r="R902" i="29"/>
  <c r="R903" i="29"/>
  <c r="R904" i="29"/>
  <c r="R905" i="29"/>
  <c r="R906" i="29"/>
  <c r="R907" i="29"/>
  <c r="R908" i="29"/>
  <c r="R909" i="29"/>
  <c r="R910" i="29"/>
  <c r="R911" i="29"/>
  <c r="R912" i="29"/>
  <c r="R913" i="29"/>
  <c r="R914" i="29"/>
  <c r="R915" i="29"/>
  <c r="R916" i="29"/>
  <c r="R917" i="29"/>
  <c r="R918" i="29"/>
  <c r="R919" i="29"/>
  <c r="R920" i="29"/>
  <c r="R921" i="29"/>
  <c r="R922" i="29"/>
  <c r="R923" i="29"/>
  <c r="R924" i="29"/>
  <c r="R925" i="29"/>
  <c r="R926" i="29"/>
  <c r="R927" i="29"/>
  <c r="R928" i="29"/>
  <c r="R929" i="29"/>
  <c r="R930" i="29"/>
  <c r="R931" i="29"/>
  <c r="S2" i="29"/>
  <c r="S3" i="29"/>
  <c r="S4" i="29"/>
  <c r="S5" i="29"/>
  <c r="S6" i="29"/>
  <c r="S7" i="29"/>
  <c r="S8" i="29"/>
  <c r="S9" i="29"/>
  <c r="S10" i="29"/>
  <c r="S11" i="29"/>
  <c r="S12" i="29"/>
  <c r="S13" i="29"/>
  <c r="S14" i="29"/>
  <c r="S15" i="29"/>
  <c r="S16" i="29"/>
  <c r="S17" i="29"/>
  <c r="S18" i="29"/>
  <c r="S19" i="29"/>
  <c r="S20" i="29"/>
  <c r="S21" i="29"/>
  <c r="S22" i="29"/>
  <c r="S23" i="29"/>
  <c r="S24" i="29"/>
  <c r="S25" i="29"/>
  <c r="S26" i="29"/>
  <c r="S27" i="29"/>
  <c r="S28" i="29"/>
  <c r="S29" i="29"/>
  <c r="S30" i="29"/>
  <c r="S31" i="29"/>
  <c r="S32" i="29"/>
  <c r="S33" i="29"/>
  <c r="S34" i="29"/>
  <c r="S35" i="29"/>
  <c r="S36" i="29"/>
  <c r="S37" i="29"/>
  <c r="S38" i="29"/>
  <c r="S39" i="29"/>
  <c r="S40" i="29"/>
  <c r="S41" i="29"/>
  <c r="S42" i="29"/>
  <c r="S43" i="29"/>
  <c r="S44" i="29"/>
  <c r="S45" i="29"/>
  <c r="S46" i="29"/>
  <c r="S47" i="29"/>
  <c r="S48" i="29"/>
  <c r="S49" i="29"/>
  <c r="S50" i="29"/>
  <c r="S51" i="29"/>
  <c r="S52" i="29"/>
  <c r="S53" i="29"/>
  <c r="S54" i="29"/>
  <c r="S55" i="29"/>
  <c r="S56" i="29"/>
  <c r="S57" i="29"/>
  <c r="S58" i="29"/>
  <c r="S59" i="29"/>
  <c r="S60" i="29"/>
  <c r="S61" i="29"/>
  <c r="S62" i="29"/>
  <c r="S63" i="29"/>
  <c r="S64" i="29"/>
  <c r="S65" i="29"/>
  <c r="S66" i="29"/>
  <c r="S67" i="29"/>
  <c r="S68" i="29"/>
  <c r="S69" i="29"/>
  <c r="S70" i="29"/>
  <c r="S71" i="29"/>
  <c r="S72" i="29"/>
  <c r="S73" i="29"/>
  <c r="S74" i="29"/>
  <c r="S75" i="29"/>
  <c r="S76" i="29"/>
  <c r="S77" i="29"/>
  <c r="S78" i="29"/>
  <c r="S79" i="29"/>
  <c r="S80" i="29"/>
  <c r="S81" i="29"/>
  <c r="S82" i="29"/>
  <c r="S83" i="29"/>
  <c r="S84" i="29"/>
  <c r="S85" i="29"/>
  <c r="S86" i="29"/>
  <c r="S87" i="29"/>
  <c r="S88" i="29"/>
  <c r="S89" i="29"/>
  <c r="S90" i="29"/>
  <c r="S91" i="29"/>
  <c r="S92" i="29"/>
  <c r="S93" i="29"/>
  <c r="S94" i="29"/>
  <c r="S95" i="29"/>
  <c r="S96" i="29"/>
  <c r="S97" i="29"/>
  <c r="S98" i="29"/>
  <c r="S99" i="29"/>
  <c r="S100" i="29"/>
  <c r="S101" i="29"/>
  <c r="S102" i="29"/>
  <c r="S103" i="29"/>
  <c r="S104" i="29"/>
  <c r="S105" i="29"/>
  <c r="S106" i="29"/>
  <c r="S107" i="29"/>
  <c r="S108" i="29"/>
  <c r="S109" i="29"/>
  <c r="S110" i="29"/>
  <c r="S111" i="29"/>
  <c r="S112" i="29"/>
  <c r="S113" i="29"/>
  <c r="S114" i="29"/>
  <c r="S115" i="29"/>
  <c r="S116" i="29"/>
  <c r="S117" i="29"/>
  <c r="S118" i="29"/>
  <c r="S119" i="29"/>
  <c r="S120" i="29"/>
  <c r="S121" i="29"/>
  <c r="S122" i="29"/>
  <c r="S123" i="29"/>
  <c r="S124" i="29"/>
  <c r="S125" i="29"/>
  <c r="S126" i="29"/>
  <c r="S127" i="29"/>
  <c r="S128" i="29"/>
  <c r="S129" i="29"/>
  <c r="S130" i="29"/>
  <c r="S131" i="29"/>
  <c r="S132" i="29"/>
  <c r="S133" i="29"/>
  <c r="S134" i="29"/>
  <c r="S135" i="29"/>
  <c r="S136" i="29"/>
  <c r="S137" i="29"/>
  <c r="S138" i="29"/>
  <c r="S139" i="29"/>
  <c r="S140" i="29"/>
  <c r="S141" i="29"/>
  <c r="S142" i="29"/>
  <c r="S143" i="29"/>
  <c r="S144" i="29"/>
  <c r="S145" i="29"/>
  <c r="S146" i="29"/>
  <c r="S147" i="29"/>
  <c r="S148" i="29"/>
  <c r="S149" i="29"/>
  <c r="S150" i="29"/>
  <c r="S151" i="29"/>
  <c r="S152" i="29"/>
  <c r="S153" i="29"/>
  <c r="S154" i="29"/>
  <c r="S155" i="29"/>
  <c r="S156" i="29"/>
  <c r="S157" i="29"/>
  <c r="S158" i="29"/>
  <c r="S159" i="29"/>
  <c r="S160" i="29"/>
  <c r="S161" i="29"/>
  <c r="S162" i="29"/>
  <c r="S163" i="29"/>
  <c r="S164" i="29"/>
  <c r="S165" i="29"/>
  <c r="S166" i="29"/>
  <c r="S167" i="29"/>
  <c r="S168" i="29"/>
  <c r="S169" i="29"/>
  <c r="S170" i="29"/>
  <c r="S171" i="29"/>
  <c r="S172" i="29"/>
  <c r="S173" i="29"/>
  <c r="S174" i="29"/>
  <c r="S175" i="29"/>
  <c r="S176" i="29"/>
  <c r="S177" i="29"/>
  <c r="S178" i="29"/>
  <c r="S179" i="29"/>
  <c r="S180" i="29"/>
  <c r="S181" i="29"/>
  <c r="S182" i="29"/>
  <c r="S183" i="29"/>
  <c r="S184" i="29"/>
  <c r="S185" i="29"/>
  <c r="S186" i="29"/>
  <c r="S187" i="29"/>
  <c r="S188" i="29"/>
  <c r="S189" i="29"/>
  <c r="S190" i="29"/>
  <c r="S191" i="29"/>
  <c r="S192" i="29"/>
  <c r="S193" i="29"/>
  <c r="S194" i="29"/>
  <c r="S195" i="29"/>
  <c r="S196" i="29"/>
  <c r="S197" i="29"/>
  <c r="S198" i="29"/>
  <c r="S199" i="29"/>
  <c r="S200" i="29"/>
  <c r="S201" i="29"/>
  <c r="S202" i="29"/>
  <c r="S203" i="29"/>
  <c r="S204" i="29"/>
  <c r="S205" i="29"/>
  <c r="S206" i="29"/>
  <c r="S207" i="29"/>
  <c r="S208" i="29"/>
  <c r="S209" i="29"/>
  <c r="S210" i="29"/>
  <c r="S211" i="29"/>
  <c r="S212" i="29"/>
  <c r="S213" i="29"/>
  <c r="S214" i="29"/>
  <c r="S215" i="29"/>
  <c r="S216" i="29"/>
  <c r="S217" i="29"/>
  <c r="S218" i="29"/>
  <c r="S219" i="29"/>
  <c r="S220" i="29"/>
  <c r="S221" i="29"/>
  <c r="S222" i="29"/>
  <c r="S223" i="29"/>
  <c r="S224" i="29"/>
  <c r="S225" i="29"/>
  <c r="S226" i="29"/>
  <c r="S227" i="29"/>
  <c r="S228" i="29"/>
  <c r="S229" i="29"/>
  <c r="S230" i="29"/>
  <c r="S231" i="29"/>
  <c r="S232" i="29"/>
  <c r="S233" i="29"/>
  <c r="S234" i="29"/>
  <c r="S235" i="29"/>
  <c r="S236" i="29"/>
  <c r="S237" i="29"/>
  <c r="S238" i="29"/>
  <c r="S239" i="29"/>
  <c r="S240" i="29"/>
  <c r="S241" i="29"/>
  <c r="S242" i="29"/>
  <c r="S243" i="29"/>
  <c r="S244" i="29"/>
  <c r="S245" i="29"/>
  <c r="S246" i="29"/>
  <c r="S247" i="29"/>
  <c r="S248" i="29"/>
  <c r="S249" i="29"/>
  <c r="S250" i="29"/>
  <c r="S251" i="29"/>
  <c r="S252" i="29"/>
  <c r="S253" i="29"/>
  <c r="S254" i="29"/>
  <c r="S255" i="29"/>
  <c r="S256" i="29"/>
  <c r="S257" i="29"/>
  <c r="S258" i="29"/>
  <c r="S259" i="29"/>
  <c r="S260" i="29"/>
  <c r="S261" i="29"/>
  <c r="S262" i="29"/>
  <c r="S263" i="29"/>
  <c r="S264" i="29"/>
  <c r="S265" i="29"/>
  <c r="S266" i="29"/>
  <c r="S267" i="29"/>
  <c r="S268" i="29"/>
  <c r="S269" i="29"/>
  <c r="S270" i="29"/>
  <c r="S271" i="29"/>
  <c r="S272" i="29"/>
  <c r="S273" i="29"/>
  <c r="S274" i="29"/>
  <c r="S275" i="29"/>
  <c r="S276" i="29"/>
  <c r="S277" i="29"/>
  <c r="S278" i="29"/>
  <c r="S279" i="29"/>
  <c r="S280" i="29"/>
  <c r="S281" i="29"/>
  <c r="S282" i="29"/>
  <c r="S283" i="29"/>
  <c r="S284" i="29"/>
  <c r="S285" i="29"/>
  <c r="S286" i="29"/>
  <c r="S287" i="29"/>
  <c r="S288" i="29"/>
  <c r="S289" i="29"/>
  <c r="S290" i="29"/>
  <c r="S291" i="29"/>
  <c r="S292" i="29"/>
  <c r="S293" i="29"/>
  <c r="S294" i="29"/>
  <c r="S295" i="29"/>
  <c r="S296" i="29"/>
  <c r="S297" i="29"/>
  <c r="S298" i="29"/>
  <c r="S299" i="29"/>
  <c r="S300" i="29"/>
  <c r="S301" i="29"/>
  <c r="S302" i="29"/>
  <c r="S303" i="29"/>
  <c r="S304" i="29"/>
  <c r="S305" i="29"/>
  <c r="S306" i="29"/>
  <c r="S307" i="29"/>
  <c r="S308" i="29"/>
  <c r="S309" i="29"/>
  <c r="S310" i="29"/>
  <c r="S311" i="29"/>
  <c r="S312" i="29"/>
  <c r="S313" i="29"/>
  <c r="S314" i="29"/>
  <c r="S315" i="29"/>
  <c r="S316" i="29"/>
  <c r="S317" i="29"/>
  <c r="S318" i="29"/>
  <c r="S319" i="29"/>
  <c r="S320" i="29"/>
  <c r="S321" i="29"/>
  <c r="S322" i="29"/>
  <c r="S323" i="29"/>
  <c r="S324" i="29"/>
  <c r="S325" i="29"/>
  <c r="S326" i="29"/>
  <c r="S327" i="29"/>
  <c r="S328" i="29"/>
  <c r="S329" i="29"/>
  <c r="S330" i="29"/>
  <c r="S331" i="29"/>
  <c r="S332" i="29"/>
  <c r="S333" i="29"/>
  <c r="S334" i="29"/>
  <c r="S335" i="29"/>
  <c r="S336" i="29"/>
  <c r="S337" i="29"/>
  <c r="S338" i="29"/>
  <c r="S339" i="29"/>
  <c r="S340" i="29"/>
  <c r="S341" i="29"/>
  <c r="S342" i="29"/>
  <c r="S343" i="29"/>
  <c r="S344" i="29"/>
  <c r="S345" i="29"/>
  <c r="S346" i="29"/>
  <c r="S347" i="29"/>
  <c r="S348" i="29"/>
  <c r="S349" i="29"/>
  <c r="S350" i="29"/>
  <c r="S351" i="29"/>
  <c r="S352" i="29"/>
  <c r="S353" i="29"/>
  <c r="S354" i="29"/>
  <c r="S355" i="29"/>
  <c r="S356" i="29"/>
  <c r="S357" i="29"/>
  <c r="S358" i="29"/>
  <c r="S359" i="29"/>
  <c r="S360" i="29"/>
  <c r="S361" i="29"/>
  <c r="S362" i="29"/>
  <c r="S363" i="29"/>
  <c r="S364" i="29"/>
  <c r="S365" i="29"/>
  <c r="S366" i="29"/>
  <c r="S367" i="29"/>
  <c r="S368" i="29"/>
  <c r="S369" i="29"/>
  <c r="S370" i="29"/>
  <c r="S371" i="29"/>
  <c r="S372" i="29"/>
  <c r="S373" i="29"/>
  <c r="S374" i="29"/>
  <c r="S375" i="29"/>
  <c r="S376" i="29"/>
  <c r="S377" i="29"/>
  <c r="S378" i="29"/>
  <c r="S379" i="29"/>
  <c r="S380" i="29"/>
  <c r="S381" i="29"/>
  <c r="S382" i="29"/>
  <c r="S383" i="29"/>
  <c r="S384" i="29"/>
  <c r="S385" i="29"/>
  <c r="S386" i="29"/>
  <c r="S387" i="29"/>
  <c r="S388" i="29"/>
  <c r="S389" i="29"/>
  <c r="S390" i="29"/>
  <c r="S391" i="29"/>
  <c r="S392" i="29"/>
  <c r="S393" i="29"/>
  <c r="S394" i="29"/>
  <c r="S395" i="29"/>
  <c r="S396" i="29"/>
  <c r="S397" i="29"/>
  <c r="S398" i="29"/>
  <c r="S399" i="29"/>
  <c r="S400" i="29"/>
  <c r="S401" i="29"/>
  <c r="S402" i="29"/>
  <c r="S403" i="29"/>
  <c r="S404" i="29"/>
  <c r="S405" i="29"/>
  <c r="S406" i="29"/>
  <c r="S407" i="29"/>
  <c r="S408" i="29"/>
  <c r="S409" i="29"/>
  <c r="Q409" i="29" s="1"/>
  <c r="S410" i="29"/>
  <c r="S411" i="29"/>
  <c r="S412" i="29"/>
  <c r="S413" i="29"/>
  <c r="S414" i="29"/>
  <c r="S415" i="29"/>
  <c r="S416" i="29"/>
  <c r="S417" i="29"/>
  <c r="S418" i="29"/>
  <c r="S419" i="29"/>
  <c r="S420" i="29"/>
  <c r="S421" i="29"/>
  <c r="Q421" i="29" s="1"/>
  <c r="S422" i="29"/>
  <c r="S423" i="29"/>
  <c r="S424" i="29"/>
  <c r="S425" i="29"/>
  <c r="S426" i="29"/>
  <c r="S427" i="29"/>
  <c r="S428" i="29"/>
  <c r="S429" i="29"/>
  <c r="S430" i="29"/>
  <c r="S431" i="29"/>
  <c r="S432" i="29"/>
  <c r="S433" i="29"/>
  <c r="S434" i="29"/>
  <c r="S435" i="29"/>
  <c r="S436" i="29"/>
  <c r="S437" i="29"/>
  <c r="S438" i="29"/>
  <c r="S439" i="29"/>
  <c r="S440" i="29"/>
  <c r="S441" i="29"/>
  <c r="S442" i="29"/>
  <c r="S443" i="29"/>
  <c r="S444" i="29"/>
  <c r="S445" i="29"/>
  <c r="S446" i="29"/>
  <c r="S447" i="29"/>
  <c r="S448" i="29"/>
  <c r="S449" i="29"/>
  <c r="S450" i="29"/>
  <c r="S451" i="29"/>
  <c r="S452" i="29"/>
  <c r="S453" i="29"/>
  <c r="S454" i="29"/>
  <c r="S455" i="29"/>
  <c r="S456" i="29"/>
  <c r="S457" i="29"/>
  <c r="Q457" i="29" s="1"/>
  <c r="S458" i="29"/>
  <c r="S459" i="29"/>
  <c r="S460" i="29"/>
  <c r="S461" i="29"/>
  <c r="S462" i="29"/>
  <c r="S463" i="29"/>
  <c r="S464" i="29"/>
  <c r="S465" i="29"/>
  <c r="S466" i="29"/>
  <c r="S467" i="29"/>
  <c r="S468" i="29"/>
  <c r="S469" i="29"/>
  <c r="S470" i="29"/>
  <c r="S471" i="29"/>
  <c r="S472" i="29"/>
  <c r="S473" i="29"/>
  <c r="S474" i="29"/>
  <c r="S475" i="29"/>
  <c r="S476" i="29"/>
  <c r="S477" i="29"/>
  <c r="S478" i="29"/>
  <c r="S479" i="29"/>
  <c r="S480" i="29"/>
  <c r="S481" i="29"/>
  <c r="S482" i="29"/>
  <c r="S483" i="29"/>
  <c r="S484" i="29"/>
  <c r="S485" i="29"/>
  <c r="S486" i="29"/>
  <c r="S487" i="29"/>
  <c r="S488" i="29"/>
  <c r="S489" i="29"/>
  <c r="S490" i="29"/>
  <c r="S491" i="29"/>
  <c r="S492" i="29"/>
  <c r="S493" i="29"/>
  <c r="S494" i="29"/>
  <c r="S495" i="29"/>
  <c r="S496" i="29"/>
  <c r="S497" i="29"/>
  <c r="S498" i="29"/>
  <c r="S499" i="29"/>
  <c r="S500" i="29"/>
  <c r="S501" i="29"/>
  <c r="S502" i="29"/>
  <c r="S503" i="29"/>
  <c r="S504" i="29"/>
  <c r="S505" i="29"/>
  <c r="S506" i="29"/>
  <c r="S507" i="29"/>
  <c r="S508" i="29"/>
  <c r="S509" i="29"/>
  <c r="S510" i="29"/>
  <c r="S511" i="29"/>
  <c r="S512" i="29"/>
  <c r="S513" i="29"/>
  <c r="S514" i="29"/>
  <c r="S515" i="29"/>
  <c r="S516" i="29"/>
  <c r="S517" i="29"/>
  <c r="S518" i="29"/>
  <c r="S519" i="29"/>
  <c r="S520" i="29"/>
  <c r="S521" i="29"/>
  <c r="S522" i="29"/>
  <c r="S523" i="29"/>
  <c r="S524" i="29"/>
  <c r="S525" i="29"/>
  <c r="S526" i="29"/>
  <c r="S527" i="29"/>
  <c r="S528" i="29"/>
  <c r="S529" i="29"/>
  <c r="Q529" i="29" s="1"/>
  <c r="S530" i="29"/>
  <c r="S531" i="29"/>
  <c r="S532" i="29"/>
  <c r="S533" i="29"/>
  <c r="S534" i="29"/>
  <c r="S535" i="29"/>
  <c r="S536" i="29"/>
  <c r="S537" i="29"/>
  <c r="S538" i="29"/>
  <c r="S539" i="29"/>
  <c r="S540" i="29"/>
  <c r="S541" i="29"/>
  <c r="Q541" i="29" s="1"/>
  <c r="S542" i="29"/>
  <c r="S543" i="29"/>
  <c r="S544" i="29"/>
  <c r="S545" i="29"/>
  <c r="S546" i="29"/>
  <c r="S547" i="29"/>
  <c r="S548" i="29"/>
  <c r="S549" i="29"/>
  <c r="S550" i="29"/>
  <c r="S551" i="29"/>
  <c r="S552" i="29"/>
  <c r="S553" i="29"/>
  <c r="S554" i="29"/>
  <c r="S555" i="29"/>
  <c r="S556" i="29"/>
  <c r="S557" i="29"/>
  <c r="S558" i="29"/>
  <c r="S559" i="29"/>
  <c r="S560" i="29"/>
  <c r="S561" i="29"/>
  <c r="S562" i="29"/>
  <c r="S563" i="29"/>
  <c r="S564" i="29"/>
  <c r="S565" i="29"/>
  <c r="S566" i="29"/>
  <c r="S567" i="29"/>
  <c r="S568" i="29"/>
  <c r="S569" i="29"/>
  <c r="S570" i="29"/>
  <c r="S571" i="29"/>
  <c r="S572" i="29"/>
  <c r="S573" i="29"/>
  <c r="S574" i="29"/>
  <c r="S575" i="29"/>
  <c r="S576" i="29"/>
  <c r="S577" i="29"/>
  <c r="S578" i="29"/>
  <c r="S579" i="29"/>
  <c r="S580" i="29"/>
  <c r="S581" i="29"/>
  <c r="S582" i="29"/>
  <c r="S583" i="29"/>
  <c r="S584" i="29"/>
  <c r="S585" i="29"/>
  <c r="S586" i="29"/>
  <c r="S587" i="29"/>
  <c r="S588" i="29"/>
  <c r="S589" i="29"/>
  <c r="S590" i="29"/>
  <c r="S591" i="29"/>
  <c r="S592" i="29"/>
  <c r="S593" i="29"/>
  <c r="S594" i="29"/>
  <c r="S595" i="29"/>
  <c r="S596" i="29"/>
  <c r="S597" i="29"/>
  <c r="S598" i="29"/>
  <c r="S599" i="29"/>
  <c r="S600" i="29"/>
  <c r="S601" i="29"/>
  <c r="S602" i="29"/>
  <c r="S603" i="29"/>
  <c r="S604" i="29"/>
  <c r="S605" i="29"/>
  <c r="S606" i="29"/>
  <c r="S607" i="29"/>
  <c r="S608" i="29"/>
  <c r="S609" i="29"/>
  <c r="S610" i="29"/>
  <c r="S611" i="29"/>
  <c r="S612" i="29"/>
  <c r="S613" i="29"/>
  <c r="Q613" i="29" s="1"/>
  <c r="S614" i="29"/>
  <c r="S615" i="29"/>
  <c r="S616" i="29"/>
  <c r="S617" i="29"/>
  <c r="S618" i="29"/>
  <c r="S619" i="29"/>
  <c r="S620" i="29"/>
  <c r="S621" i="29"/>
  <c r="S622" i="29"/>
  <c r="S623" i="29"/>
  <c r="S624" i="29"/>
  <c r="S625" i="29"/>
  <c r="Q625" i="29" s="1"/>
  <c r="S626" i="29"/>
  <c r="S627" i="29"/>
  <c r="S628" i="29"/>
  <c r="S629" i="29"/>
  <c r="S630" i="29"/>
  <c r="S631" i="29"/>
  <c r="S632" i="29"/>
  <c r="S633" i="29"/>
  <c r="S634" i="29"/>
  <c r="S635" i="29"/>
  <c r="S636" i="29"/>
  <c r="S637" i="29"/>
  <c r="S638" i="29"/>
  <c r="S639" i="29"/>
  <c r="S640" i="29"/>
  <c r="S641" i="29"/>
  <c r="S642" i="29"/>
  <c r="S643" i="29"/>
  <c r="S644" i="29"/>
  <c r="S645" i="29"/>
  <c r="S646" i="29"/>
  <c r="S647" i="29"/>
  <c r="S648" i="29"/>
  <c r="S649" i="29"/>
  <c r="S650" i="29"/>
  <c r="S651" i="29"/>
  <c r="S652" i="29"/>
  <c r="S653" i="29"/>
  <c r="S654" i="29"/>
  <c r="S655" i="29"/>
  <c r="S656" i="29"/>
  <c r="S657" i="29"/>
  <c r="S658" i="29"/>
  <c r="S659" i="29"/>
  <c r="S660" i="29"/>
  <c r="S661" i="29"/>
  <c r="S662" i="29"/>
  <c r="S663" i="29"/>
  <c r="S664" i="29"/>
  <c r="S665" i="29"/>
  <c r="S666" i="29"/>
  <c r="S667" i="29"/>
  <c r="S668" i="29"/>
  <c r="S669" i="29"/>
  <c r="S670" i="29"/>
  <c r="S671" i="29"/>
  <c r="S672" i="29"/>
  <c r="S673" i="29"/>
  <c r="S674" i="29"/>
  <c r="S675" i="29"/>
  <c r="S676" i="29"/>
  <c r="S677" i="29"/>
  <c r="S678" i="29"/>
  <c r="S679" i="29"/>
  <c r="S680" i="29"/>
  <c r="S681" i="29"/>
  <c r="S682" i="29"/>
  <c r="S683" i="29"/>
  <c r="S684" i="29"/>
  <c r="S685" i="29"/>
  <c r="S686" i="29"/>
  <c r="S687" i="29"/>
  <c r="S688" i="29"/>
  <c r="S689" i="29"/>
  <c r="S690" i="29"/>
  <c r="S691" i="29"/>
  <c r="S692" i="29"/>
  <c r="S693" i="29"/>
  <c r="S694" i="29"/>
  <c r="S695" i="29"/>
  <c r="S696" i="29"/>
  <c r="S697" i="29"/>
  <c r="S698" i="29"/>
  <c r="S699" i="29"/>
  <c r="S700" i="29"/>
  <c r="S701" i="29"/>
  <c r="S702" i="29"/>
  <c r="S703" i="29"/>
  <c r="S704" i="29"/>
  <c r="S705" i="29"/>
  <c r="S706" i="29"/>
  <c r="S707" i="29"/>
  <c r="S708" i="29"/>
  <c r="S709" i="29"/>
  <c r="S710" i="29"/>
  <c r="S711" i="29"/>
  <c r="S712" i="29"/>
  <c r="S713" i="29"/>
  <c r="S714" i="29"/>
  <c r="S715" i="29"/>
  <c r="S716" i="29"/>
  <c r="S717" i="29"/>
  <c r="S718" i="29"/>
  <c r="S719" i="29"/>
  <c r="S720" i="29"/>
  <c r="S721" i="29"/>
  <c r="Q721" i="29" s="1"/>
  <c r="S722" i="29"/>
  <c r="S723" i="29"/>
  <c r="S724" i="29"/>
  <c r="S725" i="29"/>
  <c r="S726" i="29"/>
  <c r="S727" i="29"/>
  <c r="S728" i="29"/>
  <c r="S729" i="29"/>
  <c r="S730" i="29"/>
  <c r="S731" i="29"/>
  <c r="S732" i="29"/>
  <c r="S733" i="29"/>
  <c r="S734" i="29"/>
  <c r="S735" i="29"/>
  <c r="S736" i="29"/>
  <c r="S737" i="29"/>
  <c r="S738" i="29"/>
  <c r="S739" i="29"/>
  <c r="S740" i="29"/>
  <c r="S741" i="29"/>
  <c r="S742" i="29"/>
  <c r="S743" i="29"/>
  <c r="S744" i="29"/>
  <c r="S745" i="29"/>
  <c r="Q745" i="29" s="1"/>
  <c r="S746" i="29"/>
  <c r="S747" i="29"/>
  <c r="S748" i="29"/>
  <c r="S749" i="29"/>
  <c r="S750" i="29"/>
  <c r="S751" i="29"/>
  <c r="S752" i="29"/>
  <c r="S753" i="29"/>
  <c r="S754" i="29"/>
  <c r="S755" i="29"/>
  <c r="S756" i="29"/>
  <c r="S757" i="29"/>
  <c r="S758" i="29"/>
  <c r="S759" i="29"/>
  <c r="S760" i="29"/>
  <c r="S761" i="29"/>
  <c r="S762" i="29"/>
  <c r="S763" i="29"/>
  <c r="S764" i="29"/>
  <c r="S765" i="29"/>
  <c r="S766" i="29"/>
  <c r="S767" i="29"/>
  <c r="S768" i="29"/>
  <c r="S769" i="29"/>
  <c r="S770" i="29"/>
  <c r="S771" i="29"/>
  <c r="S772" i="29"/>
  <c r="S773" i="29"/>
  <c r="S774" i="29"/>
  <c r="S775" i="29"/>
  <c r="S776" i="29"/>
  <c r="S777" i="29"/>
  <c r="S778" i="29"/>
  <c r="S779" i="29"/>
  <c r="S780" i="29"/>
  <c r="S781" i="29"/>
  <c r="S782" i="29"/>
  <c r="S783" i="29"/>
  <c r="S784" i="29"/>
  <c r="S785" i="29"/>
  <c r="S786" i="29"/>
  <c r="S787" i="29"/>
  <c r="S788" i="29"/>
  <c r="S789" i="29"/>
  <c r="S790" i="29"/>
  <c r="S791" i="29"/>
  <c r="S792" i="29"/>
  <c r="S793" i="29"/>
  <c r="Q793" i="29" s="1"/>
  <c r="S794" i="29"/>
  <c r="Q794" i="29" s="1"/>
  <c r="S795" i="29"/>
  <c r="S796" i="29"/>
  <c r="S797" i="29"/>
  <c r="S798" i="29"/>
  <c r="S799" i="29"/>
  <c r="S800" i="29"/>
  <c r="S801" i="29"/>
  <c r="S802" i="29"/>
  <c r="S803" i="29"/>
  <c r="S804" i="29"/>
  <c r="S805" i="29"/>
  <c r="S806" i="29"/>
  <c r="S807" i="29"/>
  <c r="S808" i="29"/>
  <c r="S809" i="29"/>
  <c r="S810" i="29"/>
  <c r="S811" i="29"/>
  <c r="S812" i="29"/>
  <c r="S813" i="29"/>
  <c r="S814" i="29"/>
  <c r="S815" i="29"/>
  <c r="S816" i="29"/>
  <c r="S817" i="29"/>
  <c r="S818" i="29"/>
  <c r="S819" i="29"/>
  <c r="S820" i="29"/>
  <c r="S821" i="29"/>
  <c r="S822" i="29"/>
  <c r="S823" i="29"/>
  <c r="S824" i="29"/>
  <c r="S825" i="29"/>
  <c r="S826" i="29"/>
  <c r="S827" i="29"/>
  <c r="S828" i="29"/>
  <c r="S829" i="29"/>
  <c r="S830" i="29"/>
  <c r="S831" i="29"/>
  <c r="S832" i="29"/>
  <c r="S833" i="29"/>
  <c r="S834" i="29"/>
  <c r="S835" i="29"/>
  <c r="S836" i="29"/>
  <c r="S837" i="29"/>
  <c r="S838" i="29"/>
  <c r="S839" i="29"/>
  <c r="S840" i="29"/>
  <c r="Q840" i="29" s="1"/>
  <c r="S841" i="29"/>
  <c r="S842" i="29"/>
  <c r="Q842" i="29" s="1"/>
  <c r="S843" i="29"/>
  <c r="S844" i="29"/>
  <c r="S845" i="29"/>
  <c r="S846" i="29"/>
  <c r="S847" i="29"/>
  <c r="S848" i="29"/>
  <c r="S849" i="29"/>
  <c r="S850" i="29"/>
  <c r="S851" i="29"/>
  <c r="S852" i="29"/>
  <c r="S853" i="29"/>
  <c r="S854" i="29"/>
  <c r="Q854" i="29" s="1"/>
  <c r="S855" i="29"/>
  <c r="S856" i="29"/>
  <c r="S857" i="29"/>
  <c r="S858" i="29"/>
  <c r="S859" i="29"/>
  <c r="S860" i="29"/>
  <c r="S861" i="29"/>
  <c r="S862" i="29"/>
  <c r="S863" i="29"/>
  <c r="S864" i="29"/>
  <c r="S865" i="29"/>
  <c r="Q865" i="29" s="1"/>
  <c r="S866" i="29"/>
  <c r="Q866" i="29" s="1"/>
  <c r="S867" i="29"/>
  <c r="S868" i="29"/>
  <c r="S869" i="29"/>
  <c r="S870" i="29"/>
  <c r="S871" i="29"/>
  <c r="S872" i="29"/>
  <c r="S873" i="29"/>
  <c r="S874" i="29"/>
  <c r="S875" i="29"/>
  <c r="S876" i="29"/>
  <c r="S877" i="29"/>
  <c r="S878" i="29"/>
  <c r="Q878" i="29" s="1"/>
  <c r="S879" i="29"/>
  <c r="S880" i="29"/>
  <c r="S881" i="29"/>
  <c r="S882" i="29"/>
  <c r="S883" i="29"/>
  <c r="S884" i="29"/>
  <c r="S885" i="29"/>
  <c r="S886" i="29"/>
  <c r="S887" i="29"/>
  <c r="S888" i="29"/>
  <c r="S889" i="29"/>
  <c r="Q889" i="29" s="1"/>
  <c r="S890" i="29"/>
  <c r="Q890" i="29" s="1"/>
  <c r="S891" i="29"/>
  <c r="S892" i="29"/>
  <c r="S893" i="29"/>
  <c r="S894" i="29"/>
  <c r="S895" i="29"/>
  <c r="S896" i="29"/>
  <c r="S897" i="29"/>
  <c r="S898" i="29"/>
  <c r="S899" i="29"/>
  <c r="S900" i="29"/>
  <c r="S901" i="29"/>
  <c r="Q901" i="29" s="1"/>
  <c r="S902" i="29"/>
  <c r="Q902" i="29" s="1"/>
  <c r="S903" i="29"/>
  <c r="S904" i="29"/>
  <c r="S905" i="29"/>
  <c r="S906" i="29"/>
  <c r="S907" i="29"/>
  <c r="S908" i="29"/>
  <c r="S909" i="29"/>
  <c r="S910" i="29"/>
  <c r="S911" i="29"/>
  <c r="S912" i="29"/>
  <c r="S913" i="29"/>
  <c r="Q913" i="29" s="1"/>
  <c r="S914" i="29"/>
  <c r="Q914" i="29" s="1"/>
  <c r="S915" i="29"/>
  <c r="Q915" i="29" s="1"/>
  <c r="S916" i="29"/>
  <c r="Q916" i="29" s="1"/>
  <c r="S917" i="29"/>
  <c r="S918" i="29"/>
  <c r="S919" i="29"/>
  <c r="S920" i="29"/>
  <c r="S921" i="29"/>
  <c r="S922" i="29"/>
  <c r="S923" i="29"/>
  <c r="S924" i="29"/>
  <c r="Q924" i="29" s="1"/>
  <c r="S925" i="29"/>
  <c r="Q925" i="29" s="1"/>
  <c r="S926" i="29"/>
  <c r="Q926" i="29" s="1"/>
  <c r="S927" i="29"/>
  <c r="S928" i="29"/>
  <c r="S929" i="29"/>
  <c r="S930" i="29"/>
  <c r="S931" i="29"/>
  <c r="Q931" i="29" s="1"/>
  <c r="C2" i="29"/>
  <c r="C3" i="29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7" i="29"/>
  <c r="C138" i="29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C153" i="29"/>
  <c r="C154" i="29"/>
  <c r="C155" i="29"/>
  <c r="C156" i="29"/>
  <c r="C157" i="29"/>
  <c r="C158" i="29"/>
  <c r="C159" i="29"/>
  <c r="C160" i="29"/>
  <c r="C161" i="29"/>
  <c r="C162" i="29"/>
  <c r="C163" i="29"/>
  <c r="C164" i="29"/>
  <c r="C165" i="29"/>
  <c r="C166" i="29"/>
  <c r="C167" i="29"/>
  <c r="C168" i="29"/>
  <c r="C169" i="29"/>
  <c r="C170" i="29"/>
  <c r="C171" i="29"/>
  <c r="C172" i="29"/>
  <c r="C173" i="29"/>
  <c r="C174" i="29"/>
  <c r="C175" i="29"/>
  <c r="C176" i="29"/>
  <c r="C177" i="29"/>
  <c r="C178" i="29"/>
  <c r="C179" i="29"/>
  <c r="C180" i="29"/>
  <c r="C181" i="29"/>
  <c r="C182" i="29"/>
  <c r="C183" i="29"/>
  <c r="C184" i="29"/>
  <c r="C185" i="29"/>
  <c r="C186" i="29"/>
  <c r="C187" i="29"/>
  <c r="C188" i="29"/>
  <c r="C189" i="29"/>
  <c r="C190" i="29"/>
  <c r="C191" i="29"/>
  <c r="C192" i="29"/>
  <c r="C193" i="29"/>
  <c r="C194" i="29"/>
  <c r="C195" i="29"/>
  <c r="C196" i="29"/>
  <c r="C197" i="29"/>
  <c r="C198" i="29"/>
  <c r="C199" i="29"/>
  <c r="C200" i="29"/>
  <c r="C201" i="29"/>
  <c r="C202" i="29"/>
  <c r="C203" i="29"/>
  <c r="C204" i="29"/>
  <c r="C205" i="29"/>
  <c r="C206" i="29"/>
  <c r="C207" i="29"/>
  <c r="C208" i="29"/>
  <c r="C209" i="29"/>
  <c r="C210" i="29"/>
  <c r="C211" i="29"/>
  <c r="C212" i="29"/>
  <c r="C213" i="29"/>
  <c r="C214" i="29"/>
  <c r="C215" i="29"/>
  <c r="C216" i="29"/>
  <c r="C217" i="29"/>
  <c r="C218" i="29"/>
  <c r="C219" i="29"/>
  <c r="C220" i="29"/>
  <c r="C221" i="29"/>
  <c r="C222" i="29"/>
  <c r="C223" i="29"/>
  <c r="C224" i="29"/>
  <c r="C225" i="29"/>
  <c r="C226" i="29"/>
  <c r="C227" i="29"/>
  <c r="C228" i="29"/>
  <c r="C229" i="29"/>
  <c r="C230" i="29"/>
  <c r="C231" i="29"/>
  <c r="C232" i="29"/>
  <c r="C233" i="29"/>
  <c r="C234" i="29"/>
  <c r="C235" i="29"/>
  <c r="C236" i="29"/>
  <c r="C237" i="29"/>
  <c r="C238" i="29"/>
  <c r="C239" i="29"/>
  <c r="C240" i="29"/>
  <c r="C241" i="29"/>
  <c r="C242" i="29"/>
  <c r="C243" i="29"/>
  <c r="C244" i="29"/>
  <c r="C245" i="29"/>
  <c r="C246" i="29"/>
  <c r="C247" i="29"/>
  <c r="C248" i="29"/>
  <c r="C249" i="29"/>
  <c r="C250" i="29"/>
  <c r="C251" i="29"/>
  <c r="C252" i="29"/>
  <c r="C253" i="29"/>
  <c r="C254" i="29"/>
  <c r="C255" i="29"/>
  <c r="C256" i="29"/>
  <c r="C257" i="29"/>
  <c r="C258" i="29"/>
  <c r="C259" i="29"/>
  <c r="C260" i="29"/>
  <c r="C261" i="29"/>
  <c r="C262" i="29"/>
  <c r="C263" i="29"/>
  <c r="C264" i="29"/>
  <c r="C265" i="29"/>
  <c r="C266" i="29"/>
  <c r="C267" i="29"/>
  <c r="C268" i="29"/>
  <c r="C269" i="29"/>
  <c r="C270" i="29"/>
  <c r="C271" i="29"/>
  <c r="C272" i="29"/>
  <c r="C273" i="29"/>
  <c r="C274" i="29"/>
  <c r="C275" i="29"/>
  <c r="C276" i="29"/>
  <c r="C277" i="29"/>
  <c r="C278" i="29"/>
  <c r="C279" i="29"/>
  <c r="C280" i="29"/>
  <c r="C281" i="29"/>
  <c r="C282" i="29"/>
  <c r="C283" i="29"/>
  <c r="C284" i="29"/>
  <c r="C285" i="29"/>
  <c r="C286" i="29"/>
  <c r="C287" i="29"/>
  <c r="C288" i="29"/>
  <c r="C289" i="29"/>
  <c r="C290" i="29"/>
  <c r="C291" i="29"/>
  <c r="C292" i="29"/>
  <c r="C293" i="29"/>
  <c r="C294" i="29"/>
  <c r="C295" i="29"/>
  <c r="C296" i="29"/>
  <c r="C297" i="29"/>
  <c r="C298" i="29"/>
  <c r="C299" i="29"/>
  <c r="C300" i="29"/>
  <c r="C301" i="29"/>
  <c r="C302" i="29"/>
  <c r="C303" i="29"/>
  <c r="C304" i="29"/>
  <c r="C305" i="29"/>
  <c r="C306" i="29"/>
  <c r="C307" i="29"/>
  <c r="C308" i="29"/>
  <c r="C309" i="29"/>
  <c r="C310" i="29"/>
  <c r="C311" i="29"/>
  <c r="C312" i="29"/>
  <c r="C313" i="29"/>
  <c r="C314" i="29"/>
  <c r="C315" i="29"/>
  <c r="C316" i="29"/>
  <c r="C317" i="29"/>
  <c r="C318" i="29"/>
  <c r="C319" i="29"/>
  <c r="C320" i="29"/>
  <c r="C321" i="29"/>
  <c r="C322" i="29"/>
  <c r="C323" i="29"/>
  <c r="C324" i="29"/>
  <c r="C325" i="29"/>
  <c r="C326" i="29"/>
  <c r="C327" i="29"/>
  <c r="C328" i="29"/>
  <c r="C329" i="29"/>
  <c r="C330" i="29"/>
  <c r="C331" i="29"/>
  <c r="C332" i="29"/>
  <c r="C333" i="29"/>
  <c r="C334" i="29"/>
  <c r="C335" i="29"/>
  <c r="C336" i="29"/>
  <c r="C337" i="29"/>
  <c r="C338" i="29"/>
  <c r="C339" i="29"/>
  <c r="C340" i="29"/>
  <c r="C341" i="29"/>
  <c r="C342" i="29"/>
  <c r="C343" i="29"/>
  <c r="C344" i="29"/>
  <c r="C345" i="29"/>
  <c r="C346" i="29"/>
  <c r="C347" i="29"/>
  <c r="C348" i="29"/>
  <c r="C349" i="29"/>
  <c r="C350" i="29"/>
  <c r="C351" i="29"/>
  <c r="C352" i="29"/>
  <c r="C353" i="29"/>
  <c r="C354" i="29"/>
  <c r="C355" i="29"/>
  <c r="C356" i="29"/>
  <c r="C357" i="29"/>
  <c r="C358" i="29"/>
  <c r="C359" i="29"/>
  <c r="C360" i="29"/>
  <c r="C361" i="29"/>
  <c r="C362" i="29"/>
  <c r="C363" i="29"/>
  <c r="C364" i="29"/>
  <c r="C365" i="29"/>
  <c r="C366" i="29"/>
  <c r="C367" i="29"/>
  <c r="C368" i="29"/>
  <c r="C369" i="29"/>
  <c r="C370" i="29"/>
  <c r="C371" i="29"/>
  <c r="C372" i="29"/>
  <c r="C373" i="29"/>
  <c r="C374" i="29"/>
  <c r="C375" i="29"/>
  <c r="C376" i="29"/>
  <c r="C377" i="29"/>
  <c r="C378" i="29"/>
  <c r="C379" i="29"/>
  <c r="C380" i="29"/>
  <c r="C381" i="29"/>
  <c r="C382" i="29"/>
  <c r="C383" i="29"/>
  <c r="C384" i="29"/>
  <c r="C385" i="29"/>
  <c r="C386" i="29"/>
  <c r="C387" i="29"/>
  <c r="C388" i="29"/>
  <c r="C389" i="29"/>
  <c r="C390" i="29"/>
  <c r="C391" i="29"/>
  <c r="C392" i="29"/>
  <c r="C393" i="29"/>
  <c r="C394" i="29"/>
  <c r="C395" i="29"/>
  <c r="C396" i="29"/>
  <c r="C397" i="29"/>
  <c r="C398" i="29"/>
  <c r="C399" i="29"/>
  <c r="C400" i="29"/>
  <c r="C401" i="29"/>
  <c r="C402" i="29"/>
  <c r="C403" i="29"/>
  <c r="C404" i="29"/>
  <c r="C405" i="29"/>
  <c r="C406" i="29"/>
  <c r="C407" i="29"/>
  <c r="C408" i="29"/>
  <c r="C409" i="29"/>
  <c r="C410" i="29"/>
  <c r="C411" i="29"/>
  <c r="C412" i="29"/>
  <c r="C413" i="29"/>
  <c r="C414" i="29"/>
  <c r="C415" i="29"/>
  <c r="C416" i="29"/>
  <c r="C417" i="29"/>
  <c r="C418" i="29"/>
  <c r="C419" i="29"/>
  <c r="C420" i="29"/>
  <c r="C421" i="29"/>
  <c r="C422" i="29"/>
  <c r="C423" i="29"/>
  <c r="C424" i="29"/>
  <c r="C425" i="29"/>
  <c r="C426" i="29"/>
  <c r="C427" i="29"/>
  <c r="C428" i="29"/>
  <c r="C429" i="29"/>
  <c r="C430" i="29"/>
  <c r="C431" i="29"/>
  <c r="C432" i="29"/>
  <c r="C433" i="29"/>
  <c r="C434" i="29"/>
  <c r="C435" i="29"/>
  <c r="C436" i="29"/>
  <c r="C437" i="29"/>
  <c r="C438" i="29"/>
  <c r="C439" i="29"/>
  <c r="C440" i="29"/>
  <c r="C441" i="29"/>
  <c r="C442" i="29"/>
  <c r="C443" i="29"/>
  <c r="C444" i="29"/>
  <c r="C445" i="29"/>
  <c r="C446" i="29"/>
  <c r="C447" i="29"/>
  <c r="C448" i="29"/>
  <c r="C449" i="29"/>
  <c r="C450" i="29"/>
  <c r="C451" i="29"/>
  <c r="C452" i="29"/>
  <c r="C453" i="29"/>
  <c r="C454" i="29"/>
  <c r="C455" i="29"/>
  <c r="C456" i="29"/>
  <c r="C457" i="29"/>
  <c r="C458" i="29"/>
  <c r="C459" i="29"/>
  <c r="C460" i="29"/>
  <c r="C461" i="29"/>
  <c r="C462" i="29"/>
  <c r="C463" i="29"/>
  <c r="C464" i="29"/>
  <c r="C465" i="29"/>
  <c r="C466" i="29"/>
  <c r="C467" i="29"/>
  <c r="C468" i="29"/>
  <c r="C469" i="29"/>
  <c r="C470" i="29"/>
  <c r="C471" i="29"/>
  <c r="C472" i="29"/>
  <c r="C473" i="29"/>
  <c r="C474" i="29"/>
  <c r="C475" i="29"/>
  <c r="C476" i="29"/>
  <c r="C477" i="29"/>
  <c r="C478" i="29"/>
  <c r="C479" i="29"/>
  <c r="C480" i="29"/>
  <c r="C481" i="29"/>
  <c r="C482" i="29"/>
  <c r="C483" i="29"/>
  <c r="C484" i="29"/>
  <c r="C485" i="29"/>
  <c r="C486" i="29"/>
  <c r="C487" i="29"/>
  <c r="C488" i="29"/>
  <c r="C489" i="29"/>
  <c r="C490" i="29"/>
  <c r="C491" i="29"/>
  <c r="C492" i="29"/>
  <c r="C493" i="29"/>
  <c r="C494" i="29"/>
  <c r="C495" i="29"/>
  <c r="C496" i="29"/>
  <c r="C497" i="29"/>
  <c r="C498" i="29"/>
  <c r="C499" i="29"/>
  <c r="C500" i="29"/>
  <c r="C501" i="29"/>
  <c r="C502" i="29"/>
  <c r="C503" i="29"/>
  <c r="C504" i="29"/>
  <c r="C505" i="29"/>
  <c r="C506" i="29"/>
  <c r="C507" i="29"/>
  <c r="C508" i="29"/>
  <c r="C509" i="29"/>
  <c r="C510" i="29"/>
  <c r="C511" i="29"/>
  <c r="C512" i="29"/>
  <c r="C513" i="29"/>
  <c r="C514" i="29"/>
  <c r="C515" i="29"/>
  <c r="C516" i="29"/>
  <c r="C517" i="29"/>
  <c r="C518" i="29"/>
  <c r="C519" i="29"/>
  <c r="C520" i="29"/>
  <c r="C521" i="29"/>
  <c r="C522" i="29"/>
  <c r="C523" i="29"/>
  <c r="C524" i="29"/>
  <c r="C525" i="29"/>
  <c r="C526" i="29"/>
  <c r="C527" i="29"/>
  <c r="C528" i="29"/>
  <c r="C529" i="29"/>
  <c r="C530" i="29"/>
  <c r="C531" i="29"/>
  <c r="C532" i="29"/>
  <c r="C533" i="29"/>
  <c r="C534" i="29"/>
  <c r="C535" i="29"/>
  <c r="C536" i="29"/>
  <c r="C537" i="29"/>
  <c r="C538" i="29"/>
  <c r="C539" i="29"/>
  <c r="C540" i="29"/>
  <c r="C541" i="29"/>
  <c r="C542" i="29"/>
  <c r="C543" i="29"/>
  <c r="C544" i="29"/>
  <c r="C545" i="29"/>
  <c r="C546" i="29"/>
  <c r="C547" i="29"/>
  <c r="C548" i="29"/>
  <c r="C549" i="29"/>
  <c r="C550" i="29"/>
  <c r="C551" i="29"/>
  <c r="C552" i="29"/>
  <c r="C553" i="29"/>
  <c r="C554" i="29"/>
  <c r="C555" i="29"/>
  <c r="C556" i="29"/>
  <c r="C557" i="29"/>
  <c r="C558" i="29"/>
  <c r="C559" i="29"/>
  <c r="C560" i="29"/>
  <c r="C561" i="29"/>
  <c r="C562" i="29"/>
  <c r="C563" i="29"/>
  <c r="C564" i="29"/>
  <c r="C565" i="29"/>
  <c r="C566" i="29"/>
  <c r="C567" i="29"/>
  <c r="C568" i="29"/>
  <c r="C569" i="29"/>
  <c r="C570" i="29"/>
  <c r="C571" i="29"/>
  <c r="C572" i="29"/>
  <c r="C573" i="29"/>
  <c r="C574" i="29"/>
  <c r="C575" i="29"/>
  <c r="C576" i="29"/>
  <c r="C577" i="29"/>
  <c r="C578" i="29"/>
  <c r="C579" i="29"/>
  <c r="C580" i="29"/>
  <c r="C581" i="29"/>
  <c r="C582" i="29"/>
  <c r="C583" i="29"/>
  <c r="C584" i="29"/>
  <c r="C585" i="29"/>
  <c r="C586" i="29"/>
  <c r="C587" i="29"/>
  <c r="C588" i="29"/>
  <c r="C589" i="29"/>
  <c r="C590" i="29"/>
  <c r="C591" i="29"/>
  <c r="C592" i="29"/>
  <c r="C593" i="29"/>
  <c r="C594" i="29"/>
  <c r="C595" i="29"/>
  <c r="C596" i="29"/>
  <c r="C597" i="29"/>
  <c r="C598" i="29"/>
  <c r="C599" i="29"/>
  <c r="C600" i="29"/>
  <c r="C601" i="29"/>
  <c r="C602" i="29"/>
  <c r="C603" i="29"/>
  <c r="C604" i="29"/>
  <c r="C605" i="29"/>
  <c r="C606" i="29"/>
  <c r="C607" i="29"/>
  <c r="C608" i="29"/>
  <c r="C609" i="29"/>
  <c r="C610" i="29"/>
  <c r="C611" i="29"/>
  <c r="C612" i="29"/>
  <c r="C613" i="29"/>
  <c r="C614" i="29"/>
  <c r="C615" i="29"/>
  <c r="C616" i="29"/>
  <c r="C617" i="29"/>
  <c r="C618" i="29"/>
  <c r="C619" i="29"/>
  <c r="C620" i="29"/>
  <c r="C621" i="29"/>
  <c r="C622" i="29"/>
  <c r="C623" i="29"/>
  <c r="C624" i="29"/>
  <c r="C625" i="29"/>
  <c r="C626" i="29"/>
  <c r="C627" i="29"/>
  <c r="C628" i="29"/>
  <c r="C629" i="29"/>
  <c r="C630" i="29"/>
  <c r="C631" i="29"/>
  <c r="C632" i="29"/>
  <c r="C633" i="29"/>
  <c r="C634" i="29"/>
  <c r="C635" i="29"/>
  <c r="C636" i="29"/>
  <c r="C637" i="29"/>
  <c r="C638" i="29"/>
  <c r="C639" i="29"/>
  <c r="C640" i="29"/>
  <c r="C641" i="29"/>
  <c r="C642" i="29"/>
  <c r="C643" i="29"/>
  <c r="C644" i="29"/>
  <c r="C645" i="29"/>
  <c r="C646" i="29"/>
  <c r="C647" i="29"/>
  <c r="C648" i="29"/>
  <c r="C649" i="29"/>
  <c r="C650" i="29"/>
  <c r="C651" i="29"/>
  <c r="C652" i="29"/>
  <c r="C653" i="29"/>
  <c r="C654" i="29"/>
  <c r="C655" i="29"/>
  <c r="C656" i="29"/>
  <c r="C657" i="29"/>
  <c r="C658" i="29"/>
  <c r="C659" i="29"/>
  <c r="C660" i="29"/>
  <c r="C661" i="29"/>
  <c r="C662" i="29"/>
  <c r="C663" i="29"/>
  <c r="C664" i="29"/>
  <c r="C665" i="29"/>
  <c r="C666" i="29"/>
  <c r="C667" i="29"/>
  <c r="C668" i="29"/>
  <c r="C669" i="29"/>
  <c r="C670" i="29"/>
  <c r="C671" i="29"/>
  <c r="C672" i="29"/>
  <c r="C673" i="29"/>
  <c r="C674" i="29"/>
  <c r="C675" i="29"/>
  <c r="C676" i="29"/>
  <c r="C677" i="29"/>
  <c r="C678" i="29"/>
  <c r="C679" i="29"/>
  <c r="C680" i="29"/>
  <c r="C681" i="29"/>
  <c r="C682" i="29"/>
  <c r="C683" i="29"/>
  <c r="C684" i="29"/>
  <c r="C685" i="29"/>
  <c r="C686" i="29"/>
  <c r="C687" i="29"/>
  <c r="C688" i="29"/>
  <c r="C689" i="29"/>
  <c r="C690" i="29"/>
  <c r="C691" i="29"/>
  <c r="C692" i="29"/>
  <c r="C693" i="29"/>
  <c r="C694" i="29"/>
  <c r="C695" i="29"/>
  <c r="C696" i="29"/>
  <c r="C697" i="29"/>
  <c r="C698" i="29"/>
  <c r="C699" i="29"/>
  <c r="C700" i="29"/>
  <c r="C701" i="29"/>
  <c r="C702" i="29"/>
  <c r="C703" i="29"/>
  <c r="C704" i="29"/>
  <c r="C705" i="29"/>
  <c r="C706" i="29"/>
  <c r="C707" i="29"/>
  <c r="C708" i="29"/>
  <c r="C709" i="29"/>
  <c r="C710" i="29"/>
  <c r="C711" i="29"/>
  <c r="C712" i="29"/>
  <c r="C713" i="29"/>
  <c r="C714" i="29"/>
  <c r="C715" i="29"/>
  <c r="C716" i="29"/>
  <c r="C717" i="29"/>
  <c r="C718" i="29"/>
  <c r="C719" i="29"/>
  <c r="C720" i="29"/>
  <c r="C721" i="29"/>
  <c r="C722" i="29"/>
  <c r="C723" i="29"/>
  <c r="C724" i="29"/>
  <c r="C725" i="29"/>
  <c r="C726" i="29"/>
  <c r="C727" i="29"/>
  <c r="C728" i="29"/>
  <c r="C729" i="29"/>
  <c r="C730" i="29"/>
  <c r="C731" i="29"/>
  <c r="C732" i="29"/>
  <c r="C733" i="29"/>
  <c r="C734" i="29"/>
  <c r="C735" i="29"/>
  <c r="C736" i="29"/>
  <c r="C737" i="29"/>
  <c r="C738" i="29"/>
  <c r="C739" i="29"/>
  <c r="C740" i="29"/>
  <c r="C741" i="29"/>
  <c r="C742" i="29"/>
  <c r="C743" i="29"/>
  <c r="C744" i="29"/>
  <c r="C745" i="29"/>
  <c r="C746" i="29"/>
  <c r="C747" i="29"/>
  <c r="C748" i="29"/>
  <c r="C749" i="29"/>
  <c r="C750" i="29"/>
  <c r="C751" i="29"/>
  <c r="C752" i="29"/>
  <c r="C753" i="29"/>
  <c r="C754" i="29"/>
  <c r="C755" i="29"/>
  <c r="C756" i="29"/>
  <c r="C757" i="29"/>
  <c r="C758" i="29"/>
  <c r="C759" i="29"/>
  <c r="C760" i="29"/>
  <c r="C761" i="29"/>
  <c r="C762" i="29"/>
  <c r="C763" i="29"/>
  <c r="C764" i="29"/>
  <c r="C765" i="29"/>
  <c r="C766" i="29"/>
  <c r="C767" i="29"/>
  <c r="C768" i="29"/>
  <c r="C769" i="29"/>
  <c r="C770" i="29"/>
  <c r="C771" i="29"/>
  <c r="C772" i="29"/>
  <c r="C773" i="29"/>
  <c r="C774" i="29"/>
  <c r="C775" i="29"/>
  <c r="C776" i="29"/>
  <c r="C777" i="29"/>
  <c r="C778" i="29"/>
  <c r="C779" i="29"/>
  <c r="C780" i="29"/>
  <c r="C781" i="29"/>
  <c r="C782" i="29"/>
  <c r="C783" i="29"/>
  <c r="C784" i="29"/>
  <c r="C785" i="29"/>
  <c r="C786" i="29"/>
  <c r="C787" i="29"/>
  <c r="C788" i="29"/>
  <c r="C789" i="29"/>
  <c r="C790" i="29"/>
  <c r="C791" i="29"/>
  <c r="C792" i="29"/>
  <c r="C793" i="29"/>
  <c r="C794" i="29"/>
  <c r="C795" i="29"/>
  <c r="C796" i="29"/>
  <c r="C797" i="29"/>
  <c r="C798" i="29"/>
  <c r="C799" i="29"/>
  <c r="C800" i="29"/>
  <c r="C801" i="29"/>
  <c r="C802" i="29"/>
  <c r="C803" i="29"/>
  <c r="C804" i="29"/>
  <c r="C805" i="29"/>
  <c r="C806" i="29"/>
  <c r="C807" i="29"/>
  <c r="C808" i="29"/>
  <c r="C809" i="29"/>
  <c r="C810" i="29"/>
  <c r="C811" i="29"/>
  <c r="C812" i="29"/>
  <c r="C813" i="29"/>
  <c r="C814" i="29"/>
  <c r="C815" i="29"/>
  <c r="C816" i="29"/>
  <c r="C817" i="29"/>
  <c r="C818" i="29"/>
  <c r="C819" i="29"/>
  <c r="C820" i="29"/>
  <c r="C821" i="29"/>
  <c r="C822" i="29"/>
  <c r="C823" i="29"/>
  <c r="C824" i="29"/>
  <c r="C825" i="29"/>
  <c r="C826" i="29"/>
  <c r="C827" i="29"/>
  <c r="C828" i="29"/>
  <c r="C829" i="29"/>
  <c r="C830" i="29"/>
  <c r="C831" i="29"/>
  <c r="C832" i="29"/>
  <c r="C833" i="29"/>
  <c r="C834" i="29"/>
  <c r="C835" i="29"/>
  <c r="C836" i="29"/>
  <c r="C837" i="29"/>
  <c r="C838" i="29"/>
  <c r="C839" i="29"/>
  <c r="C840" i="29"/>
  <c r="C841" i="29"/>
  <c r="C842" i="29"/>
  <c r="C843" i="29"/>
  <c r="C844" i="29"/>
  <c r="C845" i="29"/>
  <c r="C846" i="29"/>
  <c r="C847" i="29"/>
  <c r="C848" i="29"/>
  <c r="C849" i="29"/>
  <c r="C850" i="29"/>
  <c r="C851" i="29"/>
  <c r="C852" i="29"/>
  <c r="C853" i="29"/>
  <c r="C854" i="29"/>
  <c r="C855" i="29"/>
  <c r="C856" i="29"/>
  <c r="C857" i="29"/>
  <c r="C858" i="29"/>
  <c r="C859" i="29"/>
  <c r="C860" i="29"/>
  <c r="C861" i="29"/>
  <c r="C862" i="29"/>
  <c r="C863" i="29"/>
  <c r="C864" i="29"/>
  <c r="C865" i="29"/>
  <c r="C866" i="29"/>
  <c r="C867" i="29"/>
  <c r="C868" i="29"/>
  <c r="C869" i="29"/>
  <c r="C870" i="29"/>
  <c r="C871" i="29"/>
  <c r="C872" i="29"/>
  <c r="C873" i="29"/>
  <c r="C874" i="29"/>
  <c r="C875" i="29"/>
  <c r="C876" i="29"/>
  <c r="C877" i="29"/>
  <c r="C878" i="29"/>
  <c r="C879" i="29"/>
  <c r="C880" i="29"/>
  <c r="C881" i="29"/>
  <c r="C882" i="29"/>
  <c r="C883" i="29"/>
  <c r="C884" i="29"/>
  <c r="C885" i="29"/>
  <c r="C886" i="29"/>
  <c r="C887" i="29"/>
  <c r="C888" i="29"/>
  <c r="C889" i="29"/>
  <c r="C890" i="29"/>
  <c r="C891" i="29"/>
  <c r="C892" i="29"/>
  <c r="C893" i="29"/>
  <c r="C894" i="29"/>
  <c r="C895" i="29"/>
  <c r="C896" i="29"/>
  <c r="C897" i="29"/>
  <c r="C898" i="29"/>
  <c r="C899" i="29"/>
  <c r="C900" i="29"/>
  <c r="C901" i="29"/>
  <c r="C902" i="29"/>
  <c r="C903" i="29"/>
  <c r="C904" i="29"/>
  <c r="C905" i="29"/>
  <c r="C906" i="29"/>
  <c r="C907" i="29"/>
  <c r="C908" i="29"/>
  <c r="C909" i="29"/>
  <c r="C910" i="29"/>
  <c r="C911" i="29"/>
  <c r="C912" i="29"/>
  <c r="C913" i="29"/>
  <c r="C914" i="29"/>
  <c r="C915" i="29"/>
  <c r="C916" i="29"/>
  <c r="C917" i="29"/>
  <c r="C918" i="29"/>
  <c r="C919" i="29"/>
  <c r="C920" i="29"/>
  <c r="C921" i="29"/>
  <c r="C922" i="29"/>
  <c r="C923" i="29"/>
  <c r="C924" i="29"/>
  <c r="C925" i="29"/>
  <c r="C926" i="29"/>
  <c r="C927" i="29"/>
  <c r="C928" i="29"/>
  <c r="C929" i="29"/>
  <c r="C930" i="29"/>
  <c r="C931" i="29"/>
  <c r="Q289" i="29"/>
  <c r="Q301" i="29"/>
  <c r="Q313" i="29"/>
  <c r="Q325" i="29"/>
  <c r="Q337" i="29"/>
  <c r="Q349" i="29"/>
  <c r="Q361" i="29"/>
  <c r="Q373" i="29"/>
  <c r="Q385" i="29"/>
  <c r="Q397" i="29"/>
  <c r="Q433" i="29"/>
  <c r="Q445" i="29"/>
  <c r="Q469" i="29"/>
  <c r="Q481" i="29"/>
  <c r="Q493" i="29"/>
  <c r="Q505" i="29"/>
  <c r="Q517" i="29"/>
  <c r="Q553" i="29"/>
  <c r="Q565" i="29"/>
  <c r="Q577" i="29"/>
  <c r="Q589" i="29"/>
  <c r="Q601" i="29"/>
  <c r="Q614" i="29"/>
  <c r="Q637" i="29"/>
  <c r="Q638" i="29"/>
  <c r="Q649" i="29"/>
  <c r="Q650" i="29"/>
  <c r="Q661" i="29"/>
  <c r="Q662" i="29"/>
  <c r="Q673" i="29"/>
  <c r="Q674" i="29"/>
  <c r="Q685" i="29"/>
  <c r="Q686" i="29"/>
  <c r="Q697" i="29"/>
  <c r="Q698" i="29"/>
  <c r="Q704" i="29"/>
  <c r="Q709" i="29"/>
  <c r="Q710" i="29"/>
  <c r="Q716" i="29"/>
  <c r="Q722" i="29"/>
  <c r="Q733" i="29"/>
  <c r="Q734" i="29"/>
  <c r="Q746" i="29"/>
  <c r="Q757" i="29"/>
  <c r="Q758" i="29"/>
  <c r="Q769" i="29"/>
  <c r="Q770" i="29"/>
  <c r="Q776" i="29"/>
  <c r="Q781" i="29"/>
  <c r="Q782" i="29"/>
  <c r="Q800" i="29"/>
  <c r="Q805" i="29"/>
  <c r="Q806" i="29"/>
  <c r="Q817" i="29"/>
  <c r="Q818" i="29"/>
  <c r="Q829" i="29"/>
  <c r="Q841" i="29"/>
  <c r="Q882" i="29"/>
  <c r="Q906" i="29"/>
  <c r="Q907" i="29"/>
  <c r="Q908" i="29"/>
  <c r="Q909" i="29"/>
  <c r="Q917" i="29"/>
  <c r="Q919" i="29"/>
  <c r="Q927" i="29"/>
  <c r="Q25" i="29"/>
  <c r="Q37" i="29"/>
  <c r="Q61" i="29"/>
  <c r="Q73" i="29"/>
  <c r="Q85" i="29"/>
  <c r="Q97" i="29"/>
  <c r="Q109" i="29"/>
  <c r="Q121" i="29"/>
  <c r="Q133" i="29"/>
  <c r="Q157" i="29"/>
  <c r="Q169" i="29"/>
  <c r="Q181" i="29"/>
  <c r="Q193" i="29"/>
  <c r="Q205" i="29"/>
  <c r="Q217" i="29"/>
  <c r="Q229" i="29"/>
  <c r="Q253" i="29"/>
  <c r="Q265" i="29"/>
  <c r="Q277" i="29"/>
  <c r="Q494" i="29"/>
  <c r="Q506" i="29"/>
  <c r="Q518" i="29"/>
  <c r="Q542" i="29"/>
  <c r="Q554" i="29"/>
  <c r="Q566" i="29"/>
  <c r="Q578" i="29"/>
  <c r="Q590" i="29"/>
  <c r="Q602" i="29"/>
  <c r="Q626" i="29"/>
  <c r="Q921" i="29"/>
  <c r="Q922" i="29"/>
  <c r="Q928" i="29"/>
  <c r="Q929" i="29"/>
  <c r="Q8" i="29"/>
  <c r="Q20" i="29"/>
  <c r="Q32" i="29"/>
  <c r="Q80" i="29"/>
  <c r="Q128" i="29"/>
  <c r="Q164" i="29"/>
  <c r="Q176" i="29"/>
  <c r="Q224" i="29"/>
  <c r="Q260" i="29"/>
  <c r="Q272" i="29"/>
  <c r="Q284" i="29"/>
  <c r="Q320" i="29"/>
  <c r="Q332" i="29"/>
  <c r="Q392" i="29"/>
  <c r="Q500" i="29"/>
  <c r="Q512" i="29"/>
  <c r="Q536" i="29"/>
  <c r="Q572" i="29"/>
  <c r="Q620" i="29"/>
  <c r="Q632" i="29"/>
  <c r="Q801" i="29"/>
  <c r="Q838" i="29"/>
  <c r="Q850" i="29"/>
  <c r="Q868" i="29"/>
  <c r="Q880" i="29"/>
  <c r="Q892" i="29"/>
  <c r="Q904" i="29"/>
  <c r="Q122" i="29"/>
  <c r="Q125" i="29"/>
  <c r="Q126" i="29"/>
  <c r="Q134" i="29"/>
  <c r="Q137" i="29"/>
  <c r="Q139" i="29"/>
  <c r="Q141" i="29"/>
  <c r="Q259" i="29"/>
  <c r="Q261" i="29"/>
  <c r="Q262" i="29"/>
  <c r="Q266" i="29"/>
  <c r="Q267" i="29"/>
  <c r="Q270" i="29"/>
  <c r="Q271" i="29"/>
  <c r="Q273" i="29"/>
  <c r="Q274" i="29"/>
  <c r="Q278" i="29"/>
  <c r="Q279" i="29"/>
  <c r="Q283" i="29"/>
  <c r="Q286" i="29"/>
  <c r="Q312" i="29"/>
  <c r="Q315" i="29"/>
  <c r="Q316" i="29"/>
  <c r="Q317" i="29"/>
  <c r="Q319" i="29"/>
  <c r="Q328" i="29"/>
  <c r="Q329" i="29"/>
  <c r="Q333" i="29"/>
  <c r="Q334" i="29"/>
  <c r="Q335" i="29"/>
  <c r="Q336" i="29"/>
  <c r="Q346" i="29"/>
  <c r="Q347" i="29"/>
  <c r="Q348" i="29"/>
  <c r="Q352" i="29"/>
  <c r="Q389" i="29"/>
  <c r="Q394" i="29"/>
  <c r="Q395" i="29"/>
  <c r="Q396" i="29"/>
  <c r="Q400" i="29"/>
  <c r="Q401" i="29"/>
  <c r="Q454" i="29"/>
  <c r="Q455" i="29"/>
  <c r="Q456" i="29"/>
  <c r="Q461" i="29"/>
  <c r="Q467" i="29"/>
  <c r="Q468" i="29"/>
  <c r="Q473" i="29"/>
  <c r="Q477" i="29"/>
  <c r="Q582" i="29"/>
  <c r="Q583" i="29"/>
  <c r="Q585" i="29"/>
  <c r="Q617" i="29"/>
  <c r="Q618" i="29"/>
  <c r="Q619" i="29"/>
  <c r="Q621" i="29"/>
  <c r="Q628" i="29"/>
  <c r="Q629" i="29"/>
  <c r="Q630" i="29"/>
  <c r="Q631" i="29"/>
  <c r="Q633" i="29"/>
  <c r="Q641" i="29"/>
  <c r="Q683" i="29"/>
  <c r="Q684" i="29"/>
  <c r="Q689" i="29"/>
  <c r="Q690" i="29"/>
  <c r="Q693" i="29"/>
  <c r="Q694" i="29"/>
  <c r="Q695" i="29"/>
  <c r="Q783" i="29"/>
  <c r="Q785" i="29"/>
  <c r="Q787" i="29"/>
  <c r="Q789" i="29"/>
  <c r="Q790" i="29"/>
  <c r="Q795" i="29"/>
  <c r="Q797" i="29"/>
  <c r="Q798" i="29"/>
  <c r="Q799" i="29"/>
  <c r="Q802" i="29"/>
  <c r="Q821" i="29"/>
  <c r="Q825" i="29"/>
  <c r="Q826" i="29"/>
  <c r="Q827" i="29"/>
  <c r="Q828" i="29"/>
  <c r="Q834" i="29"/>
  <c r="Q837" i="29"/>
  <c r="Q839" i="29"/>
  <c r="Q851" i="29"/>
  <c r="Q852" i="29"/>
  <c r="Q857" i="29"/>
  <c r="Q2" i="29"/>
  <c r="Q3" i="29"/>
  <c r="Q4" i="29"/>
  <c r="Q11" i="29"/>
  <c r="Q14" i="29"/>
  <c r="Q15" i="29"/>
  <c r="Q16" i="29"/>
  <c r="Q23" i="29"/>
  <c r="Q24" i="29"/>
  <c r="Q26" i="29"/>
  <c r="Q27" i="29"/>
  <c r="Q28" i="29"/>
  <c r="Q35" i="29"/>
  <c r="Q36" i="29"/>
  <c r="Q38" i="29"/>
  <c r="Q39" i="29"/>
  <c r="Q40" i="29"/>
  <c r="Q50" i="29"/>
  <c r="Q51" i="29"/>
  <c r="Q52" i="29"/>
  <c r="Q57" i="29"/>
  <c r="Q59" i="29"/>
  <c r="Q60" i="29"/>
  <c r="Q62" i="29"/>
  <c r="Q63" i="29"/>
  <c r="Q64" i="29"/>
  <c r="Q72" i="29"/>
  <c r="Q74" i="29"/>
  <c r="Q75" i="29"/>
  <c r="Q76" i="29"/>
  <c r="Q81" i="29"/>
  <c r="Q83" i="29"/>
  <c r="Q84" i="29"/>
  <c r="Q86" i="29"/>
  <c r="Q87" i="29"/>
  <c r="Q88" i="29"/>
  <c r="Q96" i="29"/>
  <c r="Q98" i="29"/>
  <c r="Q101" i="29"/>
  <c r="Q106" i="29"/>
  <c r="Q107" i="29"/>
  <c r="Q110" i="29"/>
  <c r="Q111" i="29"/>
  <c r="Q112" i="29"/>
  <c r="Q113" i="29"/>
  <c r="Q114" i="29"/>
  <c r="Q146" i="29"/>
  <c r="Q147" i="29"/>
  <c r="Q149" i="29"/>
  <c r="Q151" i="29"/>
  <c r="Q153" i="29"/>
  <c r="Q154" i="29"/>
  <c r="Q161" i="29"/>
  <c r="Q163" i="29"/>
  <c r="Q166" i="29"/>
  <c r="Q170" i="29"/>
  <c r="Q171" i="29"/>
  <c r="Q173" i="29"/>
  <c r="Q175" i="29"/>
  <c r="Q211" i="29"/>
  <c r="Q213" i="29"/>
  <c r="Q218" i="29"/>
  <c r="Q220" i="29"/>
  <c r="Q221" i="29"/>
  <c r="Q223" i="29"/>
  <c r="Q230" i="29"/>
  <c r="Q233" i="29"/>
  <c r="Q234" i="29"/>
  <c r="Q235" i="29"/>
  <c r="Q237" i="29"/>
  <c r="Q292" i="29"/>
  <c r="Q293" i="29"/>
  <c r="Q294" i="29"/>
  <c r="Q310" i="29"/>
  <c r="Q311" i="29"/>
  <c r="Q326" i="29"/>
  <c r="Q355" i="29"/>
  <c r="Q358" i="29"/>
  <c r="Q359" i="29"/>
  <c r="Q407" i="29"/>
  <c r="Q408" i="29"/>
  <c r="Q410" i="29"/>
  <c r="Q413" i="29"/>
  <c r="Q415" i="29"/>
  <c r="Q419" i="29"/>
  <c r="Q420" i="29"/>
  <c r="Q422" i="29"/>
  <c r="Q423" i="29"/>
  <c r="Q424" i="29"/>
  <c r="Q425" i="29"/>
  <c r="Q427" i="29"/>
  <c r="Q432" i="29"/>
  <c r="Q434" i="29"/>
  <c r="Q435" i="29"/>
  <c r="Q436" i="29"/>
  <c r="Q437" i="29"/>
  <c r="Q439" i="29"/>
  <c r="Q483" i="29"/>
  <c r="Q484" i="29"/>
  <c r="Q485" i="29"/>
  <c r="Q487" i="29"/>
  <c r="Q492" i="29"/>
  <c r="Q495" i="29"/>
  <c r="Q496" i="29"/>
  <c r="Q497" i="29"/>
  <c r="Q499" i="29"/>
  <c r="Q591" i="29"/>
  <c r="Q593" i="29"/>
  <c r="Q595" i="29"/>
  <c r="Q643" i="29"/>
  <c r="Q644" i="29"/>
  <c r="Q648" i="29"/>
  <c r="Q651" i="29"/>
  <c r="Q699" i="29"/>
  <c r="Q700" i="29"/>
  <c r="Q701" i="29"/>
  <c r="Q703" i="29"/>
  <c r="Q707" i="29"/>
  <c r="Q708" i="29"/>
  <c r="Q711" i="29"/>
  <c r="Q712" i="29"/>
  <c r="Q713" i="29"/>
  <c r="Q715" i="29"/>
  <c r="Q720" i="29"/>
  <c r="Q723" i="29"/>
  <c r="Q724" i="29"/>
  <c r="Q725" i="29"/>
  <c r="Q726" i="29"/>
  <c r="Q727" i="29"/>
  <c r="Q731" i="29"/>
  <c r="Q732" i="29"/>
  <c r="Q735" i="29"/>
  <c r="Q736" i="29"/>
  <c r="Q737" i="29"/>
  <c r="Q738" i="29"/>
  <c r="Q739" i="29"/>
  <c r="Q743" i="29"/>
  <c r="Q744" i="29"/>
  <c r="Q772" i="29"/>
  <c r="Q773" i="29"/>
  <c r="Q775" i="29"/>
  <c r="Q804" i="29"/>
  <c r="Q861" i="29"/>
  <c r="Q862" i="29"/>
  <c r="Q864" i="29"/>
  <c r="Q867" i="29"/>
  <c r="Q869" i="29"/>
  <c r="Q873" i="29"/>
  <c r="Q874" i="29"/>
  <c r="Q879" i="29"/>
  <c r="Q911" i="29"/>
  <c r="Q177" i="29"/>
  <c r="Q180" i="29"/>
  <c r="Q182" i="29"/>
  <c r="Q183" i="29"/>
  <c r="Q184" i="29"/>
  <c r="Q191" i="29"/>
  <c r="Q192" i="29"/>
  <c r="Q194" i="29"/>
  <c r="Q195" i="29"/>
  <c r="Q196" i="29"/>
  <c r="Q203" i="29"/>
  <c r="Q204" i="29"/>
  <c r="Q206" i="29"/>
  <c r="Q207" i="29"/>
  <c r="Q208" i="29"/>
  <c r="Q244" i="29"/>
  <c r="Q245" i="29"/>
  <c r="Q250" i="29"/>
  <c r="Q251" i="29"/>
  <c r="Q252" i="29"/>
  <c r="Q298" i="29"/>
  <c r="Q299" i="29"/>
  <c r="Q302" i="29"/>
  <c r="Q303" i="29"/>
  <c r="Q304" i="29"/>
  <c r="Q305" i="29"/>
  <c r="Q306" i="29"/>
  <c r="Q362" i="29"/>
  <c r="Q364" i="29"/>
  <c r="Q365" i="29"/>
  <c r="Q366" i="29"/>
  <c r="Q367" i="29"/>
  <c r="Q369" i="29"/>
  <c r="Q374" i="29"/>
  <c r="Q376" i="29"/>
  <c r="Q377" i="29"/>
  <c r="Q379" i="29"/>
  <c r="Q381" i="29"/>
  <c r="Q386" i="29"/>
  <c r="Q388" i="29"/>
  <c r="Q442" i="29"/>
  <c r="Q443" i="29"/>
  <c r="Q444" i="29"/>
  <c r="Q449" i="29"/>
  <c r="Q450" i="29"/>
  <c r="Q504" i="29"/>
  <c r="Q507" i="29"/>
  <c r="Q508" i="29"/>
  <c r="Q513" i="29"/>
  <c r="Q519" i="29"/>
  <c r="Q520" i="29"/>
  <c r="Q525" i="29"/>
  <c r="Q527" i="29"/>
  <c r="Q528" i="29"/>
  <c r="Q530" i="29"/>
  <c r="Q531" i="29"/>
  <c r="Q532" i="29"/>
  <c r="Q540" i="29"/>
  <c r="Q543" i="29"/>
  <c r="Q544" i="29"/>
  <c r="Q551" i="29"/>
  <c r="Q552" i="29"/>
  <c r="Q555" i="29"/>
  <c r="Q556" i="29"/>
  <c r="Q561" i="29"/>
  <c r="Q563" i="29"/>
  <c r="Q564" i="29"/>
  <c r="Q567" i="29"/>
  <c r="Q568" i="29"/>
  <c r="Q573" i="29"/>
  <c r="Q575" i="29"/>
  <c r="Q576" i="29"/>
  <c r="Q579" i="29"/>
  <c r="Q580" i="29"/>
  <c r="Q599" i="29"/>
  <c r="Q600" i="29"/>
  <c r="Q604" i="29"/>
  <c r="Q605" i="29"/>
  <c r="Q612" i="29"/>
  <c r="Q652" i="29"/>
  <c r="Q653" i="29"/>
  <c r="Q655" i="29"/>
  <c r="Q657" i="29"/>
  <c r="Q665" i="29"/>
  <c r="Q667" i="29"/>
  <c r="Q669" i="29"/>
  <c r="Q676" i="29"/>
  <c r="Q677" i="29"/>
  <c r="Q679" i="29"/>
  <c r="Q681" i="29"/>
  <c r="Q747" i="29"/>
  <c r="Q748" i="29"/>
  <c r="Q751" i="29"/>
  <c r="Q753" i="29"/>
  <c r="Q754" i="29"/>
  <c r="Q755" i="29"/>
  <c r="Q759" i="29"/>
  <c r="Q760" i="29"/>
  <c r="Q762" i="29"/>
  <c r="Q763" i="29"/>
  <c r="Q765" i="29"/>
  <c r="Q766" i="29"/>
  <c r="Q767" i="29"/>
  <c r="Q777" i="29"/>
  <c r="Q778" i="29"/>
  <c r="Q809" i="29"/>
  <c r="Q810" i="29"/>
  <c r="Q811" i="29"/>
  <c r="Q813" i="29"/>
  <c r="Q883" i="29"/>
  <c r="Q885" i="29"/>
  <c r="Q886" i="29"/>
  <c r="Q887" i="29"/>
  <c r="Q895" i="29"/>
  <c r="Q897" i="29"/>
  <c r="Q898" i="29"/>
  <c r="Q899" i="29"/>
  <c r="Q923" i="29"/>
  <c r="Q10" i="29"/>
  <c r="Q22" i="29"/>
  <c r="Q34" i="29"/>
  <c r="Q46" i="29"/>
  <c r="Q58" i="29"/>
  <c r="Q70" i="29"/>
  <c r="Q82" i="29"/>
  <c r="Q94" i="29"/>
  <c r="Q5" i="29"/>
  <c r="Q7" i="29"/>
  <c r="Q12" i="29"/>
  <c r="Q13" i="29"/>
  <c r="Q17" i="29"/>
  <c r="Q19" i="29"/>
  <c r="Q29" i="29"/>
  <c r="Q31" i="29"/>
  <c r="Q41" i="29"/>
  <c r="Q43" i="29"/>
  <c r="Q47" i="29"/>
  <c r="Q48" i="29"/>
  <c r="Q49" i="29"/>
  <c r="Q53" i="29"/>
  <c r="Q55" i="29"/>
  <c r="Q65" i="29"/>
  <c r="Q67" i="29"/>
  <c r="Q69" i="29"/>
  <c r="Q71" i="29"/>
  <c r="Q77" i="29"/>
  <c r="Q79" i="29"/>
  <c r="Q89" i="29"/>
  <c r="Q91" i="29"/>
  <c r="Q99" i="29"/>
  <c r="Q100" i="29"/>
  <c r="Q103" i="29"/>
  <c r="Q108" i="29"/>
  <c r="Q115" i="29"/>
  <c r="Q118" i="29"/>
  <c r="Q119" i="29"/>
  <c r="Q120" i="29"/>
  <c r="Q123" i="29"/>
  <c r="Q124" i="29"/>
  <c r="Q130" i="29"/>
  <c r="Q131" i="29"/>
  <c r="Q132" i="29"/>
  <c r="Q135" i="29"/>
  <c r="Q136" i="29"/>
  <c r="Q142" i="29"/>
  <c r="Q143" i="29"/>
  <c r="Q144" i="29"/>
  <c r="Q145" i="29"/>
  <c r="Q148" i="29"/>
  <c r="Q155" i="29"/>
  <c r="Q156" i="29"/>
  <c r="Q158" i="29"/>
  <c r="Q159" i="29"/>
  <c r="Q160" i="29"/>
  <c r="Q167" i="29"/>
  <c r="Q168" i="29"/>
  <c r="Q172" i="29"/>
  <c r="Q178" i="29"/>
  <c r="Q179" i="29"/>
  <c r="Q185" i="29"/>
  <c r="Q187" i="29"/>
  <c r="Q190" i="29"/>
  <c r="Q197" i="29"/>
  <c r="Q199" i="29"/>
  <c r="Q202" i="29"/>
  <c r="Q209" i="29"/>
  <c r="Q214" i="29"/>
  <c r="Q215" i="29"/>
  <c r="Q216" i="29"/>
  <c r="Q219" i="29"/>
  <c r="Q226" i="29"/>
  <c r="Q227" i="29"/>
  <c r="Q228" i="29"/>
  <c r="Q231" i="29"/>
  <c r="Q232" i="29"/>
  <c r="Q238" i="29"/>
  <c r="Q239" i="29"/>
  <c r="Q240" i="29"/>
  <c r="Q242" i="29"/>
  <c r="Q243" i="29"/>
  <c r="Q247" i="29"/>
  <c r="Q254" i="29"/>
  <c r="Q255" i="29"/>
  <c r="Q256" i="29"/>
  <c r="Q257" i="29"/>
  <c r="Q263" i="29"/>
  <c r="Q264" i="29"/>
  <c r="Q268" i="29"/>
  <c r="Q269" i="29"/>
  <c r="Q275" i="29"/>
  <c r="Q276" i="29"/>
  <c r="Q280" i="29"/>
  <c r="Q281" i="29"/>
  <c r="Q287" i="29"/>
  <c r="Q288" i="29"/>
  <c r="Q290" i="29"/>
  <c r="Q291" i="29"/>
  <c r="Q295" i="29"/>
  <c r="Q300" i="29"/>
  <c r="Q307" i="29"/>
  <c r="Q314" i="29"/>
  <c r="Q321" i="29"/>
  <c r="Q322" i="29"/>
  <c r="Q323" i="29"/>
  <c r="Q324" i="29"/>
  <c r="Q327" i="29"/>
  <c r="Q331" i="29"/>
  <c r="Q339" i="29"/>
  <c r="Q340" i="29"/>
  <c r="Q341" i="29"/>
  <c r="Q343" i="29"/>
  <c r="Q350" i="29"/>
  <c r="Q351" i="29"/>
  <c r="Q353" i="29"/>
  <c r="Q360" i="29"/>
  <c r="Q363" i="29"/>
  <c r="Q370" i="29"/>
  <c r="Q371" i="29"/>
  <c r="Q372" i="29"/>
  <c r="Q375" i="29"/>
  <c r="Q382" i="29"/>
  <c r="Q383" i="29"/>
  <c r="Q384" i="29"/>
  <c r="Q387" i="29"/>
  <c r="Q391" i="29"/>
  <c r="Q399" i="29"/>
  <c r="Q403" i="29"/>
  <c r="Q406" i="29"/>
  <c r="Q411" i="29"/>
  <c r="Q412" i="29"/>
  <c r="Q417" i="29"/>
  <c r="Q418" i="29"/>
  <c r="Q429" i="29"/>
  <c r="Q430" i="29"/>
  <c r="Q446" i="29"/>
  <c r="Q447" i="29"/>
  <c r="Q448" i="29"/>
  <c r="Q451" i="29"/>
  <c r="Q458" i="29"/>
  <c r="Q459" i="29"/>
  <c r="Q460" i="29"/>
  <c r="Q465" i="29"/>
  <c r="Q466" i="29"/>
  <c r="Q470" i="29"/>
  <c r="Q471" i="29"/>
  <c r="Q472" i="29"/>
  <c r="Q475" i="29"/>
  <c r="Q478" i="29"/>
  <c r="Q479" i="29"/>
  <c r="Q480" i="29"/>
  <c r="Q482" i="29"/>
  <c r="Q490" i="29"/>
  <c r="Q491" i="29"/>
  <c r="Q502" i="29"/>
  <c r="Q503" i="29"/>
  <c r="Q509" i="29"/>
  <c r="Q510" i="29"/>
  <c r="Q511" i="29"/>
  <c r="Q514" i="29"/>
  <c r="Q515" i="29"/>
  <c r="Q521" i="29"/>
  <c r="Q523" i="29"/>
  <c r="Q526" i="29"/>
  <c r="Q533" i="29"/>
  <c r="Q535" i="29"/>
  <c r="Q538" i="29"/>
  <c r="Q545" i="29"/>
  <c r="Q547" i="29"/>
  <c r="Q550" i="29"/>
  <c r="Q557" i="29"/>
  <c r="Q559" i="29"/>
  <c r="Q562" i="29"/>
  <c r="Q569" i="29"/>
  <c r="Q571" i="29"/>
  <c r="Q574" i="29"/>
  <c r="Q581" i="29"/>
  <c r="Q586" i="29"/>
  <c r="Q587" i="29"/>
  <c r="Q588" i="29"/>
  <c r="Q592" i="29"/>
  <c r="Q598" i="29"/>
  <c r="Q603" i="29"/>
  <c r="Q609" i="29"/>
  <c r="Q610" i="29"/>
  <c r="Q611" i="29"/>
  <c r="Q615" i="29"/>
  <c r="Q616" i="29"/>
  <c r="Q622" i="29"/>
  <c r="Q623" i="29"/>
  <c r="Q624" i="29"/>
  <c r="Q627" i="29"/>
  <c r="Q634" i="29"/>
  <c r="Q635" i="29"/>
  <c r="Q636" i="29"/>
  <c r="Q639" i="29"/>
  <c r="Q640" i="29"/>
  <c r="Q645" i="29"/>
  <c r="Q646" i="29"/>
  <c r="Q647" i="29"/>
  <c r="Q658" i="29"/>
  <c r="Q659" i="29"/>
  <c r="Q660" i="29"/>
  <c r="Q663" i="29"/>
  <c r="Q664" i="29"/>
  <c r="Q670" i="29"/>
  <c r="Q671" i="29"/>
  <c r="Q672" i="29"/>
  <c r="Q675" i="29"/>
  <c r="Q682" i="29"/>
  <c r="Q687" i="29"/>
  <c r="Q688" i="29"/>
  <c r="Q691" i="29"/>
  <c r="Q705" i="29"/>
  <c r="Q706" i="29"/>
  <c r="Q717" i="29"/>
  <c r="Q718" i="29"/>
  <c r="Q729" i="29"/>
  <c r="Q730" i="29"/>
  <c r="Q741" i="29"/>
  <c r="Q749" i="29"/>
  <c r="Q756" i="29"/>
  <c r="Q761" i="29"/>
  <c r="Q768" i="29"/>
  <c r="Q771" i="29"/>
  <c r="Q779" i="29"/>
  <c r="Q780" i="29"/>
  <c r="Q784" i="29"/>
  <c r="Q791" i="29"/>
  <c r="Q792" i="29"/>
  <c r="Q796" i="29"/>
  <c r="Q803" i="29"/>
  <c r="Q807" i="29"/>
  <c r="Q808" i="29"/>
  <c r="Q814" i="29"/>
  <c r="Q815" i="29"/>
  <c r="Q816" i="29"/>
  <c r="Q819" i="29"/>
  <c r="Q820" i="29"/>
  <c r="Q823" i="29"/>
  <c r="Q831" i="29"/>
  <c r="Q832" i="29"/>
  <c r="Q833" i="29"/>
  <c r="Q835" i="29"/>
  <c r="Q843" i="29"/>
  <c r="Q844" i="29"/>
  <c r="Q845" i="29"/>
  <c r="Q847" i="29"/>
  <c r="Q849" i="29"/>
  <c r="Q855" i="29"/>
  <c r="Q856" i="29"/>
  <c r="Q859" i="29"/>
  <c r="Q863" i="29"/>
  <c r="Q871" i="29"/>
  <c r="Q875" i="29"/>
  <c r="Q881" i="29"/>
  <c r="Q888" i="29"/>
  <c r="Q893" i="29"/>
  <c r="Q910" i="29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16" i="3"/>
  <c r="I117" i="3"/>
  <c r="I118" i="3"/>
  <c r="I119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76" i="3"/>
  <c r="I177" i="3"/>
  <c r="I144" i="3"/>
  <c r="I145" i="3"/>
  <c r="I178" i="3"/>
  <c r="I179" i="3"/>
  <c r="I180" i="3"/>
  <c r="I181" i="3"/>
  <c r="I146" i="3"/>
  <c r="I182" i="3"/>
  <c r="I183" i="3"/>
  <c r="I184" i="3"/>
  <c r="I185" i="3"/>
  <c r="I186" i="3"/>
  <c r="I187" i="3"/>
  <c r="I120" i="3"/>
  <c r="I188" i="3"/>
  <c r="I121" i="3"/>
  <c r="I147" i="3"/>
  <c r="I148" i="3"/>
  <c r="I149" i="3"/>
  <c r="I189" i="3"/>
  <c r="I190" i="3"/>
  <c r="I191" i="3"/>
  <c r="I192" i="3"/>
  <c r="I193" i="3"/>
  <c r="I194" i="3"/>
  <c r="I122" i="3"/>
  <c r="I123" i="3"/>
  <c r="I150" i="3"/>
  <c r="I151" i="3"/>
  <c r="I152" i="3"/>
  <c r="I153" i="3"/>
  <c r="I195" i="3"/>
  <c r="I196" i="3"/>
  <c r="I154" i="3"/>
  <c r="I197" i="3"/>
  <c r="I124" i="3"/>
  <c r="I125" i="3"/>
  <c r="I126" i="3"/>
  <c r="I155" i="3"/>
  <c r="I156" i="3"/>
  <c r="I157" i="3"/>
  <c r="I158" i="3"/>
  <c r="I198" i="3"/>
  <c r="I159" i="3"/>
  <c r="I199" i="3"/>
  <c r="I127" i="3"/>
  <c r="I128" i="3"/>
  <c r="I129" i="3"/>
  <c r="I130" i="3"/>
  <c r="I160" i="3"/>
  <c r="I161" i="3"/>
  <c r="I162" i="3"/>
  <c r="I163" i="3"/>
  <c r="I200" i="3"/>
  <c r="I164" i="3"/>
  <c r="I201" i="3"/>
  <c r="I131" i="3"/>
  <c r="I132" i="3"/>
  <c r="I133" i="3"/>
  <c r="I134" i="3"/>
  <c r="I165" i="3"/>
  <c r="I166" i="3"/>
  <c r="I167" i="3"/>
  <c r="I168" i="3"/>
  <c r="I135" i="3"/>
  <c r="I136" i="3"/>
  <c r="I137" i="3"/>
  <c r="I202" i="3"/>
  <c r="I203" i="3"/>
  <c r="I204" i="3"/>
  <c r="I138" i="3"/>
  <c r="I139" i="3"/>
  <c r="I205" i="3"/>
  <c r="I169" i="3"/>
  <c r="I140" i="3"/>
  <c r="I206" i="3"/>
  <c r="I207" i="3"/>
  <c r="I141" i="3"/>
  <c r="I170" i="3"/>
  <c r="I171" i="3"/>
  <c r="I142" i="3"/>
  <c r="I143" i="3"/>
  <c r="I208" i="3"/>
  <c r="I172" i="3"/>
  <c r="I173" i="3"/>
  <c r="I209" i="3"/>
  <c r="I210" i="3"/>
  <c r="I174" i="3"/>
  <c r="I175" i="3"/>
  <c r="I211" i="3"/>
  <c r="I212" i="3"/>
  <c r="I213" i="3"/>
  <c r="I243" i="3"/>
  <c r="I214" i="3"/>
  <c r="I244" i="3"/>
  <c r="I245" i="3"/>
  <c r="I246" i="3"/>
  <c r="I215" i="3"/>
  <c r="I216" i="3"/>
  <c r="I217" i="3"/>
  <c r="I247" i="3"/>
  <c r="I248" i="3"/>
  <c r="I249" i="3"/>
  <c r="I218" i="3"/>
  <c r="I219" i="3"/>
  <c r="I220" i="3"/>
  <c r="I221" i="3"/>
  <c r="I222" i="3"/>
  <c r="I223" i="3"/>
  <c r="I224" i="3"/>
  <c r="I250" i="3"/>
  <c r="I251" i="3"/>
  <c r="I252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53" i="3"/>
  <c r="I295" i="3"/>
  <c r="I254" i="3"/>
  <c r="I291" i="3"/>
  <c r="I255" i="3"/>
  <c r="I256" i="3"/>
  <c r="I296" i="3"/>
  <c r="I257" i="3"/>
  <c r="I292" i="3"/>
  <c r="I297" i="3"/>
  <c r="I298" i="3"/>
  <c r="I258" i="3"/>
  <c r="I299" i="3"/>
  <c r="I293" i="3"/>
  <c r="I294" i="3"/>
  <c r="I259" i="3"/>
  <c r="I260" i="3"/>
  <c r="I261" i="3"/>
  <c r="I300" i="3"/>
  <c r="I301" i="3"/>
  <c r="I302" i="3"/>
  <c r="I262" i="3"/>
  <c r="I303" i="3"/>
  <c r="I263" i="3"/>
  <c r="I264" i="3"/>
  <c r="I265" i="3"/>
  <c r="I266" i="3"/>
  <c r="I304" i="3"/>
  <c r="I305" i="3"/>
  <c r="I306" i="3"/>
  <c r="I307" i="3"/>
  <c r="I267" i="3"/>
  <c r="I268" i="3"/>
  <c r="I269" i="3"/>
  <c r="I270" i="3"/>
  <c r="I271" i="3"/>
  <c r="I272" i="3"/>
  <c r="I273" i="3"/>
  <c r="I308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309" i="3"/>
  <c r="I310" i="3"/>
  <c r="I311" i="3"/>
  <c r="I322" i="3"/>
  <c r="I323" i="3"/>
  <c r="I324" i="3"/>
  <c r="I312" i="3"/>
  <c r="I313" i="3"/>
  <c r="I314" i="3"/>
  <c r="I315" i="3"/>
  <c r="I316" i="3"/>
  <c r="I317" i="3"/>
  <c r="I318" i="3"/>
  <c r="I319" i="3"/>
  <c r="I320" i="3"/>
  <c r="I325" i="3"/>
  <c r="I326" i="3"/>
  <c r="I321" i="3"/>
  <c r="I360" i="3"/>
  <c r="I361" i="3"/>
  <c r="I362" i="3"/>
  <c r="I363" i="3"/>
  <c r="I353" i="3"/>
  <c r="I354" i="3"/>
  <c r="I364" i="3"/>
  <c r="I365" i="3"/>
  <c r="I327" i="3"/>
  <c r="I328" i="3"/>
  <c r="I366" i="3"/>
  <c r="I367" i="3"/>
  <c r="I368" i="3"/>
  <c r="I369" i="3"/>
  <c r="I329" i="3"/>
  <c r="I330" i="3"/>
  <c r="I331" i="3"/>
  <c r="I332" i="3"/>
  <c r="I333" i="3"/>
  <c r="I334" i="3"/>
  <c r="I335" i="3"/>
  <c r="I336" i="3"/>
  <c r="I370" i="3"/>
  <c r="I371" i="3"/>
  <c r="I372" i="3"/>
  <c r="I373" i="3"/>
  <c r="I374" i="3"/>
  <c r="I375" i="3"/>
  <c r="I337" i="3"/>
  <c r="I338" i="3"/>
  <c r="I339" i="3"/>
  <c r="I340" i="3"/>
  <c r="I376" i="3"/>
  <c r="I377" i="3"/>
  <c r="I355" i="3"/>
  <c r="I378" i="3"/>
  <c r="I341" i="3"/>
  <c r="I342" i="3"/>
  <c r="I379" i="3"/>
  <c r="I380" i="3"/>
  <c r="I343" i="3"/>
  <c r="I344" i="3"/>
  <c r="I381" i="3"/>
  <c r="I382" i="3"/>
  <c r="I356" i="3"/>
  <c r="I345" i="3"/>
  <c r="I346" i="3"/>
  <c r="I357" i="3"/>
  <c r="I358" i="3"/>
  <c r="I359" i="3"/>
  <c r="I383" i="3"/>
  <c r="I384" i="3"/>
  <c r="I385" i="3"/>
  <c r="I386" i="3"/>
  <c r="I347" i="3"/>
  <c r="I348" i="3"/>
  <c r="I387" i="3"/>
  <c r="I388" i="3"/>
  <c r="I349" i="3"/>
  <c r="I350" i="3"/>
  <c r="I351" i="3"/>
  <c r="I352" i="3"/>
  <c r="I389" i="3"/>
  <c r="I390" i="3"/>
  <c r="I391" i="3"/>
  <c r="I392" i="3"/>
  <c r="I393" i="3"/>
  <c r="I394" i="3"/>
  <c r="I395" i="3"/>
  <c r="I396" i="3"/>
  <c r="I397" i="3"/>
  <c r="I398" i="3"/>
  <c r="I399" i="3"/>
  <c r="I404" i="3"/>
  <c r="I405" i="3"/>
  <c r="I406" i="3"/>
  <c r="I407" i="3"/>
  <c r="I408" i="3"/>
  <c r="I441" i="3"/>
  <c r="I442" i="3"/>
  <c r="I400" i="3"/>
  <c r="I409" i="3"/>
  <c r="I410" i="3"/>
  <c r="I411" i="3"/>
  <c r="I412" i="3"/>
  <c r="I413" i="3"/>
  <c r="I414" i="3"/>
  <c r="I443" i="3"/>
  <c r="I444" i="3"/>
  <c r="I401" i="3"/>
  <c r="I402" i="3"/>
  <c r="I415" i="3"/>
  <c r="I416" i="3"/>
  <c r="I417" i="3"/>
  <c r="I418" i="3"/>
  <c r="I419" i="3"/>
  <c r="I420" i="3"/>
  <c r="I421" i="3"/>
  <c r="I445" i="3"/>
  <c r="I446" i="3"/>
  <c r="I447" i="3"/>
  <c r="I448" i="3"/>
  <c r="I449" i="3"/>
  <c r="I403" i="3"/>
  <c r="I450" i="3"/>
  <c r="I422" i="3"/>
  <c r="I423" i="3"/>
  <c r="I424" i="3"/>
  <c r="I425" i="3"/>
  <c r="I426" i="3"/>
  <c r="I427" i="3"/>
  <c r="I451" i="3"/>
  <c r="I428" i="3"/>
  <c r="I429" i="3"/>
  <c r="I430" i="3"/>
  <c r="I452" i="3"/>
  <c r="I431" i="3"/>
  <c r="I432" i="3"/>
  <c r="I433" i="3"/>
  <c r="I434" i="3"/>
  <c r="I435" i="3"/>
  <c r="I436" i="3"/>
  <c r="I437" i="3"/>
  <c r="I438" i="3"/>
  <c r="I439" i="3"/>
  <c r="I440" i="3"/>
  <c r="I478" i="3"/>
  <c r="I479" i="3"/>
  <c r="I480" i="3"/>
  <c r="I481" i="3"/>
  <c r="I453" i="3"/>
  <c r="I454" i="3"/>
  <c r="I504" i="3"/>
  <c r="I505" i="3"/>
  <c r="I506" i="3"/>
  <c r="I507" i="3"/>
  <c r="I508" i="3"/>
  <c r="I509" i="3"/>
  <c r="I510" i="3"/>
  <c r="I511" i="3"/>
  <c r="I512" i="3"/>
  <c r="I513" i="3"/>
  <c r="I455" i="3"/>
  <c r="I456" i="3"/>
  <c r="I457" i="3"/>
  <c r="I458" i="3"/>
  <c r="I459" i="3"/>
  <c r="I460" i="3"/>
  <c r="I461" i="3"/>
  <c r="I462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26" i="3"/>
  <c r="I527" i="3"/>
  <c r="I528" i="3"/>
  <c r="I500" i="3"/>
  <c r="I529" i="3"/>
  <c r="I530" i="3"/>
  <c r="I531" i="3"/>
  <c r="I501" i="3"/>
  <c r="I532" i="3"/>
  <c r="I533" i="3"/>
  <c r="I534" i="3"/>
  <c r="I535" i="3"/>
  <c r="I536" i="3"/>
  <c r="I537" i="3"/>
  <c r="I538" i="3"/>
  <c r="I539" i="3"/>
  <c r="I540" i="3"/>
  <c r="I541" i="3"/>
  <c r="I542" i="3"/>
  <c r="I502" i="3"/>
  <c r="I543" i="3"/>
  <c r="I544" i="3"/>
  <c r="I545" i="3"/>
  <c r="I546" i="3"/>
  <c r="I503" i="3"/>
  <c r="I547" i="3"/>
  <c r="I548" i="3"/>
  <c r="I549" i="3"/>
  <c r="I550" i="3"/>
  <c r="I551" i="3"/>
  <c r="I552" i="3"/>
  <c r="I463" i="3"/>
  <c r="I464" i="3"/>
  <c r="I465" i="3"/>
  <c r="I553" i="3"/>
  <c r="I466" i="3"/>
  <c r="I467" i="3"/>
  <c r="I468" i="3"/>
  <c r="I469" i="3"/>
  <c r="I470" i="3"/>
  <c r="I471" i="3"/>
  <c r="I472" i="3"/>
  <c r="I473" i="3"/>
  <c r="I474" i="3"/>
  <c r="I475" i="3"/>
  <c r="I554" i="3"/>
  <c r="I555" i="3"/>
  <c r="I556" i="3"/>
  <c r="I557" i="3"/>
  <c r="I558" i="3"/>
  <c r="I559" i="3"/>
  <c r="I560" i="3"/>
  <c r="I561" i="3"/>
  <c r="I562" i="3"/>
  <c r="I563" i="3"/>
  <c r="I564" i="3"/>
  <c r="I476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477" i="3"/>
  <c r="I581" i="3"/>
  <c r="I590" i="3"/>
  <c r="I597" i="3"/>
  <c r="I598" i="3"/>
  <c r="I582" i="3"/>
  <c r="I591" i="3"/>
  <c r="I599" i="3"/>
  <c r="I583" i="3"/>
  <c r="I600" i="3"/>
  <c r="I601" i="3"/>
  <c r="I602" i="3"/>
  <c r="I592" i="3"/>
  <c r="I593" i="3"/>
  <c r="I603" i="3"/>
  <c r="I584" i="3"/>
  <c r="I585" i="3"/>
  <c r="I586" i="3"/>
  <c r="I604" i="3"/>
  <c r="I594" i="3"/>
  <c r="I605" i="3"/>
  <c r="I606" i="3"/>
  <c r="I587" i="3"/>
  <c r="I588" i="3"/>
  <c r="I607" i="3"/>
  <c r="I608" i="3"/>
  <c r="I595" i="3"/>
  <c r="I596" i="3"/>
  <c r="I589" i="3"/>
  <c r="I609" i="3"/>
  <c r="I610" i="3"/>
  <c r="I611" i="3"/>
  <c r="I612" i="3"/>
  <c r="I613" i="3"/>
  <c r="I643" i="3"/>
  <c r="I644" i="3"/>
  <c r="I645" i="3"/>
  <c r="I646" i="3"/>
  <c r="I647" i="3"/>
  <c r="I652" i="3"/>
  <c r="I653" i="3"/>
  <c r="I654" i="3"/>
  <c r="I655" i="3"/>
  <c r="I656" i="3"/>
  <c r="I657" i="3"/>
  <c r="I658" i="3"/>
  <c r="I659" i="3"/>
  <c r="I660" i="3"/>
  <c r="I661" i="3"/>
  <c r="I614" i="3"/>
  <c r="I615" i="3"/>
  <c r="I662" i="3"/>
  <c r="I663" i="3"/>
  <c r="I664" i="3"/>
  <c r="I665" i="3"/>
  <c r="I666" i="3"/>
  <c r="I667" i="3"/>
  <c r="I668" i="3"/>
  <c r="I669" i="3"/>
  <c r="I616" i="3"/>
  <c r="I617" i="3"/>
  <c r="I670" i="3"/>
  <c r="I671" i="3"/>
  <c r="I672" i="3"/>
  <c r="I673" i="3"/>
  <c r="I618" i="3"/>
  <c r="I619" i="3"/>
  <c r="I620" i="3"/>
  <c r="I674" i="3"/>
  <c r="I621" i="3"/>
  <c r="I622" i="3"/>
  <c r="I623" i="3"/>
  <c r="I624" i="3"/>
  <c r="I625" i="3"/>
  <c r="I675" i="3"/>
  <c r="I676" i="3"/>
  <c r="I626" i="3"/>
  <c r="I627" i="3"/>
  <c r="I628" i="3"/>
  <c r="I629" i="3"/>
  <c r="I677" i="3"/>
  <c r="I678" i="3"/>
  <c r="I630" i="3"/>
  <c r="I648" i="3"/>
  <c r="I649" i="3"/>
  <c r="I679" i="3"/>
  <c r="I680" i="3"/>
  <c r="I650" i="3"/>
  <c r="I651" i="3"/>
  <c r="I631" i="3"/>
  <c r="I632" i="3"/>
  <c r="I633" i="3"/>
  <c r="I634" i="3"/>
  <c r="I635" i="3"/>
  <c r="I636" i="3"/>
  <c r="I681" i="3"/>
  <c r="I682" i="3"/>
  <c r="I637" i="3"/>
  <c r="I638" i="3"/>
  <c r="I639" i="3"/>
  <c r="I640" i="3"/>
  <c r="I641" i="3"/>
  <c r="I642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45" i="3"/>
  <c r="I746" i="3"/>
  <c r="I747" i="3"/>
  <c r="I748" i="3"/>
  <c r="I683" i="3"/>
  <c r="I684" i="3"/>
  <c r="I749" i="3"/>
  <c r="I750" i="3"/>
  <c r="I751" i="3"/>
  <c r="I752" i="3"/>
  <c r="I753" i="3"/>
  <c r="I754" i="3"/>
  <c r="I755" i="3"/>
  <c r="I756" i="3"/>
  <c r="I757" i="3"/>
  <c r="I758" i="3"/>
  <c r="I685" i="3"/>
  <c r="I686" i="3"/>
  <c r="I759" i="3"/>
  <c r="I760" i="3"/>
  <c r="I761" i="3"/>
  <c r="I762" i="3"/>
  <c r="I763" i="3"/>
  <c r="I764" i="3"/>
  <c r="I725" i="3"/>
  <c r="I726" i="3"/>
  <c r="I727" i="3"/>
  <c r="I728" i="3"/>
  <c r="I729" i="3"/>
  <c r="I730" i="3"/>
  <c r="I731" i="3"/>
  <c r="I732" i="3"/>
  <c r="I765" i="3"/>
  <c r="I766" i="3"/>
  <c r="I687" i="3"/>
  <c r="I688" i="3"/>
  <c r="I689" i="3"/>
  <c r="I690" i="3"/>
  <c r="I691" i="3"/>
  <c r="I692" i="3"/>
  <c r="I693" i="3"/>
  <c r="I733" i="3"/>
  <c r="I734" i="3"/>
  <c r="I735" i="3"/>
  <c r="I736" i="3"/>
  <c r="I737" i="3"/>
  <c r="I767" i="3"/>
  <c r="I738" i="3"/>
  <c r="I739" i="3"/>
  <c r="I740" i="3"/>
  <c r="I768" i="3"/>
  <c r="I694" i="3"/>
  <c r="I695" i="3"/>
  <c r="I696" i="3"/>
  <c r="I769" i="3"/>
  <c r="I770" i="3"/>
  <c r="I741" i="3"/>
  <c r="I697" i="3"/>
  <c r="I698" i="3"/>
  <c r="I742" i="3"/>
  <c r="I743" i="3"/>
  <c r="I744" i="3"/>
  <c r="I771" i="3"/>
  <c r="I772" i="3"/>
  <c r="I777" i="3"/>
  <c r="I773" i="3"/>
  <c r="I774" i="3"/>
  <c r="I778" i="3"/>
  <c r="I775" i="3"/>
  <c r="I776" i="3"/>
  <c r="I779" i="3"/>
  <c r="I780" i="3"/>
  <c r="I781" i="3"/>
  <c r="I782" i="3"/>
  <c r="I783" i="3"/>
  <c r="I808" i="3"/>
  <c r="I784" i="3"/>
  <c r="I785" i="3"/>
  <c r="I786" i="3"/>
  <c r="I787" i="3"/>
  <c r="I788" i="3"/>
  <c r="I804" i="3"/>
  <c r="I809" i="3"/>
  <c r="I810" i="3"/>
  <c r="I789" i="3"/>
  <c r="I790" i="3"/>
  <c r="I805" i="3"/>
  <c r="I791" i="3"/>
  <c r="I811" i="3"/>
  <c r="I792" i="3"/>
  <c r="I806" i="3"/>
  <c r="I812" i="3"/>
  <c r="I813" i="3"/>
  <c r="I793" i="3"/>
  <c r="I814" i="3"/>
  <c r="I794" i="3"/>
  <c r="I795" i="3"/>
  <c r="I796" i="3"/>
  <c r="I797" i="3"/>
  <c r="I798" i="3"/>
  <c r="I799" i="3"/>
  <c r="I807" i="3"/>
  <c r="I815" i="3"/>
  <c r="I800" i="3"/>
  <c r="I816" i="3"/>
  <c r="I817" i="3"/>
  <c r="I801" i="3"/>
  <c r="I802" i="3"/>
  <c r="I818" i="3"/>
  <c r="I803" i="3"/>
  <c r="I861" i="3"/>
  <c r="I862" i="3"/>
  <c r="I863" i="3"/>
  <c r="I864" i="3"/>
  <c r="I865" i="3"/>
  <c r="I881" i="3"/>
  <c r="I882" i="3"/>
  <c r="I866" i="3"/>
  <c r="I883" i="3"/>
  <c r="I867" i="3"/>
  <c r="I884" i="3"/>
  <c r="I86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69" i="3"/>
  <c r="I870" i="3"/>
  <c r="I885" i="3"/>
  <c r="I886" i="3"/>
  <c r="I853" i="3"/>
  <c r="I854" i="3"/>
  <c r="I855" i="3"/>
  <c r="I856" i="3"/>
  <c r="I857" i="3"/>
  <c r="I858" i="3"/>
  <c r="I887" i="3"/>
  <c r="I888" i="3"/>
  <c r="I889" i="3"/>
  <c r="I890" i="3"/>
  <c r="I871" i="3"/>
  <c r="I872" i="3"/>
  <c r="I891" i="3"/>
  <c r="I892" i="3"/>
  <c r="I893" i="3"/>
  <c r="I894" i="3"/>
  <c r="I895" i="3"/>
  <c r="I896" i="3"/>
  <c r="I873" i="3"/>
  <c r="I874" i="3"/>
  <c r="I897" i="3"/>
  <c r="I898" i="3"/>
  <c r="I899" i="3"/>
  <c r="I900" i="3"/>
  <c r="I901" i="3"/>
  <c r="I902" i="3"/>
  <c r="I875" i="3"/>
  <c r="I876" i="3"/>
  <c r="I859" i="3"/>
  <c r="I860" i="3"/>
  <c r="I877" i="3"/>
  <c r="I903" i="3"/>
  <c r="I878" i="3"/>
  <c r="I904" i="3"/>
  <c r="I879" i="3"/>
  <c r="I880" i="3"/>
  <c r="I907" i="3"/>
  <c r="I908" i="3"/>
  <c r="I909" i="3"/>
  <c r="I910" i="3"/>
  <c r="I911" i="3"/>
  <c r="I912" i="3"/>
  <c r="I913" i="3"/>
  <c r="I914" i="3"/>
  <c r="I919" i="3"/>
  <c r="I920" i="3"/>
  <c r="I915" i="3"/>
  <c r="I916" i="3"/>
  <c r="I917" i="3"/>
  <c r="I918" i="3"/>
  <c r="I921" i="3"/>
  <c r="I922" i="3"/>
  <c r="I923" i="3"/>
  <c r="I924" i="3"/>
  <c r="I925" i="3"/>
  <c r="I926" i="3"/>
  <c r="I927" i="3"/>
  <c r="I928" i="3"/>
  <c r="I929" i="3"/>
  <c r="I930" i="3"/>
  <c r="I931" i="3"/>
  <c r="I905" i="3"/>
  <c r="I906" i="3"/>
  <c r="Q877" i="29" l="1"/>
  <c r="Q900" i="29"/>
  <c r="Q912" i="29"/>
  <c r="Q848" i="29"/>
  <c r="Q824" i="29"/>
  <c r="Q891" i="29"/>
  <c r="Q930" i="29"/>
  <c r="Q905" i="29"/>
  <c r="Q903" i="29"/>
  <c r="Q338" i="29"/>
  <c r="Q830" i="29"/>
  <c r="Q398" i="29"/>
  <c r="Q607" i="29"/>
  <c r="Q463" i="29"/>
  <c r="Q127" i="29"/>
  <c r="Q920" i="29"/>
  <c r="Q896" i="29"/>
  <c r="Q884" i="29"/>
  <c r="Q872" i="29"/>
  <c r="Q860" i="29"/>
  <c r="Q836" i="29"/>
  <c r="Q853" i="29"/>
  <c r="Q241" i="29"/>
  <c r="Q876" i="29"/>
  <c r="Q696" i="29"/>
  <c r="Q516" i="29"/>
  <c r="Q719" i="29"/>
  <c r="Q539" i="29"/>
  <c r="Q431" i="29"/>
  <c r="Q95" i="29"/>
  <c r="Q742" i="29"/>
  <c r="Q597" i="29"/>
  <c r="Q549" i="29"/>
  <c r="Q537" i="29"/>
  <c r="Q501" i="29"/>
  <c r="Q489" i="29"/>
  <c r="Q453" i="29"/>
  <c r="Q441" i="29"/>
  <c r="Q405" i="29"/>
  <c r="Q393" i="29"/>
  <c r="Q357" i="29"/>
  <c r="Q345" i="29"/>
  <c r="Q309" i="29"/>
  <c r="Q297" i="29"/>
  <c r="Q285" i="29"/>
  <c r="Q249" i="29"/>
  <c r="Q225" i="29"/>
  <c r="Q201" i="29"/>
  <c r="Q189" i="29"/>
  <c r="Q165" i="29"/>
  <c r="Q129" i="29"/>
  <c r="Q117" i="29"/>
  <c r="Q105" i="29"/>
  <c r="Q93" i="29"/>
  <c r="Q45" i="29"/>
  <c r="Q33" i="29"/>
  <c r="Q21" i="29"/>
  <c r="Q9" i="29"/>
  <c r="Q812" i="29"/>
  <c r="Q788" i="29"/>
  <c r="Q764" i="29"/>
  <c r="Q752" i="29"/>
  <c r="Q740" i="29"/>
  <c r="Q728" i="29"/>
  <c r="Q692" i="29"/>
  <c r="Q680" i="29"/>
  <c r="Q668" i="29"/>
  <c r="Q656" i="29"/>
  <c r="Q608" i="29"/>
  <c r="Q596" i="29"/>
  <c r="Q584" i="29"/>
  <c r="Q560" i="29"/>
  <c r="Q548" i="29"/>
  <c r="Q524" i="29"/>
  <c r="Q488" i="29"/>
  <c r="Q476" i="29"/>
  <c r="Q464" i="29"/>
  <c r="Q452" i="29"/>
  <c r="Q440" i="29"/>
  <c r="Q428" i="29"/>
  <c r="Q416" i="29"/>
  <c r="Q404" i="29"/>
  <c r="Q380" i="29"/>
  <c r="Q368" i="29"/>
  <c r="Q356" i="29"/>
  <c r="Q344" i="29"/>
  <c r="Q308" i="29"/>
  <c r="Q296" i="29"/>
  <c r="Q248" i="29"/>
  <c r="Q236" i="29"/>
  <c r="Q212" i="29"/>
  <c r="Q200" i="29"/>
  <c r="Q188" i="29"/>
  <c r="Q152" i="29"/>
  <c r="Q140" i="29"/>
  <c r="Q116" i="29"/>
  <c r="Q104" i="29"/>
  <c r="Q92" i="29"/>
  <c r="Q68" i="29"/>
  <c r="Q56" i="29"/>
  <c r="Q44" i="29"/>
  <c r="Q918" i="29"/>
  <c r="Q894" i="29"/>
  <c r="Q870" i="29"/>
  <c r="Q858" i="29"/>
  <c r="Q846" i="29"/>
  <c r="Q822" i="29"/>
  <c r="Q786" i="29"/>
  <c r="Q774" i="29"/>
  <c r="Q750" i="29"/>
  <c r="Q714" i="29"/>
  <c r="Q702" i="29"/>
  <c r="Q678" i="29"/>
  <c r="Q666" i="29"/>
  <c r="Q654" i="29"/>
  <c r="Q642" i="29"/>
  <c r="Q606" i="29"/>
  <c r="Q594" i="29"/>
  <c r="Q570" i="29"/>
  <c r="Q558" i="29"/>
  <c r="Q546" i="29"/>
  <c r="Q534" i="29"/>
  <c r="Q522" i="29"/>
  <c r="Q498" i="29"/>
  <c r="Q486" i="29"/>
  <c r="Q474" i="29"/>
  <c r="Q462" i="29"/>
  <c r="Q438" i="29"/>
  <c r="Q426" i="29"/>
  <c r="Q414" i="29"/>
  <c r="Q402" i="29"/>
  <c r="Q390" i="29"/>
  <c r="Q378" i="29"/>
  <c r="Q354" i="29"/>
  <c r="Q342" i="29"/>
  <c r="Q330" i="29"/>
  <c r="Q318" i="29"/>
  <c r="Q282" i="29"/>
  <c r="Q258" i="29"/>
  <c r="Q246" i="29"/>
  <c r="Q222" i="29"/>
  <c r="Q210" i="29"/>
  <c r="Q198" i="29"/>
  <c r="Q186" i="29"/>
  <c r="Q174" i="29"/>
  <c r="Q162" i="29"/>
  <c r="Q150" i="29"/>
  <c r="Q138" i="29"/>
  <c r="Q102" i="29"/>
  <c r="Q90" i="29"/>
  <c r="Q78" i="29"/>
  <c r="Q66" i="29"/>
  <c r="Q54" i="29"/>
  <c r="Q42" i="29"/>
  <c r="Q30" i="29"/>
  <c r="Q18" i="29"/>
  <c r="Q6" i="29"/>
</calcChain>
</file>

<file path=xl/sharedStrings.xml><?xml version="1.0" encoding="utf-8"?>
<sst xmlns="http://schemas.openxmlformats.org/spreadsheetml/2006/main" count="25601" uniqueCount="2456">
  <si>
    <t>Company Name</t>
  </si>
  <si>
    <t>Model Name</t>
  </si>
  <si>
    <t>Mobile Weight</t>
  </si>
  <si>
    <t>RAM</t>
  </si>
  <si>
    <t>Front Camera</t>
  </si>
  <si>
    <t>Back Camera</t>
  </si>
  <si>
    <t>Processor</t>
  </si>
  <si>
    <t>Battery Capacity</t>
  </si>
  <si>
    <t>Screen Size</t>
  </si>
  <si>
    <t>Launched Price (Pakistan)</t>
  </si>
  <si>
    <t>Launched Price (India)</t>
  </si>
  <si>
    <t>Launched Price (China)</t>
  </si>
  <si>
    <t>Launched Price (USA)</t>
  </si>
  <si>
    <t>Launched Price (Dubai)</t>
  </si>
  <si>
    <t>Launched Year</t>
  </si>
  <si>
    <t>Apple</t>
  </si>
  <si>
    <t>iPhone 16 128GB</t>
  </si>
  <si>
    <t>174g</t>
  </si>
  <si>
    <t>6GB</t>
  </si>
  <si>
    <t>12MP</t>
  </si>
  <si>
    <t>48MP</t>
  </si>
  <si>
    <t>A17 Bionic</t>
  </si>
  <si>
    <t>3,600mAh</t>
  </si>
  <si>
    <t>6.1 inches</t>
  </si>
  <si>
    <t>PKR 224,999</t>
  </si>
  <si>
    <t>INR 79,999</t>
  </si>
  <si>
    <t>CNY 5,799</t>
  </si>
  <si>
    <t>USD 799</t>
  </si>
  <si>
    <t>AED 2,799</t>
  </si>
  <si>
    <t>iPhone 16 256GB</t>
  </si>
  <si>
    <t>PKR 234,999</t>
  </si>
  <si>
    <t>INR 84,999</t>
  </si>
  <si>
    <t>CNY 6,099</t>
  </si>
  <si>
    <t>USD 849</t>
  </si>
  <si>
    <t>AED 2,999</t>
  </si>
  <si>
    <t>iPhone 16 512GB</t>
  </si>
  <si>
    <t>PKR 244,999</t>
  </si>
  <si>
    <t>INR 89,999</t>
  </si>
  <si>
    <t>CNY 6,499</t>
  </si>
  <si>
    <t>USD 899</t>
  </si>
  <si>
    <t>AED 3,199</t>
  </si>
  <si>
    <t>iPhone 16 Plus 128GB</t>
  </si>
  <si>
    <t>203g</t>
  </si>
  <si>
    <t>4,200mAh</t>
  </si>
  <si>
    <t>6.7 inches</t>
  </si>
  <si>
    <t>PKR 249,999</t>
  </si>
  <si>
    <t>CNY 6,199</t>
  </si>
  <si>
    <t>iPhone 16 Plus 256GB</t>
  </si>
  <si>
    <t>PKR 259,999</t>
  </si>
  <si>
    <t>INR 94,999</t>
  </si>
  <si>
    <t>USD 949</t>
  </si>
  <si>
    <t>AED 3,399</t>
  </si>
  <si>
    <t>iPhone 16 Plus 512GB</t>
  </si>
  <si>
    <t>PKR 274,999</t>
  </si>
  <si>
    <t>INR 104,999</t>
  </si>
  <si>
    <t>CNY 6,999</t>
  </si>
  <si>
    <t>USD 999</t>
  </si>
  <si>
    <t>AED 3,599</t>
  </si>
  <si>
    <t>iPhone 16 Pro 128GB</t>
  </si>
  <si>
    <t>206g</t>
  </si>
  <si>
    <t>12MP / 4K</t>
  </si>
  <si>
    <t>50MP + 12MP</t>
  </si>
  <si>
    <t>A17 Pro</t>
  </si>
  <si>
    <t>4,400mAh</t>
  </si>
  <si>
    <t>PKR 284,999</t>
  </si>
  <si>
    <t>INR 99,999</t>
  </si>
  <si>
    <t>AED 3,499</t>
  </si>
  <si>
    <t>iPhone 16 Pro 256GB</t>
  </si>
  <si>
    <t>8GB</t>
  </si>
  <si>
    <t>PKR 294,999</t>
  </si>
  <si>
    <t>CNY 7,099</t>
  </si>
  <si>
    <t>USD 1,049</t>
  </si>
  <si>
    <t>AED 3,699</t>
  </si>
  <si>
    <t>iPhone 16 Pro 512GB</t>
  </si>
  <si>
    <t>PKR 314,999</t>
  </si>
  <si>
    <t>INR 114,999</t>
  </si>
  <si>
    <t>CNY 7,499</t>
  </si>
  <si>
    <t>USD 1,099</t>
  </si>
  <si>
    <t>AED 3,899</t>
  </si>
  <si>
    <t>iPhone 16 Pro Max 128GB</t>
  </si>
  <si>
    <t>221g</t>
  </si>
  <si>
    <t>48MP + 12MP</t>
  </si>
  <si>
    <t>4,500mAh</t>
  </si>
  <si>
    <t>INR 109,999</t>
  </si>
  <si>
    <t>AED 3,799</t>
  </si>
  <si>
    <t>iPhone 16 Pro Max 256GB</t>
  </si>
  <si>
    <t>PKR 324,999</t>
  </si>
  <si>
    <t>CNY 7,799</t>
  </si>
  <si>
    <t>USD 1,199</t>
  </si>
  <si>
    <t>AED 3,999</t>
  </si>
  <si>
    <t>iPhone 16 Pro Max 512GB</t>
  </si>
  <si>
    <t>PKR 344,999</t>
  </si>
  <si>
    <t>INR 124,999</t>
  </si>
  <si>
    <t>CNY 8,199</t>
  </si>
  <si>
    <t>USD 1,299</t>
  </si>
  <si>
    <t>AED 4,199</t>
  </si>
  <si>
    <t>iPhone 15 128GB</t>
  </si>
  <si>
    <t>171g</t>
  </si>
  <si>
    <t>A16 Bionic</t>
  </si>
  <si>
    <t>3,200mAh</t>
  </si>
  <si>
    <t>PKR 204,999</t>
  </si>
  <si>
    <t>INR 74,999</t>
  </si>
  <si>
    <t>CNY 5,299</t>
  </si>
  <si>
    <t>AED 2,699</t>
  </si>
  <si>
    <t>iPhone 15 256GB</t>
  </si>
  <si>
    <t>PKR 214,999</t>
  </si>
  <si>
    <t>CNY 5,599</t>
  </si>
  <si>
    <t>iPhone 15 512GB</t>
  </si>
  <si>
    <t>CNY 5,999</t>
  </si>
  <si>
    <t>iPhone 15 Plus 128GB</t>
  </si>
  <si>
    <t>4,300mAh</t>
  </si>
  <si>
    <t>CNY 5,699</t>
  </si>
  <si>
    <t>iPhone 15 Plus 256GB</t>
  </si>
  <si>
    <t>iPhone 15 Plus 512GB</t>
  </si>
  <si>
    <t>PKR 264,999</t>
  </si>
  <si>
    <t>CNY 6,799</t>
  </si>
  <si>
    <t>iPhone 15 Pro 128GB</t>
  </si>
  <si>
    <t>iPhone 15 Pro 256GB</t>
  </si>
  <si>
    <t>CNY 7,299</t>
  </si>
  <si>
    <t>iPhone 15 Pro 512GB</t>
  </si>
  <si>
    <t>PKR 304,999</t>
  </si>
  <si>
    <t>INR 119,999</t>
  </si>
  <si>
    <t>iPhone 15 Pro Max 128GB</t>
  </si>
  <si>
    <t>CNY 7,999</t>
  </si>
  <si>
    <t>iPhone 15 Pro Max 256GB</t>
  </si>
  <si>
    <t>iPhone 15 Pro Max 512GB</t>
  </si>
  <si>
    <t>INR 134,999</t>
  </si>
  <si>
    <t>CNY 8,699</t>
  </si>
  <si>
    <t>USD 1,399</t>
  </si>
  <si>
    <t>AED 4,399</t>
  </si>
  <si>
    <t>iPhone 14 128GB</t>
  </si>
  <si>
    <t>172g</t>
  </si>
  <si>
    <t>12MP + 12MP</t>
  </si>
  <si>
    <t>A15 Bionic</t>
  </si>
  <si>
    <t>PKR 184,999</t>
  </si>
  <si>
    <t>INR 69,999</t>
  </si>
  <si>
    <t>CNY 5,199</t>
  </si>
  <si>
    <t>iPhone 14 256GB</t>
  </si>
  <si>
    <t>PKR 194,999</t>
  </si>
  <si>
    <t>iPhone 14 512GB</t>
  </si>
  <si>
    <t>iPhone 14 Plus 128GB</t>
  </si>
  <si>
    <t>4,325mAh</t>
  </si>
  <si>
    <t>CNY 5,499</t>
  </si>
  <si>
    <t>iPhone 14 Plus 256GB</t>
  </si>
  <si>
    <t>CNY 5,899</t>
  </si>
  <si>
    <t>iPhone 14 Plus 512GB</t>
  </si>
  <si>
    <t>CNY 6,299</t>
  </si>
  <si>
    <t>iPhone 14 Pro 128GB</t>
  </si>
  <si>
    <t>CNY 7,199</t>
  </si>
  <si>
    <t>iPhone 14 Pro 256GB</t>
  </si>
  <si>
    <t>iPhone 14 Pro 512GB</t>
  </si>
  <si>
    <t>iPhone 14 Pro Max 128GB</t>
  </si>
  <si>
    <t>CNY 8,099</t>
  </si>
  <si>
    <t>iPhone 14 Pro Max 256GB</t>
  </si>
  <si>
    <t>CNY 8,499</t>
  </si>
  <si>
    <t>iPhone 14 Pro Max 512GB</t>
  </si>
  <si>
    <t>PKR 364,999</t>
  </si>
  <si>
    <t>INR 144,999</t>
  </si>
  <si>
    <t>CNY 8,999</t>
  </si>
  <si>
    <t>AED 4,499</t>
  </si>
  <si>
    <t>iPhone 13 mini 128GB</t>
  </si>
  <si>
    <t>140g</t>
  </si>
  <si>
    <t>4GB</t>
  </si>
  <si>
    <t>2,438mAh</t>
  </si>
  <si>
    <t>5.4 inches</t>
  </si>
  <si>
    <t>PKR 174,999</t>
  </si>
  <si>
    <t>INR 69,900</t>
  </si>
  <si>
    <t>USD 699</t>
  </si>
  <si>
    <t>AED 2,599</t>
  </si>
  <si>
    <t>iPhone 13 mini 256GB</t>
  </si>
  <si>
    <t>INR 74,900</t>
  </si>
  <si>
    <t>iPhone 13 mini 512GB</t>
  </si>
  <si>
    <t>INR 84,900</t>
  </si>
  <si>
    <t>AED 3,299</t>
  </si>
  <si>
    <t>iPhone 13 128GB</t>
  </si>
  <si>
    <t>3,240mAh</t>
  </si>
  <si>
    <t>iPhone 13 256GB</t>
  </si>
  <si>
    <t>iPhone 13 512GB</t>
  </si>
  <si>
    <t>INR 94,900</t>
  </si>
  <si>
    <t>iPhone 13 Pro 128GB</t>
  </si>
  <si>
    <t>204g</t>
  </si>
  <si>
    <t>12MP + 12MP + 12MP</t>
  </si>
  <si>
    <t>3,095mAh</t>
  </si>
  <si>
    <t>INR 119,900</t>
  </si>
  <si>
    <t>iPhone 13 Pro 256GB</t>
  </si>
  <si>
    <t>INR 129,900</t>
  </si>
  <si>
    <t>CNY 7,699</t>
  </si>
  <si>
    <t>iPhone 13 Pro 512GB</t>
  </si>
  <si>
    <t>INR 139,900</t>
  </si>
  <si>
    <t>iPhone 13 Pro Max 128GB</t>
  </si>
  <si>
    <t>238g</t>
  </si>
  <si>
    <t>4,352mAh</t>
  </si>
  <si>
    <t>CNY 8,299</t>
  </si>
  <si>
    <t>iPhone 13 Pro Max 256GB</t>
  </si>
  <si>
    <t>PKR 354,999</t>
  </si>
  <si>
    <t>CNY 8,799</t>
  </si>
  <si>
    <t>iPhone 13 Pro Max 512GB</t>
  </si>
  <si>
    <t>PKR 384,999</t>
  </si>
  <si>
    <t>INR 149,900</t>
  </si>
  <si>
    <t>CNY 9,199</t>
  </si>
  <si>
    <t>AED 4,599</t>
  </si>
  <si>
    <t>iPhone 12 mini 64GB</t>
  </si>
  <si>
    <t>135g</t>
  </si>
  <si>
    <t>A14 Bionic</t>
  </si>
  <si>
    <t>2,227mAh</t>
  </si>
  <si>
    <t>iPhone 12 mini 128GB</t>
  </si>
  <si>
    <t>iPhone 12 mini 256GB</t>
  </si>
  <si>
    <t>iPhone 12 64GB</t>
  </si>
  <si>
    <t>164g</t>
  </si>
  <si>
    <t>2,815mAh</t>
  </si>
  <si>
    <t>iPhone 12 128GB</t>
  </si>
  <si>
    <t>iPhone 12 256GB</t>
  </si>
  <si>
    <t>iPhone 12 Pro 128GB</t>
  </si>
  <si>
    <t>189g</t>
  </si>
  <si>
    <t>iPhone 12 Pro 256GB</t>
  </si>
  <si>
    <t>PKR 334,999</t>
  </si>
  <si>
    <t>iPhone 12 Pro 512GB</t>
  </si>
  <si>
    <t>iPhone 12 Pro Max 128GB</t>
  </si>
  <si>
    <t>228g</t>
  </si>
  <si>
    <t>3,687mAh</t>
  </si>
  <si>
    <t>CNY 8,399</t>
  </si>
  <si>
    <t>iPhone 12 Pro Max 256GB</t>
  </si>
  <si>
    <t>iPhone 12 Pro Max 512GB</t>
  </si>
  <si>
    <t>iPhone 11 64GB</t>
  </si>
  <si>
    <t>194g</t>
  </si>
  <si>
    <t>A13 Bionic</t>
  </si>
  <si>
    <t>3,110mAh</t>
  </si>
  <si>
    <t>PKR 159,999</t>
  </si>
  <si>
    <t>INR 64,900</t>
  </si>
  <si>
    <t>AED 2,499</t>
  </si>
  <si>
    <t>iPhone 11 128GB</t>
  </si>
  <si>
    <t>PKR 169,999</t>
  </si>
  <si>
    <t>iPhone 11 256GB</t>
  </si>
  <si>
    <t>PKR 179,999</t>
  </si>
  <si>
    <t>iPhone 11 Pro 64GB</t>
  </si>
  <si>
    <t>188g</t>
  </si>
  <si>
    <t>3,046mAh</t>
  </si>
  <si>
    <t>5.8 inches</t>
  </si>
  <si>
    <t>PKR 219,999</t>
  </si>
  <si>
    <t>INR 99,900</t>
  </si>
  <si>
    <t>iPhone 11 Pro 256GB</t>
  </si>
  <si>
    <t>PKR 239,999</t>
  </si>
  <si>
    <t>INR 109,900</t>
  </si>
  <si>
    <t>CNY 7,399</t>
  </si>
  <si>
    <t>iPhone 11 Pro 512GB</t>
  </si>
  <si>
    <t>iPhone 11 Pro Max 64GB</t>
  </si>
  <si>
    <t>226g</t>
  </si>
  <si>
    <t>3,969mAh</t>
  </si>
  <si>
    <t>6.5 inches</t>
  </si>
  <si>
    <t>PKR 269,999</t>
  </si>
  <si>
    <t>iPhone 11 Pro Max 256GB</t>
  </si>
  <si>
    <t>PKR 289,999</t>
  </si>
  <si>
    <t>iPhone 11 Pro Max 512GB</t>
  </si>
  <si>
    <t>PKR 309,999</t>
  </si>
  <si>
    <t>AED 4,999</t>
  </si>
  <si>
    <t>iPhone X 64GB</t>
  </si>
  <si>
    <t>3GB</t>
  </si>
  <si>
    <t>7MP</t>
  </si>
  <si>
    <t>A11 Bionic</t>
  </si>
  <si>
    <t>2,716mAh</t>
  </si>
  <si>
    <t>PKR 164,999</t>
  </si>
  <si>
    <t>INR 89,900</t>
  </si>
  <si>
    <t>CNY 8,388</t>
  </si>
  <si>
    <t>iPhone X 256GB</t>
  </si>
  <si>
    <t>CNY 8,788</t>
  </si>
  <si>
    <t>iPhone XS 64GB</t>
  </si>
  <si>
    <t>177g</t>
  </si>
  <si>
    <t>A12 Bionic</t>
  </si>
  <si>
    <t>2,658mAh</t>
  </si>
  <si>
    <t>CNY 9,188</t>
  </si>
  <si>
    <t>iPhone XS 256GB</t>
  </si>
  <si>
    <t>CNY 9,788</t>
  </si>
  <si>
    <t>AED 4,299</t>
  </si>
  <si>
    <t>iPhone XS 512GB</t>
  </si>
  <si>
    <t>CNY 10,388</t>
  </si>
  <si>
    <t>AED 4,799</t>
  </si>
  <si>
    <t>iPhone XS Max 64GB</t>
  </si>
  <si>
    <t>208g</t>
  </si>
  <si>
    <t>3,174mAh</t>
  </si>
  <si>
    <t>CNY 10,088</t>
  </si>
  <si>
    <t>iPhone XS Max 256GB</t>
  </si>
  <si>
    <t>CNY 10,688</t>
  </si>
  <si>
    <t>USD 1,249</t>
  </si>
  <si>
    <t>iPhone XS Max 512GB</t>
  </si>
  <si>
    <t>CNY 11,288</t>
  </si>
  <si>
    <t>AED 5,099</t>
  </si>
  <si>
    <t>iPhone XR 64GB</t>
  </si>
  <si>
    <t>2,942mAh</t>
  </si>
  <si>
    <t>PKR 149,999</t>
  </si>
  <si>
    <t>USD 749</t>
  </si>
  <si>
    <t>iPhone XR 128GB</t>
  </si>
  <si>
    <t>AED 3,099</t>
  </si>
  <si>
    <t>iPhone XR 256GB</t>
  </si>
  <si>
    <t>iPad Air 10.9-inch 64GB</t>
  </si>
  <si>
    <t>458g</t>
  </si>
  <si>
    <t>7,608mAh</t>
  </si>
  <si>
    <t>10.9 inches</t>
  </si>
  <si>
    <t>PKR 79,999</t>
  </si>
  <si>
    <t>INR 54,900</t>
  </si>
  <si>
    <t>CNY 3,299</t>
  </si>
  <si>
    <t>USD 599</t>
  </si>
  <si>
    <t>AED 2,099</t>
  </si>
  <si>
    <t>iPad Air 10.9-inch 256GB</t>
  </si>
  <si>
    <t>PKR 89,999</t>
  </si>
  <si>
    <t>CNY 3,699</t>
  </si>
  <si>
    <t>iPad 10.2-inch 32GB</t>
  </si>
  <si>
    <t>490g</t>
  </si>
  <si>
    <t>8MP</t>
  </si>
  <si>
    <t>8,612mAh</t>
  </si>
  <si>
    <t>10.2 inches</t>
  </si>
  <si>
    <t>PKR 49,999</t>
  </si>
  <si>
    <t>INR 29,900</t>
  </si>
  <si>
    <t>CNY 2,299</t>
  </si>
  <si>
    <t>USD 329</t>
  </si>
  <si>
    <t>AED 1,199</t>
  </si>
  <si>
    <t>iPad 10.2-inch 128GB</t>
  </si>
  <si>
    <t>PKR 59,999</t>
  </si>
  <si>
    <t>INR 39,900</t>
  </si>
  <si>
    <t>CNY 2,699</t>
  </si>
  <si>
    <t>USD 429</t>
  </si>
  <si>
    <t>AED 1,499</t>
  </si>
  <si>
    <t>iPad Mini 7.9-inch 64GB</t>
  </si>
  <si>
    <t>300.5g</t>
  </si>
  <si>
    <t>5,124mAh</t>
  </si>
  <si>
    <t>7.9 inches</t>
  </si>
  <si>
    <t>PKR 69,999</t>
  </si>
  <si>
    <t>CNY 3,499</t>
  </si>
  <si>
    <t>USD 399</t>
  </si>
  <si>
    <t>iPad Mini 7.9-inch 256GB</t>
  </si>
  <si>
    <t>INR 49,900</t>
  </si>
  <si>
    <t>CNY 3,799</t>
  </si>
  <si>
    <t>USD 499</t>
  </si>
  <si>
    <t>AED 1,799</t>
  </si>
  <si>
    <t>iPad Pro 11-inch 128GB</t>
  </si>
  <si>
    <t>468g</t>
  </si>
  <si>
    <t>12MP + 10MP</t>
  </si>
  <si>
    <t>A12Z Bionic</t>
  </si>
  <si>
    <t>7,812mAh</t>
  </si>
  <si>
    <t>11 inches</t>
  </si>
  <si>
    <t>INR 71,900</t>
  </si>
  <si>
    <t>CNY 6,399</t>
  </si>
  <si>
    <t>iPad Pro 11-inch 256GB</t>
  </si>
  <si>
    <t>iPad Pro 11-inch 512GB</t>
  </si>
  <si>
    <t>PKR 189,999</t>
  </si>
  <si>
    <t>iPad Pro 12.9-inch 128GB</t>
  </si>
  <si>
    <t>682g</t>
  </si>
  <si>
    <t>9,720mAh</t>
  </si>
  <si>
    <t>12.9 inches</t>
  </si>
  <si>
    <t>iPad Pro 12.9-inch 256GB</t>
  </si>
  <si>
    <t>iPad Pro 12.9-inch 512GB</t>
  </si>
  <si>
    <t>iPad Pro 13-inch 128GB</t>
  </si>
  <si>
    <t>708g</t>
  </si>
  <si>
    <t>10,307mAh</t>
  </si>
  <si>
    <t>13 inches</t>
  </si>
  <si>
    <t>iPad Pro 13-inch 256GB</t>
  </si>
  <si>
    <t>PKR 279,999</t>
  </si>
  <si>
    <t>iPad Pro 13-inch 512GB</t>
  </si>
  <si>
    <t>INR 159,900</t>
  </si>
  <si>
    <t>CNY 9,799</t>
  </si>
  <si>
    <t>AED 5,299</t>
  </si>
  <si>
    <t>iPad Pro 13-inch 1TB</t>
  </si>
  <si>
    <t>PKR 359,999</t>
  </si>
  <si>
    <t>INR 179,900</t>
  </si>
  <si>
    <t>CNY 10,399</t>
  </si>
  <si>
    <t>USD 1,599</t>
  </si>
  <si>
    <t>AED 5,799</t>
  </si>
  <si>
    <t>iPad Pro 13-inch 2TB</t>
  </si>
  <si>
    <t>PKR 399,999</t>
  </si>
  <si>
    <t>INR 199,900</t>
  </si>
  <si>
    <t>CNY 11,199</t>
  </si>
  <si>
    <t>USD 1,799</t>
  </si>
  <si>
    <t>AED 6,099</t>
  </si>
  <si>
    <t>Samsung</t>
  </si>
  <si>
    <t>Galaxy S24 Ultra 128GB</t>
  </si>
  <si>
    <t>234g</t>
  </si>
  <si>
    <t>12GB</t>
  </si>
  <si>
    <t>200MP + 12MP</t>
  </si>
  <si>
    <t>Exynos 2400</t>
  </si>
  <si>
    <t>5000mAh</t>
  </si>
  <si>
    <t>6.8 inches</t>
  </si>
  <si>
    <t>PKR 450,000</t>
  </si>
  <si>
    <t>INR 104,900</t>
  </si>
  <si>
    <t>AED 4,899</t>
  </si>
  <si>
    <t>Galaxy S24 Ultra 256GB</t>
  </si>
  <si>
    <t>PKR 480,000</t>
  </si>
  <si>
    <t>INR 114,900</t>
  </si>
  <si>
    <t>Galaxy S24+ 128GB</t>
  </si>
  <si>
    <t>196g</t>
  </si>
  <si>
    <t>4800mAh</t>
  </si>
  <si>
    <t>6.6 inches</t>
  </si>
  <si>
    <t>PKR 400,000</t>
  </si>
  <si>
    <t>Galaxy S24+ 256GB</t>
  </si>
  <si>
    <t>PKR 430,000</t>
  </si>
  <si>
    <t>Galaxy S24 128GB</t>
  </si>
  <si>
    <t>168g</t>
  </si>
  <si>
    <t>4000mAh</t>
  </si>
  <si>
    <t>PKR 350,000</t>
  </si>
  <si>
    <t>INR 79,900</t>
  </si>
  <si>
    <t>Galaxy S24 256GB</t>
  </si>
  <si>
    <t>PKR 380,000</t>
  </si>
  <si>
    <t>Galaxy S23 Ultra 128GB</t>
  </si>
  <si>
    <t>Snapdragon 8 Gen 2</t>
  </si>
  <si>
    <t>Galaxy S23 Ultra 256GB</t>
  </si>
  <si>
    <t>PKR 460,000</t>
  </si>
  <si>
    <t>Galaxy S23+ 128GB</t>
  </si>
  <si>
    <t>4700mAh</t>
  </si>
  <si>
    <t>PKR 360,000</t>
  </si>
  <si>
    <t>Galaxy S23+ 256GB</t>
  </si>
  <si>
    <t>PKR 390,000</t>
  </si>
  <si>
    <t>Galaxy S23 128GB</t>
  </si>
  <si>
    <t>3900mAh</t>
  </si>
  <si>
    <t>PKR 320,000</t>
  </si>
  <si>
    <t>Galaxy S23 256GB</t>
  </si>
  <si>
    <t>Galaxy S22 Ultra 128GB</t>
  </si>
  <si>
    <t>10MP</t>
  </si>
  <si>
    <t>108MP + 12MP</t>
  </si>
  <si>
    <t>Exynos 2200</t>
  </si>
  <si>
    <t>PKR 420,000</t>
  </si>
  <si>
    <t>CNY 6,599</t>
  </si>
  <si>
    <t>Galaxy S22 Ultra 256GB</t>
  </si>
  <si>
    <t>Galaxy S22+ 128GB</t>
  </si>
  <si>
    <t>195g</t>
  </si>
  <si>
    <t>4500mAh</t>
  </si>
  <si>
    <t>Galaxy S22+ 256GB</t>
  </si>
  <si>
    <t>Galaxy S22 128GB</t>
  </si>
  <si>
    <t>167g</t>
  </si>
  <si>
    <t>3800mAh</t>
  </si>
  <si>
    <t>PKR 300,000</t>
  </si>
  <si>
    <t>Galaxy S22 256GB</t>
  </si>
  <si>
    <t>PKR 330,000</t>
  </si>
  <si>
    <t>Galaxy Z Fold 5 256GB</t>
  </si>
  <si>
    <t>254g</t>
  </si>
  <si>
    <t>4400mAh</t>
  </si>
  <si>
    <t>7.6 inches</t>
  </si>
  <si>
    <t>PKR 500,000</t>
  </si>
  <si>
    <t>INR 154,900</t>
  </si>
  <si>
    <t>CNY 11,999</t>
  </si>
  <si>
    <t>AED 6,999</t>
  </si>
  <si>
    <t>Galaxy Z Fold 5 512GB</t>
  </si>
  <si>
    <t>PKR 550,000</t>
  </si>
  <si>
    <t>INR 174,900</t>
  </si>
  <si>
    <t>CNY 12,999</t>
  </si>
  <si>
    <t>USD 1,899</t>
  </si>
  <si>
    <t>AED 7,499</t>
  </si>
  <si>
    <t>Galaxy Z Flip 5 256GB</t>
  </si>
  <si>
    <t>187g</t>
  </si>
  <si>
    <t>3700mAh</t>
  </si>
  <si>
    <t>AED 4,099</t>
  </si>
  <si>
    <t>Galaxy Z Flip 5 512GB</t>
  </si>
  <si>
    <t>Galaxy Z Fold 4 256GB</t>
  </si>
  <si>
    <t>263g</t>
  </si>
  <si>
    <t>Snapdragon 8 Gen 1</t>
  </si>
  <si>
    <t>INR 134,900</t>
  </si>
  <si>
    <t>CNY 10,999</t>
  </si>
  <si>
    <t>AED 6,499</t>
  </si>
  <si>
    <t>Galaxy Z Fold 4 512GB</t>
  </si>
  <si>
    <t>PKR 530,000</t>
  </si>
  <si>
    <t>AED 7,099</t>
  </si>
  <si>
    <t>Galaxy Z Flip 4 256GB</t>
  </si>
  <si>
    <t>Galaxy Z Flip 4 512GB</t>
  </si>
  <si>
    <t>Galaxy A54 128GB</t>
  </si>
  <si>
    <t>32MP</t>
  </si>
  <si>
    <t>Exynos 1380</t>
  </si>
  <si>
    <t>6.4 inches</t>
  </si>
  <si>
    <t>PKR 85,000</t>
  </si>
  <si>
    <t>INR 27,999</t>
  </si>
  <si>
    <t>CNY 2,199</t>
  </si>
  <si>
    <t>AED 1,399</t>
  </si>
  <si>
    <t>Galaxy A54 256GB</t>
  </si>
  <si>
    <t>PKR 95,000</t>
  </si>
  <si>
    <t>INR 32,999</t>
  </si>
  <si>
    <t>CNY 2,499</t>
  </si>
  <si>
    <t>USD 449</t>
  </si>
  <si>
    <t>Galaxy A34 128GB</t>
  </si>
  <si>
    <t>199g</t>
  </si>
  <si>
    <t>13MP</t>
  </si>
  <si>
    <t>48MP + 8MP</t>
  </si>
  <si>
    <t>MediaTek Dimensity 1080</t>
  </si>
  <si>
    <t>PKR 75,000</t>
  </si>
  <si>
    <t>INR 22,999</t>
  </si>
  <si>
    <t>CNY 1,799</t>
  </si>
  <si>
    <t>USD 349</t>
  </si>
  <si>
    <t>AED 1,299</t>
  </si>
  <si>
    <t>Galaxy A34 256GB</t>
  </si>
  <si>
    <t>CNY 1,999</t>
  </si>
  <si>
    <t>Galaxy A24 128GB</t>
  </si>
  <si>
    <t>50MP + 5MP</t>
  </si>
  <si>
    <t>MediaTek Helio G99</t>
  </si>
  <si>
    <t>PKR 70,000</t>
  </si>
  <si>
    <t>INR 19,999</t>
  </si>
  <si>
    <t>CNY 1,599</t>
  </si>
  <si>
    <t>USD 299</t>
  </si>
  <si>
    <t>Galaxy A24 256GB</t>
  </si>
  <si>
    <t>PKR 80,000</t>
  </si>
  <si>
    <t>INR 24,999</t>
  </si>
  <si>
    <t>Galaxy A14 128GB</t>
  </si>
  <si>
    <t>190g</t>
  </si>
  <si>
    <t>50MP + 2MP</t>
  </si>
  <si>
    <t>Exynos 850</t>
  </si>
  <si>
    <t>PKR 60,000</t>
  </si>
  <si>
    <t>INR 18,499</t>
  </si>
  <si>
    <t>CNY 1,499</t>
  </si>
  <si>
    <t>USD 249</t>
  </si>
  <si>
    <t>AED 1,099</t>
  </si>
  <si>
    <t>Galaxy A14 256GB</t>
  </si>
  <si>
    <t>INR 21,999</t>
  </si>
  <si>
    <t>CNY 1,699</t>
  </si>
  <si>
    <t>Galaxy A04 64GB</t>
  </si>
  <si>
    <t>5MP</t>
  </si>
  <si>
    <t>PKR 50,000</t>
  </si>
  <si>
    <t>INR 14,999</t>
  </si>
  <si>
    <t>CNY 1,199</t>
  </si>
  <si>
    <t>USD 199</t>
  </si>
  <si>
    <t>AED 899</t>
  </si>
  <si>
    <t>Galaxy A04 128GB</t>
  </si>
  <si>
    <t>CNY 1,399</t>
  </si>
  <si>
    <t>AED 999</t>
  </si>
  <si>
    <t>Galaxy M54 128GB</t>
  </si>
  <si>
    <t>202g</t>
  </si>
  <si>
    <t>108MP + 8MP</t>
  </si>
  <si>
    <t>6000mAh</t>
  </si>
  <si>
    <t>INR 23,999</t>
  </si>
  <si>
    <t>CNY 2,099</t>
  </si>
  <si>
    <t>Galaxy M54 256GB</t>
  </si>
  <si>
    <t>PKR 105,000</t>
  </si>
  <si>
    <t>INR 26,999</t>
  </si>
  <si>
    <t>Galaxy M34 128GB</t>
  </si>
  <si>
    <t>50MP + 8MP</t>
  </si>
  <si>
    <t>Exynos 1280</t>
  </si>
  <si>
    <t>INR 17,999</t>
  </si>
  <si>
    <t>Galaxy M34 256GB</t>
  </si>
  <si>
    <t>INR 20,999</t>
  </si>
  <si>
    <t>Galaxy M14 128GB</t>
  </si>
  <si>
    <t>Galaxy M14 256GB</t>
  </si>
  <si>
    <t>Galaxy M04 64GB</t>
  </si>
  <si>
    <t>13MP + 2MP</t>
  </si>
  <si>
    <t>MediaTek Helio P35</t>
  </si>
  <si>
    <t>INR 12,999</t>
  </si>
  <si>
    <t>CNY 1,099</t>
  </si>
  <si>
    <t>Galaxy M04 128GB</t>
  </si>
  <si>
    <t>INR 15,999</t>
  </si>
  <si>
    <t>CNY 1,299</t>
  </si>
  <si>
    <t>Galaxy F54 128GB</t>
  </si>
  <si>
    <t>Galaxy F54 256GB</t>
  </si>
  <si>
    <t>CNY 2,399</t>
  </si>
  <si>
    <t>Galaxy F34 128GB</t>
  </si>
  <si>
    <t>INR 18,999</t>
  </si>
  <si>
    <t>Galaxy F34 256GB</t>
  </si>
  <si>
    <t>Galaxy F14 128GB</t>
  </si>
  <si>
    <t>198g</t>
  </si>
  <si>
    <t>Galaxy F14 256GB</t>
  </si>
  <si>
    <t>Galaxy Note 20 Ultra 128GB</t>
  </si>
  <si>
    <t>Exynos 990</t>
  </si>
  <si>
    <t>6.9 inches</t>
  </si>
  <si>
    <t>PKR 180,000</t>
  </si>
  <si>
    <t>Galaxy Note 20 Ultra 256GB</t>
  </si>
  <si>
    <t>PKR 200,000</t>
  </si>
  <si>
    <t>INR 1,04,999</t>
  </si>
  <si>
    <t>Galaxy Note 20 128GB</t>
  </si>
  <si>
    <t>192g</t>
  </si>
  <si>
    <t>4300mAh</t>
  </si>
  <si>
    <t>PKR 150,000</t>
  </si>
  <si>
    <t>INR 77,999</t>
  </si>
  <si>
    <t>Galaxy Note 20 256GB</t>
  </si>
  <si>
    <t>PKR 170,000</t>
  </si>
  <si>
    <t>Galaxy Note 10+ 256GB</t>
  </si>
  <si>
    <t>12MP + 16MP</t>
  </si>
  <si>
    <t>Exynos 9825</t>
  </si>
  <si>
    <t>PKR 160,000</t>
  </si>
  <si>
    <t>Galaxy Note 10+ 512GB</t>
  </si>
  <si>
    <t>Galaxy Note 10 256GB</t>
  </si>
  <si>
    <t>3500mAh</t>
  </si>
  <si>
    <t>6.3 inches</t>
  </si>
  <si>
    <t>PKR 140,000</t>
  </si>
  <si>
    <t>INR 64,999</t>
  </si>
  <si>
    <t>Galaxy Note 10 128GB</t>
  </si>
  <si>
    <t>PKR 120,000</t>
  </si>
  <si>
    <t>INR 59,999</t>
  </si>
  <si>
    <t>Galaxy Xcover 6 Pro 128GB</t>
  </si>
  <si>
    <t>235g</t>
  </si>
  <si>
    <t>50MP</t>
  </si>
  <si>
    <t>4050mAh</t>
  </si>
  <si>
    <t>INR 28,999</t>
  </si>
  <si>
    <t>AED 1,699</t>
  </si>
  <si>
    <t>Galaxy Xcover 5 64GB</t>
  </si>
  <si>
    <t>16MP</t>
  </si>
  <si>
    <t>3000mAh</t>
  </si>
  <si>
    <t>5.3 inches</t>
  </si>
  <si>
    <t>INR 17,499</t>
  </si>
  <si>
    <t>Galaxy J8 64GB</t>
  </si>
  <si>
    <t>191g</t>
  </si>
  <si>
    <t>16MP + 5MP</t>
  </si>
  <si>
    <t>Snapdragon 450</t>
  </si>
  <si>
    <t>6.0 inches</t>
  </si>
  <si>
    <t>PKR 45,000</t>
  </si>
  <si>
    <t>INR 18,990</t>
  </si>
  <si>
    <t>AED 799</t>
  </si>
  <si>
    <t>Galaxy J7 Pro 64GB</t>
  </si>
  <si>
    <t>181g</t>
  </si>
  <si>
    <t>Exynos 7870</t>
  </si>
  <si>
    <t>3600mAh</t>
  </si>
  <si>
    <t>5.5 inches</t>
  </si>
  <si>
    <t>PKR 40,000</t>
  </si>
  <si>
    <t>USD 179</t>
  </si>
  <si>
    <t>AED 699</t>
  </si>
  <si>
    <t>Galaxy J6+ 64GB</t>
  </si>
  <si>
    <t>178g</t>
  </si>
  <si>
    <t>13MP + 5MP</t>
  </si>
  <si>
    <t>Snapdragon 425</t>
  </si>
  <si>
    <t>3300mAh</t>
  </si>
  <si>
    <t>USD 169</t>
  </si>
  <si>
    <t>Galaxy J4 16GB</t>
  </si>
  <si>
    <t>175g</t>
  </si>
  <si>
    <t>2GB</t>
  </si>
  <si>
    <t>Exynos 7570</t>
  </si>
  <si>
    <t>PKR 25,000</t>
  </si>
  <si>
    <t>INR 9,990</t>
  </si>
  <si>
    <t>CNY 999</t>
  </si>
  <si>
    <t>USD 129</t>
  </si>
  <si>
    <t>AED 499</t>
  </si>
  <si>
    <t>Galaxy C9 Pro 64GB</t>
  </si>
  <si>
    <t>16MP + 8MP</t>
  </si>
  <si>
    <t>Snapdragon 653</t>
  </si>
  <si>
    <t>PKR 65,000</t>
  </si>
  <si>
    <t>INR 32,990</t>
  </si>
  <si>
    <t>CNY 3,099</t>
  </si>
  <si>
    <t>Galaxy C7 Pro 64GB</t>
  </si>
  <si>
    <t>165g</t>
  </si>
  <si>
    <t>Snapdragon 625</t>
  </si>
  <si>
    <t>5.7 inches</t>
  </si>
  <si>
    <t>INR 22,990</t>
  </si>
  <si>
    <t>Galaxy C5 32GB</t>
  </si>
  <si>
    <t>143g</t>
  </si>
  <si>
    <t>Snapdragon 617</t>
  </si>
  <si>
    <t>2600mAh</t>
  </si>
  <si>
    <t>5.2 inches</t>
  </si>
  <si>
    <t>INR 19,990</t>
  </si>
  <si>
    <t>CNY 1,899</t>
  </si>
  <si>
    <t>Galaxy W22 5G 256GB</t>
  </si>
  <si>
    <t>Snapdragon 888</t>
  </si>
  <si>
    <t>PKR 280,000</t>
  </si>
  <si>
    <t>USD 1,499</t>
  </si>
  <si>
    <t>AED 5,499</t>
  </si>
  <si>
    <t>Galaxy W21 5G 256GB</t>
  </si>
  <si>
    <t>229g</t>
  </si>
  <si>
    <t>PKR 260,000</t>
  </si>
  <si>
    <t>CNY 9,999</t>
  </si>
  <si>
    <t>Galaxy Tab S9 Ultra 256GB</t>
  </si>
  <si>
    <t>732g</t>
  </si>
  <si>
    <t>13MP + 8MP</t>
  </si>
  <si>
    <t>11200mAh</t>
  </si>
  <si>
    <t>14.6 inches</t>
  </si>
  <si>
    <t>INR 1,14,999</t>
  </si>
  <si>
    <t>Galaxy Tab S9+ 256GB</t>
  </si>
  <si>
    <t>586g</t>
  </si>
  <si>
    <t>10090mAh</t>
  </si>
  <si>
    <t>12.4 inches</t>
  </si>
  <si>
    <t>Galaxy Tab S9 128GB</t>
  </si>
  <si>
    <t>498g</t>
  </si>
  <si>
    <t>8400mAh</t>
  </si>
  <si>
    <t>PKR 230,000</t>
  </si>
  <si>
    <t>INR 85,999</t>
  </si>
  <si>
    <t>Galaxy Tab S9 FE 128GB</t>
  </si>
  <si>
    <t>523g</t>
  </si>
  <si>
    <t>8000mAh</t>
  </si>
  <si>
    <t>INR 49,999</t>
  </si>
  <si>
    <t>USD 549</t>
  </si>
  <si>
    <t>AED 1,999</t>
  </si>
  <si>
    <t>Galaxy Tab S8 Ultra 256GB</t>
  </si>
  <si>
    <t>726g</t>
  </si>
  <si>
    <t>13MP + 6MP</t>
  </si>
  <si>
    <t>INR 1,09,999</t>
  </si>
  <si>
    <t>CNY 9,499</t>
  </si>
  <si>
    <t>Galaxy Tab S8+ 256GB</t>
  </si>
  <si>
    <t>567g</t>
  </si>
  <si>
    <t>PKR 250,000</t>
  </si>
  <si>
    <t>Galaxy Tab S8 128GB</t>
  </si>
  <si>
    <t>503g</t>
  </si>
  <si>
    <t>Galaxy Tab A9+ 128GB</t>
  </si>
  <si>
    <t>480g</t>
  </si>
  <si>
    <t>Snapdragon 695</t>
  </si>
  <si>
    <t>7040mAh</t>
  </si>
  <si>
    <t>PKR 100,000</t>
  </si>
  <si>
    <t>USD 229</t>
  </si>
  <si>
    <t>Galaxy Tab A9 64GB</t>
  </si>
  <si>
    <t>366g</t>
  </si>
  <si>
    <t>2MP</t>
  </si>
  <si>
    <t>5100mAh</t>
  </si>
  <si>
    <t>8.7 inches</t>
  </si>
  <si>
    <t>INR 16,999</t>
  </si>
  <si>
    <t>Galaxy Tab A8 64GB</t>
  </si>
  <si>
    <t>508g</t>
  </si>
  <si>
    <t>Unisoc T618</t>
  </si>
  <si>
    <t>10.5 inches</t>
  </si>
  <si>
    <t>PKR 68,000</t>
  </si>
  <si>
    <t>Galaxy Tab A7 Lite 32GB</t>
  </si>
  <si>
    <t>MediaTek Helio P22T</t>
  </si>
  <si>
    <t>INR 11,999</t>
  </si>
  <si>
    <t>USD 149</t>
  </si>
  <si>
    <t>AED 599</t>
  </si>
  <si>
    <t>Galaxy Tab Active 5 128GB</t>
  </si>
  <si>
    <t>433g</t>
  </si>
  <si>
    <t>5050mAh</t>
  </si>
  <si>
    <t>8 inches</t>
  </si>
  <si>
    <t>INR 54,999</t>
  </si>
  <si>
    <t>AED 2,199</t>
  </si>
  <si>
    <t>Galaxy Tab Active 4 Pro 128GB</t>
  </si>
  <si>
    <t>674g</t>
  </si>
  <si>
    <t>Snapdragon 778G</t>
  </si>
  <si>
    <t>7600mAh</t>
  </si>
  <si>
    <t>10.1 inches</t>
  </si>
  <si>
    <t>CNY 4,299</t>
  </si>
  <si>
    <t>USD 649</t>
  </si>
  <si>
    <t>Galaxy Tab Active 3 64GB</t>
  </si>
  <si>
    <t>426g</t>
  </si>
  <si>
    <t>Exynos 9810</t>
  </si>
  <si>
    <t>INR 44,999</t>
  </si>
  <si>
    <t>CNY 2,999</t>
  </si>
  <si>
    <t>AED 1,899</t>
  </si>
  <si>
    <t>Galaxy Tab E 10.1 16GB</t>
  </si>
  <si>
    <t>1.5GB</t>
  </si>
  <si>
    <t>Spreadtrum SC8830</t>
  </si>
  <si>
    <t>PKR 35,000</t>
  </si>
  <si>
    <t>INR 9,999</t>
  </si>
  <si>
    <t>CNY 899</t>
  </si>
  <si>
    <t>Galaxy Tab E 8.0 16GB</t>
  </si>
  <si>
    <t>360g</t>
  </si>
  <si>
    <t>Qualcomm MSM8916</t>
  </si>
  <si>
    <t>PKR 28,000</t>
  </si>
  <si>
    <t>INR 8,499</t>
  </si>
  <si>
    <t>CNY 799</t>
  </si>
  <si>
    <t>USD 99</t>
  </si>
  <si>
    <t>AED 399</t>
  </si>
  <si>
    <t>OnePlus</t>
  </si>
  <si>
    <t>OnePlus 12 256GB</t>
  </si>
  <si>
    <t>205g</t>
  </si>
  <si>
    <t>50MP + 48MP</t>
  </si>
  <si>
    <t>Snapdragon 8 Gen 3</t>
  </si>
  <si>
    <t>OnePlus 12R 256GB</t>
  </si>
  <si>
    <t>OnePlus 11 256GB</t>
  </si>
  <si>
    <t>CNY 4,999</t>
  </si>
  <si>
    <t>OnePlus 11R 256GB</t>
  </si>
  <si>
    <t>OnePlus Nord 3 256GB</t>
  </si>
  <si>
    <t>MediaTek Dimensity 9000</t>
  </si>
  <si>
    <t>6.74 inches</t>
  </si>
  <si>
    <t>PKR 119,999</t>
  </si>
  <si>
    <t>INR 34,999</t>
  </si>
  <si>
    <t>OnePlus Nord CE 3 128GB</t>
  </si>
  <si>
    <t>179g</t>
  </si>
  <si>
    <t>Snapdragon 782G</t>
  </si>
  <si>
    <t>6.72 inches</t>
  </si>
  <si>
    <t>CNY 2,799</t>
  </si>
  <si>
    <t>OnePlus Nord CE 3 Lite 128GB</t>
  </si>
  <si>
    <t>108MP</t>
  </si>
  <si>
    <t>OnePlus Nord N30 5G 128GB</t>
  </si>
  <si>
    <t>64MP + 2MP</t>
  </si>
  <si>
    <t>MediaTek Dimensity 6020</t>
  </si>
  <si>
    <t>PKR 55,000</t>
  </si>
  <si>
    <t>OnePlus Open 256GB</t>
  </si>
  <si>
    <t>16GB</t>
  </si>
  <si>
    <t>48MP + 48MP</t>
  </si>
  <si>
    <t>7.8 inches</t>
  </si>
  <si>
    <t>PKR 299,999</t>
  </si>
  <si>
    <t>OnePlus 10 Pro 256GB</t>
  </si>
  <si>
    <t>200g</t>
  </si>
  <si>
    <t>PKR 199,999</t>
  </si>
  <si>
    <t>OnePlus 10T 256GB</t>
  </si>
  <si>
    <t>Snapdragon 8+ Gen 1</t>
  </si>
  <si>
    <t>CNY 4,699</t>
  </si>
  <si>
    <t>AED 2,899</t>
  </si>
  <si>
    <t>OnePlus 9 Pro 256GB</t>
  </si>
  <si>
    <t>48MP + 50MP</t>
  </si>
  <si>
    <t>CNY 4,199</t>
  </si>
  <si>
    <t>OnePlus 9 128GB</t>
  </si>
  <si>
    <t>183g</t>
  </si>
  <si>
    <t>6.55 inches</t>
  </si>
  <si>
    <t>INR 39,999</t>
  </si>
  <si>
    <t>AED 2,299</t>
  </si>
  <si>
    <t>OnePlus 11 Pro 256GB</t>
  </si>
  <si>
    <t>OnePlus Nord 2T 128GB</t>
  </si>
  <si>
    <t>MediaTek Dimensity 1300</t>
  </si>
  <si>
    <t>6.43 inches</t>
  </si>
  <si>
    <t>OnePlus Nord 2 128GB</t>
  </si>
  <si>
    <t>MediaTek Dimensity 1200-AI</t>
  </si>
  <si>
    <t>OnePlus Nord N200 64GB</t>
  </si>
  <si>
    <t>Snapdragon 480</t>
  </si>
  <si>
    <t>6.49 inches</t>
  </si>
  <si>
    <t>PKR 39,999</t>
  </si>
  <si>
    <t>OnePlus Nord N100 64GB</t>
  </si>
  <si>
    <t>185g</t>
  </si>
  <si>
    <t>Qualcomm Snapdragon 460</t>
  </si>
  <si>
    <t>6.52 inches</t>
  </si>
  <si>
    <t>PKR 29,999</t>
  </si>
  <si>
    <t>OnePlus 8T Cyberpunk 2077 Edition 256GB</t>
  </si>
  <si>
    <t>48MP + 16MP</t>
  </si>
  <si>
    <t>Snapdragon 865</t>
  </si>
  <si>
    <t>PKR 139,999</t>
  </si>
  <si>
    <t>INR 45,999</t>
  </si>
  <si>
    <t>OnePlus 9T 128GB</t>
  </si>
  <si>
    <t>OnePlus 8T 256GB</t>
  </si>
  <si>
    <t>INR 42,999</t>
  </si>
  <si>
    <t>OnePlus 10T 5G 256GB</t>
  </si>
  <si>
    <t>OnePlus 9R 5G 128GB</t>
  </si>
  <si>
    <t>48MP + 5MP</t>
  </si>
  <si>
    <t>Snapdragon 870</t>
  </si>
  <si>
    <t>OnePlus 8 Pro 256GB</t>
  </si>
  <si>
    <t>4510mAh</t>
  </si>
  <si>
    <t>6.78 inches</t>
  </si>
  <si>
    <t>OnePlus 8 128GB</t>
  </si>
  <si>
    <t>180g</t>
  </si>
  <si>
    <t>INR 41,999</t>
  </si>
  <si>
    <t>OnePlus Nord CE 2 Lite 128GB</t>
  </si>
  <si>
    <t>MediaTek Dimensity 900</t>
  </si>
  <si>
    <t>6.59 inches</t>
  </si>
  <si>
    <t>OnePlus Nord CE 2 128GB</t>
  </si>
  <si>
    <t>173g</t>
  </si>
  <si>
    <t>64MP + 8MP</t>
  </si>
  <si>
    <t>MediaTek Dimensity 1200</t>
  </si>
  <si>
    <t>PKR 64,999</t>
  </si>
  <si>
    <t>OnePlus Nord 1 128GB</t>
  </si>
  <si>
    <t>184g</t>
  </si>
  <si>
    <t>Snapdragon 765G</t>
  </si>
  <si>
    <t>4115mAh</t>
  </si>
  <si>
    <t>6.44 inches</t>
  </si>
  <si>
    <t>OnePlus Nord CE 5G 128GB</t>
  </si>
  <si>
    <t>170g</t>
  </si>
  <si>
    <t>Snapdragon 750G</t>
  </si>
  <si>
    <t>PKR 54,999</t>
  </si>
  <si>
    <t>OnePlus Nord 2 5G 128GB</t>
  </si>
  <si>
    <t>OnePlus Nord N100 5G 64GB</t>
  </si>
  <si>
    <t>OnePlus Nord N10 5G 128GB</t>
  </si>
  <si>
    <t>Qualcomm Snapdragon 690</t>
  </si>
  <si>
    <t>OnePlus 8R 128GB</t>
  </si>
  <si>
    <t>OnePlus 7R 128GB</t>
  </si>
  <si>
    <t>Snapdragon 855</t>
  </si>
  <si>
    <t>6.41 inches</t>
  </si>
  <si>
    <t>PKR 109,999</t>
  </si>
  <si>
    <t>INR 38,999</t>
  </si>
  <si>
    <t>CNY 3,199</t>
  </si>
  <si>
    <t>AED 2,399</t>
  </si>
  <si>
    <t>OnePlus 6T McLaren Edition 256GB</t>
  </si>
  <si>
    <t>10GB</t>
  </si>
  <si>
    <t>20MP + 16MP</t>
  </si>
  <si>
    <t>Snapdragon 845</t>
  </si>
  <si>
    <t>INR 50,999</t>
  </si>
  <si>
    <t>OnePlus 5T Star Wars Edition 128GB</t>
  </si>
  <si>
    <t>162g</t>
  </si>
  <si>
    <t>16MP + 20MP</t>
  </si>
  <si>
    <t>Snapdragon 835</t>
  </si>
  <si>
    <t>6.01 inches</t>
  </si>
  <si>
    <t>OnePlus 13R 128GB</t>
  </si>
  <si>
    <t>210g</t>
  </si>
  <si>
    <t>OnePlus 11T 128GB</t>
  </si>
  <si>
    <t>OnePlus 10R 128GB</t>
  </si>
  <si>
    <t>50MP + 16MP</t>
  </si>
  <si>
    <t>MediaTek Dimensity 8100</t>
  </si>
  <si>
    <t>CNY 3,899</t>
  </si>
  <si>
    <t>OnePlus 7 Pro 5G 256GB</t>
  </si>
  <si>
    <t>6.67 inches</t>
  </si>
  <si>
    <t>OnePlus 6 Special Edition 128GB</t>
  </si>
  <si>
    <t>6.28 inches</t>
  </si>
  <si>
    <t>PKR 99,999</t>
  </si>
  <si>
    <t>INR 37,999</t>
  </si>
  <si>
    <t>OnePlus 5 Special Edition 128GB</t>
  </si>
  <si>
    <t>155g</t>
  </si>
  <si>
    <t>PKR 94,999</t>
  </si>
  <si>
    <t>INR 36,999</t>
  </si>
  <si>
    <t>OnePlus Nord X 128GB</t>
  </si>
  <si>
    <t>OnePlus 8 Pro McLaren Edition 256GB</t>
  </si>
  <si>
    <t>OnePlus 8T Cyberpunk Edition 256GB</t>
  </si>
  <si>
    <t>INR 58,999</t>
  </si>
  <si>
    <t>OnePlus 7T Pro 5G McLaren Edition 256GB</t>
  </si>
  <si>
    <t>4085mAh</t>
  </si>
  <si>
    <t>OnePlus 15R 128GB</t>
  </si>
  <si>
    <t>PKR 229,999</t>
  </si>
  <si>
    <t>OnePlus 14+ 128GB</t>
  </si>
  <si>
    <t>OnePlus 13 Pro 256GB</t>
  </si>
  <si>
    <t>215g</t>
  </si>
  <si>
    <t>OnePlus 12T 5G 256GB</t>
  </si>
  <si>
    <t>OnePlus Pad</t>
  </si>
  <si>
    <t>550g</t>
  </si>
  <si>
    <t>9510mAh</t>
  </si>
  <si>
    <t>11.61 inches</t>
  </si>
  <si>
    <t>CNY 3,999</t>
  </si>
  <si>
    <t>OnePlus Pad 2</t>
  </si>
  <si>
    <t>PKR 104,999</t>
  </si>
  <si>
    <t>CNY 4,499</t>
  </si>
  <si>
    <t>OnePlus Pad Pro</t>
  </si>
  <si>
    <t>610g</t>
  </si>
  <si>
    <t>11000mAh</t>
  </si>
  <si>
    <t>Vivo</t>
  </si>
  <si>
    <t>X200 128GB</t>
  </si>
  <si>
    <t>223g</t>
  </si>
  <si>
    <t>Dimensity 9400</t>
  </si>
  <si>
    <t>X200 256GB</t>
  </si>
  <si>
    <t>INR 129,999</t>
  </si>
  <si>
    <t>X200 Pro 256GB</t>
  </si>
  <si>
    <t>200MP</t>
  </si>
  <si>
    <t>INR 139,999</t>
  </si>
  <si>
    <t>X200 Pro 512GB</t>
  </si>
  <si>
    <t>INR 149,999</t>
  </si>
  <si>
    <t>AED 4,699</t>
  </si>
  <si>
    <t>X200 Pro Mini 256GB</t>
  </si>
  <si>
    <t>5700mAh</t>
  </si>
  <si>
    <t>6.31 inches</t>
  </si>
  <si>
    <t>V40e 128GB</t>
  </si>
  <si>
    <t>44MP</t>
  </si>
  <si>
    <t>64MP</t>
  </si>
  <si>
    <t>4100mAh</t>
  </si>
  <si>
    <t>AED 1,649</t>
  </si>
  <si>
    <t>Y200 GT 128GB</t>
  </si>
  <si>
    <t>Dimensity 1200</t>
  </si>
  <si>
    <t>6.58 inches</t>
  </si>
  <si>
    <t>T3 5G 128GB</t>
  </si>
  <si>
    <t>Y100 5G 128GB</t>
  </si>
  <si>
    <t>Dimensity 900</t>
  </si>
  <si>
    <t>6.38 inches</t>
  </si>
  <si>
    <t>INR 29,999</t>
  </si>
  <si>
    <t>S18 Pro 256GB</t>
  </si>
  <si>
    <t>6.56 inches</t>
  </si>
  <si>
    <t>V30 Pro 128GB</t>
  </si>
  <si>
    <t>Dimensity 1100</t>
  </si>
  <si>
    <t>iQOO 12 256GB</t>
  </si>
  <si>
    <t>Z3 64GB</t>
  </si>
  <si>
    <t>Snapdragon 710</t>
  </si>
  <si>
    <t>3315mAh</t>
  </si>
  <si>
    <t>V9 64GB</t>
  </si>
  <si>
    <t>150g</t>
  </si>
  <si>
    <t>24MP</t>
  </si>
  <si>
    <t>Snapdragon 626</t>
  </si>
  <si>
    <t>3260mAh</t>
  </si>
  <si>
    <t>PKR 34,999</t>
  </si>
  <si>
    <t>USD 219</t>
  </si>
  <si>
    <t>X9 Plus 128GB</t>
  </si>
  <si>
    <t>20MP+8MP</t>
  </si>
  <si>
    <t>5.88 inches</t>
  </si>
  <si>
    <t>PKR 42,999</t>
  </si>
  <si>
    <t>Y81 32GB</t>
  </si>
  <si>
    <t>146g</t>
  </si>
  <si>
    <t>MediaTek Helio P22</t>
  </si>
  <si>
    <t>6.22 inches</t>
  </si>
  <si>
    <t>PKR 22,999</t>
  </si>
  <si>
    <t>AED 549</t>
  </si>
  <si>
    <t>X5Max 16GB</t>
  </si>
  <si>
    <t>Snapdragon 615</t>
  </si>
  <si>
    <t>2300mAh</t>
  </si>
  <si>
    <t>V5 Plus 64GB</t>
  </si>
  <si>
    <t>158g</t>
  </si>
  <si>
    <t>3055mAh</t>
  </si>
  <si>
    <t>Y95 64GB</t>
  </si>
  <si>
    <t>163g</t>
  </si>
  <si>
    <t>20MP</t>
  </si>
  <si>
    <t>13MP+2MP</t>
  </si>
  <si>
    <t>Snapdragon 439</t>
  </si>
  <si>
    <t>4030mAh</t>
  </si>
  <si>
    <t>V3 Max 32GB</t>
  </si>
  <si>
    <t>Snapdragon 652</t>
  </si>
  <si>
    <t>PKR 24,999</t>
  </si>
  <si>
    <t>INR 13,999</t>
  </si>
  <si>
    <t>AED 649</t>
  </si>
  <si>
    <t>X3S 16GB</t>
  </si>
  <si>
    <t>153g</t>
  </si>
  <si>
    <t>1GB</t>
  </si>
  <si>
    <t>MediaTek MT6592</t>
  </si>
  <si>
    <t>2000mAh</t>
  </si>
  <si>
    <t>5.0 inches</t>
  </si>
  <si>
    <t>PKR 19,999</t>
  </si>
  <si>
    <t>INR 10,999</t>
  </si>
  <si>
    <t>USD 139</t>
  </si>
  <si>
    <t>Y66 32GB</t>
  </si>
  <si>
    <t>Snapdragon 430</t>
  </si>
  <si>
    <t>PKR 27,999</t>
  </si>
  <si>
    <t>V19 128GB</t>
  </si>
  <si>
    <t>176g</t>
  </si>
  <si>
    <t>Qualcomm Snapdragon 712</t>
  </si>
  <si>
    <t>INR 27,990</t>
  </si>
  <si>
    <t>V19 256GB</t>
  </si>
  <si>
    <t>INR 31,990</t>
  </si>
  <si>
    <t>AED 1,599</t>
  </si>
  <si>
    <t>V17 Pro 128GB</t>
  </si>
  <si>
    <t>201g</t>
  </si>
  <si>
    <t>Qualcomm Snapdragon 675</t>
  </si>
  <si>
    <t>V17 Pro 256GB</t>
  </si>
  <si>
    <t>INR 33,990</t>
  </si>
  <si>
    <t>Y12s 64GB</t>
  </si>
  <si>
    <t>6.51 inches</t>
  </si>
  <si>
    <t>PKR 18,999</t>
  </si>
  <si>
    <t>INR 10,990</t>
  </si>
  <si>
    <t>USD 159</t>
  </si>
  <si>
    <t>Y12s 128GB</t>
  </si>
  <si>
    <t>INR 13,990</t>
  </si>
  <si>
    <t>S1 Pro 128GB</t>
  </si>
  <si>
    <t>MediaTek Helio P65</t>
  </si>
  <si>
    <t>S1 Pro 256GB</t>
  </si>
  <si>
    <t>PKR 44,999</t>
  </si>
  <si>
    <t>INR 24,990</t>
  </si>
  <si>
    <t>USD 269</t>
  </si>
  <si>
    <t>Y11 32GB</t>
  </si>
  <si>
    <t>Qualcomm Snapdragon 439</t>
  </si>
  <si>
    <t>6.35 inches</t>
  </si>
  <si>
    <t>PKR 18,499</t>
  </si>
  <si>
    <t>Y11 64GB</t>
  </si>
  <si>
    <t>PKR 22,499</t>
  </si>
  <si>
    <t>INR 13,490</t>
  </si>
  <si>
    <t>V15 128GB</t>
  </si>
  <si>
    <t>MediaTek Helio P70</t>
  </si>
  <si>
    <t>6.53 inches</t>
  </si>
  <si>
    <t>V15 256GB</t>
  </si>
  <si>
    <t>INR 26,990</t>
  </si>
  <si>
    <t>USD 319</t>
  </si>
  <si>
    <t>X27 Pro 128GB</t>
  </si>
  <si>
    <t>Qualcomm Snapdragon 710</t>
  </si>
  <si>
    <t>6.39 inches</t>
  </si>
  <si>
    <t>INR 35,990</t>
  </si>
  <si>
    <t>X27 Pro 256GB</t>
  </si>
  <si>
    <t>INR 39,990</t>
  </si>
  <si>
    <t>Y30 128GB</t>
  </si>
  <si>
    <t>193g</t>
  </si>
  <si>
    <t>6.47 inches</t>
  </si>
  <si>
    <t>INR 14,990</t>
  </si>
  <si>
    <t>AED 749</t>
  </si>
  <si>
    <t>Y30 64GB</t>
  </si>
  <si>
    <t>INR 11,990</t>
  </si>
  <si>
    <t>Z1 Pro 64GB</t>
  </si>
  <si>
    <t>159g</t>
  </si>
  <si>
    <t>Z1 Pro 128GB</t>
  </si>
  <si>
    <t>X21 128GB</t>
  </si>
  <si>
    <t>156g</t>
  </si>
  <si>
    <t>Qualcomm Snapdragon 660</t>
  </si>
  <si>
    <t>3200mAh</t>
  </si>
  <si>
    <t>X21 64GB</t>
  </si>
  <si>
    <t>INR 21,990</t>
  </si>
  <si>
    <t>V23e 128GB</t>
  </si>
  <si>
    <t>MediaTek Helio G96</t>
  </si>
  <si>
    <t>V23e 256GB</t>
  </si>
  <si>
    <t>Y33s 128GB</t>
  </si>
  <si>
    <t>182g</t>
  </si>
  <si>
    <t>MediaTek Helio G80</t>
  </si>
  <si>
    <t>USD 239</t>
  </si>
  <si>
    <t>Y33s 64GB</t>
  </si>
  <si>
    <t>X60 Pro 256GB</t>
  </si>
  <si>
    <t>Qualcomm Snapdragon 870</t>
  </si>
  <si>
    <t>4200mAh</t>
  </si>
  <si>
    <t>X60 Pro 512GB</t>
  </si>
  <si>
    <t>V20 Pro 128GB</t>
  </si>
  <si>
    <t>Qualcomm Snapdragon 765G</t>
  </si>
  <si>
    <t>INR 25,999</t>
  </si>
  <si>
    <t>V20 Pro 256GB</t>
  </si>
  <si>
    <t>Y75 5G 128GB</t>
  </si>
  <si>
    <t>MediaTek Dimensity 700</t>
  </si>
  <si>
    <t>Y75 5G 256GB</t>
  </si>
  <si>
    <t>Y53s 128GB</t>
  </si>
  <si>
    <t>Y53s 64GB</t>
  </si>
  <si>
    <t>V15 Pro 128GB</t>
  </si>
  <si>
    <t>V15 Pro 256GB</t>
  </si>
  <si>
    <t>X70 Pro 128GB</t>
  </si>
  <si>
    <t>4450mAh</t>
  </si>
  <si>
    <t>X70 Pro 256GB</t>
  </si>
  <si>
    <t>T1 5G 128GB</t>
  </si>
  <si>
    <t>Qualcomm Snapdragon 695</t>
  </si>
  <si>
    <t>T1 5G 256GB</t>
  </si>
  <si>
    <t>X30 Pro 128GB</t>
  </si>
  <si>
    <t>Qualcomm Snapdragon 855</t>
  </si>
  <si>
    <t>INR 47,999</t>
  </si>
  <si>
    <t>CNY 4,599</t>
  </si>
  <si>
    <t>X30 Pro 256GB</t>
  </si>
  <si>
    <t>V27 128GB</t>
  </si>
  <si>
    <t>MediaTek Dimensity 8200</t>
  </si>
  <si>
    <t>4600mAh</t>
  </si>
  <si>
    <t>V27 256GB</t>
  </si>
  <si>
    <t>PKR 84,999</t>
  </si>
  <si>
    <t>V27 Pro 128GB</t>
  </si>
  <si>
    <t>V27 Pro 256GB</t>
  </si>
  <si>
    <t>V25 Pro 128GB</t>
  </si>
  <si>
    <t>4830mAh</t>
  </si>
  <si>
    <t>V25 Pro 256GB</t>
  </si>
  <si>
    <t>PKR 85,999</t>
  </si>
  <si>
    <t>X90 Pro 256GB</t>
  </si>
  <si>
    <t>MediaTek Dimensity 9200</t>
  </si>
  <si>
    <t>4870mAh</t>
  </si>
  <si>
    <t>X90 Pro 512GB</t>
  </si>
  <si>
    <t>Y100 128GB</t>
  </si>
  <si>
    <t>Y100 256GB</t>
  </si>
  <si>
    <t>T2 Series 128GB</t>
  </si>
  <si>
    <t>T2 Series 256GB</t>
  </si>
  <si>
    <t>V23 5G 128GB</t>
  </si>
  <si>
    <t>MediaTek Dimensity 920</t>
  </si>
  <si>
    <t>V23 5G 256GB</t>
  </si>
  <si>
    <t>PKR 74,999</t>
  </si>
  <si>
    <t>X80 256GB</t>
  </si>
  <si>
    <t>X80 512GB</t>
  </si>
  <si>
    <t>Y21 128GB</t>
  </si>
  <si>
    <t>Y21 64GB</t>
  </si>
  <si>
    <t>PKR 26,999</t>
  </si>
  <si>
    <t>Pad 128GB</t>
  </si>
  <si>
    <t>8040mAh</t>
  </si>
  <si>
    <t>Pad 2 256GB</t>
  </si>
  <si>
    <t>535g</t>
  </si>
  <si>
    <t>Pad Air 128GB</t>
  </si>
  <si>
    <t>510g</t>
  </si>
  <si>
    <t>10.4 inches</t>
  </si>
  <si>
    <t>PKR 58,999</t>
  </si>
  <si>
    <t>INR 31,999</t>
  </si>
  <si>
    <t>USD 279</t>
  </si>
  <si>
    <t>Pad 3 128GB</t>
  </si>
  <si>
    <t>500g</t>
  </si>
  <si>
    <t>PKR 62,999</t>
  </si>
  <si>
    <t>Pad 3 Pro 256GB</t>
  </si>
  <si>
    <t>12.3 inches</t>
  </si>
  <si>
    <t>CNY 3,599</t>
  </si>
  <si>
    <t>Pad 4 Pro 256GB</t>
  </si>
  <si>
    <t>560g</t>
  </si>
  <si>
    <t>iQOO</t>
  </si>
  <si>
    <t>520g</t>
  </si>
  <si>
    <t>540g</t>
  </si>
  <si>
    <t>INR 43,999</t>
  </si>
  <si>
    <t>Pad 2 Pro 256GB</t>
  </si>
  <si>
    <t>555g</t>
  </si>
  <si>
    <t>Oppo</t>
  </si>
  <si>
    <t>Find N3 512GB</t>
  </si>
  <si>
    <t>239g</t>
  </si>
  <si>
    <t>48MP + 64MP + 48MP</t>
  </si>
  <si>
    <t>4805mAh</t>
  </si>
  <si>
    <t>7.82 inches</t>
  </si>
  <si>
    <t>INR 159,999</t>
  </si>
  <si>
    <t>AED 5,199</t>
  </si>
  <si>
    <t>Find N3 Flip 256GB</t>
  </si>
  <si>
    <t>50MP + 32MP + 48MP</t>
  </si>
  <si>
    <t>Find X8 Pro 256GB</t>
  </si>
  <si>
    <t>50MP + 50MP + 50MP</t>
  </si>
  <si>
    <t>Find X8 256GB</t>
  </si>
  <si>
    <t>50MP + 50MP</t>
  </si>
  <si>
    <t>Reno13 F 4G 256GB</t>
  </si>
  <si>
    <t>50MP + 8MP + 2MP</t>
  </si>
  <si>
    <t>MediaTek Helio G100</t>
  </si>
  <si>
    <t>5800mAh</t>
  </si>
  <si>
    <t>Reno13 F 256GB</t>
  </si>
  <si>
    <t>Reno13 Pro 512GB</t>
  </si>
  <si>
    <t>50MP + 50MP + 8MP</t>
  </si>
  <si>
    <t>MediaTek Dimensity 8350</t>
  </si>
  <si>
    <t>6.83 inches</t>
  </si>
  <si>
    <t>PKR 129,999</t>
  </si>
  <si>
    <t>Reno13 256GB</t>
  </si>
  <si>
    <t>5600mAh</t>
  </si>
  <si>
    <t>Reno12 F 4G 256GB</t>
  </si>
  <si>
    <t>Snapdragon 685</t>
  </si>
  <si>
    <t>Reno12 F 256GB</t>
  </si>
  <si>
    <t>Reno12 Pro 512GB</t>
  </si>
  <si>
    <t>50MP + 32MP + 8MP</t>
  </si>
  <si>
    <t>Reno12 256GB</t>
  </si>
  <si>
    <t>MediaTek Dimensity 7050</t>
  </si>
  <si>
    <t>Reno11 F 256GB</t>
  </si>
  <si>
    <t>64MP + 8MP + 2MP</t>
  </si>
  <si>
    <t>Reno11 Pro 512GB</t>
  </si>
  <si>
    <t>A5 Pro 256GB</t>
  </si>
  <si>
    <t>Dimensity 7300</t>
  </si>
  <si>
    <t>A5 Pro 512GB</t>
  </si>
  <si>
    <t>186g</t>
  </si>
  <si>
    <t>A80 256GB</t>
  </si>
  <si>
    <t>Dimensity 6300</t>
  </si>
  <si>
    <t>A3 4G 128GB</t>
  </si>
  <si>
    <t>Snapdragon 6s 4G Gen 1</t>
  </si>
  <si>
    <t>A3x 4G 128GB</t>
  </si>
  <si>
    <t>8MP + 2MP</t>
  </si>
  <si>
    <t>A3x 4G 256GB</t>
  </si>
  <si>
    <t>A3 128GB</t>
  </si>
  <si>
    <t>A3x 128GB</t>
  </si>
  <si>
    <t>A3x 256GB</t>
  </si>
  <si>
    <t>A60 128GB</t>
  </si>
  <si>
    <t>Snapdragon 680 4G</t>
  </si>
  <si>
    <t>A60 256GB</t>
  </si>
  <si>
    <t>K12 Plus 256GB</t>
  </si>
  <si>
    <t>Snapdragon 7 Gen 3</t>
  </si>
  <si>
    <t>6400mAh</t>
  </si>
  <si>
    <t>K12 Plus 512GB</t>
  </si>
  <si>
    <t>F27 128GB</t>
  </si>
  <si>
    <t>Dimensity 7050</t>
  </si>
  <si>
    <t>F27 256GB</t>
  </si>
  <si>
    <t>F27 Pro+ 256GB</t>
  </si>
  <si>
    <t>F27 Pro+ 512GB</t>
  </si>
  <si>
    <t>F25 Pro 128GB</t>
  </si>
  <si>
    <t>F25 Pro 256GB</t>
  </si>
  <si>
    <t>533g</t>
  </si>
  <si>
    <t>Dimensity 8350</t>
  </si>
  <si>
    <t>11.6 inches</t>
  </si>
  <si>
    <t>Pad 3 256GB</t>
  </si>
  <si>
    <t>12.1 inches</t>
  </si>
  <si>
    <t>Pad 3 Pro 512GB</t>
  </si>
  <si>
    <t>Pad Neo 128GB</t>
  </si>
  <si>
    <t>8360mAh</t>
  </si>
  <si>
    <t>Pad Neo 256GB</t>
  </si>
  <si>
    <t>Find X7 Ultra 256GB</t>
  </si>
  <si>
    <t>6.82 inches</t>
  </si>
  <si>
    <t>Find X7 Ultra 512GB</t>
  </si>
  <si>
    <t>Find X7 256GB</t>
  </si>
  <si>
    <t>50MP + 50MP + 64MP</t>
  </si>
  <si>
    <t>Dimensity 9300</t>
  </si>
  <si>
    <t>Find X7 512GB</t>
  </si>
  <si>
    <t>Find X6 Pro 256GB</t>
  </si>
  <si>
    <t>218g</t>
  </si>
  <si>
    <t>Find X6 Pro 512GB</t>
  </si>
  <si>
    <t>Find X6 256GB</t>
  </si>
  <si>
    <t>207g</t>
  </si>
  <si>
    <t>Dimensity 9200</t>
  </si>
  <si>
    <t>Find X6 512GB</t>
  </si>
  <si>
    <t>Find X5 Pro 256GB</t>
  </si>
  <si>
    <t>50MP + 50MP + 13MP</t>
  </si>
  <si>
    <t>Find X5 Pro 512GB</t>
  </si>
  <si>
    <t>Find X5 256GB</t>
  </si>
  <si>
    <t>Find N2 Flip 256GB</t>
  </si>
  <si>
    <t>Dimensity 9000+</t>
  </si>
  <si>
    <t>Find N2 Flip 512GB</t>
  </si>
  <si>
    <t>Find N2 256GB</t>
  </si>
  <si>
    <t>233g</t>
  </si>
  <si>
    <t>50MP + 48MP + 32MP</t>
  </si>
  <si>
    <t>4520mAh</t>
  </si>
  <si>
    <t>7.1 inches</t>
  </si>
  <si>
    <t>Reno10 5G 128GB</t>
  </si>
  <si>
    <t>64MP + 32MP + 8MP</t>
  </si>
  <si>
    <t>5,000mAh</t>
  </si>
  <si>
    <t>Reno10 5G 256GB</t>
  </si>
  <si>
    <t>Reno10 Pro 5G 256GB</t>
  </si>
  <si>
    <t>4,600mAh</t>
  </si>
  <si>
    <t>Reno10 Pro+ 5G 256GB</t>
  </si>
  <si>
    <t>50MP + 64MP + 8MP</t>
  </si>
  <si>
    <t>4,700mAh</t>
  </si>
  <si>
    <t>Reno9 5G 128GB</t>
  </si>
  <si>
    <t>Reno9 5G 256GB</t>
  </si>
  <si>
    <t>Reno9 Pro 5G 256GB</t>
  </si>
  <si>
    <t>Dimensity 8100</t>
  </si>
  <si>
    <t>Reno9 Pro+ 5G 256GB</t>
  </si>
  <si>
    <t>INR 52,999</t>
  </si>
  <si>
    <t>Reno8 5G 128GB</t>
  </si>
  <si>
    <t>Dimensity 1300</t>
  </si>
  <si>
    <t>Reno8 5G 256GB</t>
  </si>
  <si>
    <t>Reno8 Pro 5G 256GB</t>
  </si>
  <si>
    <t>Reno8 Pro+ 5G 256GB</t>
  </si>
  <si>
    <t>INR 46,999</t>
  </si>
  <si>
    <t>CNY 3,399</t>
  </si>
  <si>
    <t>Reno7 5G 128GB</t>
  </si>
  <si>
    <t>Reno7 5G 256GB</t>
  </si>
  <si>
    <t>Reno7 Pro 5G 256GB</t>
  </si>
  <si>
    <t>Reno6 5G 128GB</t>
  </si>
  <si>
    <t>Reno6 5G 256GB</t>
  </si>
  <si>
    <t>Reno6 Pro 5G 128GB</t>
  </si>
  <si>
    <t>64MP + 8MP + 2MP + 2MP</t>
  </si>
  <si>
    <t>Reno6 Pro 5G 256GB</t>
  </si>
  <si>
    <t>Reno6 Pro+ 5G 256GB</t>
  </si>
  <si>
    <t>50MP + 13MP + 16MP + 2MP</t>
  </si>
  <si>
    <t>Reno5 5G 128GB</t>
  </si>
  <si>
    <t>Reno5 5G 256GB</t>
  </si>
  <si>
    <t>Reno5 Pro 5G 128GB</t>
  </si>
  <si>
    <t>Dimensity 1000+</t>
  </si>
  <si>
    <t>4,350mAh</t>
  </si>
  <si>
    <t>Reno5 Pro 5G 256GB</t>
  </si>
  <si>
    <t>Reno5 Pro+ 5G 256GB</t>
  </si>
  <si>
    <t>50MP + 16MP + 13MP + 2MP</t>
  </si>
  <si>
    <t>Reno4 5G 128GB</t>
  </si>
  <si>
    <t>48MP + 8MP + 2MP + 2MP</t>
  </si>
  <si>
    <t>4,000mAh</t>
  </si>
  <si>
    <t>Reno4 5G 256GB</t>
  </si>
  <si>
    <t>Reno4 Pro 5G 256GB</t>
  </si>
  <si>
    <t>48MP + 13MP + 12MP</t>
  </si>
  <si>
    <t>Reno3 5G 128GB</t>
  </si>
  <si>
    <t>Dimensity 1000L</t>
  </si>
  <si>
    <t>4,025mAh</t>
  </si>
  <si>
    <t>Reno3 5G 256GB</t>
  </si>
  <si>
    <t>Reno3 Pro 5G 256GB</t>
  </si>
  <si>
    <t>48MP + 13MP + 8MP + 2MP</t>
  </si>
  <si>
    <t>A59 5G 128GB</t>
  </si>
  <si>
    <t>AED 1,000</t>
  </si>
  <si>
    <t>A59 5G 256GB</t>
  </si>
  <si>
    <t>AED 1,200</t>
  </si>
  <si>
    <t>A58 5G 256GB</t>
  </si>
  <si>
    <t>INR 19,000</t>
  </si>
  <si>
    <t>AED 1,300</t>
  </si>
  <si>
    <t>A57 5G 128GB</t>
  </si>
  <si>
    <t>MediaTek Dimensity 810</t>
  </si>
  <si>
    <t>AED 1,100</t>
  </si>
  <si>
    <t>A56 5G 128GB</t>
  </si>
  <si>
    <t>PKR 32,999</t>
  </si>
  <si>
    <t>A55 5G 128GB</t>
  </si>
  <si>
    <t>13MP + 2MP + 2MP</t>
  </si>
  <si>
    <t>USD 189</t>
  </si>
  <si>
    <t>AED 950</t>
  </si>
  <si>
    <t>A54 5G 128GB</t>
  </si>
  <si>
    <t>Qualcomm Snapdragon 480</t>
  </si>
  <si>
    <t>A53 5G 128GB</t>
  </si>
  <si>
    <t>16MP + 2MP + 2MP</t>
  </si>
  <si>
    <t>MediaTek Dimensity 720</t>
  </si>
  <si>
    <t>4,040mAh</t>
  </si>
  <si>
    <t>AED 900</t>
  </si>
  <si>
    <t>A52 5G 128GB</t>
  </si>
  <si>
    <t>12MP + 8MP + 2MP + 2MP</t>
  </si>
  <si>
    <t>PKR 25,999</t>
  </si>
  <si>
    <t>AED 850</t>
  </si>
  <si>
    <t>A51 5G 128GB</t>
  </si>
  <si>
    <t>PKR 23,999</t>
  </si>
  <si>
    <t>AED 800</t>
  </si>
  <si>
    <t>A50 5G 128GB</t>
  </si>
  <si>
    <t>PKR 21,999</t>
  </si>
  <si>
    <t>AED 750</t>
  </si>
  <si>
    <t>A49 5G 128GB</t>
  </si>
  <si>
    <t>INR 8,999</t>
  </si>
  <si>
    <t>AED 700</t>
  </si>
  <si>
    <t>A40 128GB</t>
  </si>
  <si>
    <t>Qualcomm Snapdragon 6s Gen 1</t>
  </si>
  <si>
    <t>5,100mAh</t>
  </si>
  <si>
    <t>A40 256GB</t>
  </si>
  <si>
    <t>K11x 128GB</t>
  </si>
  <si>
    <t>108MP + 2MP</t>
  </si>
  <si>
    <t>INR 18,000</t>
  </si>
  <si>
    <t>K11x 256GB</t>
  </si>
  <si>
    <t>INR 20,000</t>
  </si>
  <si>
    <t>K10x 128GB</t>
  </si>
  <si>
    <t>64MP + 2MP + 2MP</t>
  </si>
  <si>
    <t>INR 16,990</t>
  </si>
  <si>
    <t>K10x 256GB</t>
  </si>
  <si>
    <t>K10 5G 128GB</t>
  </si>
  <si>
    <t>MediaTek Dimensity 8000-Max</t>
  </si>
  <si>
    <t>K9x 128GB</t>
  </si>
  <si>
    <t>K9x 256GB</t>
  </si>
  <si>
    <t>K9 Pro 5G 128GB</t>
  </si>
  <si>
    <t>AED 1,500</t>
  </si>
  <si>
    <t>K9 Pro 5G 256GB</t>
  </si>
  <si>
    <t>AED 1,700</t>
  </si>
  <si>
    <t>K9 5G 128GB</t>
  </si>
  <si>
    <t>Qualcomm Snapdragon 768G</t>
  </si>
  <si>
    <t>AED 1,400</t>
  </si>
  <si>
    <t>K9 5G 256GB</t>
  </si>
  <si>
    <t>K7x 128GB</t>
  </si>
  <si>
    <t>K7 5G 128GB</t>
  </si>
  <si>
    <t>K7 5G 256GB</t>
  </si>
  <si>
    <t>K11 128GB</t>
  </si>
  <si>
    <t>Qualcomm Snapdragon 782G</t>
  </si>
  <si>
    <t>USD 259</t>
  </si>
  <si>
    <t>K11 256GB</t>
  </si>
  <si>
    <t>K10 5G 256GB</t>
  </si>
  <si>
    <t>Realme</t>
  </si>
  <si>
    <t>GT 7 Pro 128GB</t>
  </si>
  <si>
    <t>222.8g</t>
  </si>
  <si>
    <t>Qualcomm Snapdragon 8 Elite</t>
  </si>
  <si>
    <t>6,500mAh</t>
  </si>
  <si>
    <t>CNY 3,400</t>
  </si>
  <si>
    <t>USD 470</t>
  </si>
  <si>
    <t>AED 1,725</t>
  </si>
  <si>
    <t>GT 7 Pro 256GB</t>
  </si>
  <si>
    <t>INR 65,999</t>
  </si>
  <si>
    <t>CNY 3,600</t>
  </si>
  <si>
    <t>USD 500</t>
  </si>
  <si>
    <t>AED 1,840</t>
  </si>
  <si>
    <t>GT 6 128GB</t>
  </si>
  <si>
    <t>50MP + 8MP + 50MP</t>
  </si>
  <si>
    <t>Qualcomm Snapdragon 8s Gen 3</t>
  </si>
  <si>
    <t>5,500mAh</t>
  </si>
  <si>
    <t>CNY 2,800</t>
  </si>
  <si>
    <t>USD 380</t>
  </si>
  <si>
    <t>GT 6 256GB</t>
  </si>
  <si>
    <t>CNY 2,900</t>
  </si>
  <si>
    <t>USD 400</t>
  </si>
  <si>
    <t>AED 1,460</t>
  </si>
  <si>
    <t>GT 6 512GB</t>
  </si>
  <si>
    <t>CNY 3,000</t>
  </si>
  <si>
    <t>USD 420</t>
  </si>
  <si>
    <t>AED 1,520</t>
  </si>
  <si>
    <t>GT 6T 128GB</t>
  </si>
  <si>
    <t>Qualcomm Snapdragon 7 Plus Gen 3</t>
  </si>
  <si>
    <t>INR 28,756</t>
  </si>
  <si>
    <t>CNY 2,700</t>
  </si>
  <si>
    <t>USD 360</t>
  </si>
  <si>
    <t>AED 1,330</t>
  </si>
  <si>
    <t>GT 6T 256GB</t>
  </si>
  <si>
    <t>INR 30,999</t>
  </si>
  <si>
    <t>14 Pro+ 5G 256GB</t>
  </si>
  <si>
    <t>Qualcomm Snapdragon 7s Gen 3</t>
  </si>
  <si>
    <t>6,000mAh</t>
  </si>
  <si>
    <t>CNY 2,600</t>
  </si>
  <si>
    <t>USD 340</t>
  </si>
  <si>
    <t>AED 1,250</t>
  </si>
  <si>
    <t>14 Pro+ 5G 512GB</t>
  </si>
  <si>
    <t>AED 1,320</t>
  </si>
  <si>
    <t>14 Pro 5G 128GB</t>
  </si>
  <si>
    <t>MediaTek Dimensity 7300 Energy</t>
  </si>
  <si>
    <t>5,800mAh</t>
  </si>
  <si>
    <t>CNY 2,400</t>
  </si>
  <si>
    <t>USD 320</t>
  </si>
  <si>
    <t>AED 1,150</t>
  </si>
  <si>
    <t>14 Pro 5G 256GB</t>
  </si>
  <si>
    <t>CNY 2,500</t>
  </si>
  <si>
    <t>AED 1,210</t>
  </si>
  <si>
    <t>14x 5G 128GB</t>
  </si>
  <si>
    <t>48MP + 2MP + 2MP</t>
  </si>
  <si>
    <t>Qualcomm Snapdragon 7s Gen 2</t>
  </si>
  <si>
    <t>CNY 2,000</t>
  </si>
  <si>
    <t>USD 270</t>
  </si>
  <si>
    <t>AED 970</t>
  </si>
  <si>
    <t>14x 5G 256GB</t>
  </si>
  <si>
    <t>CNY 2,100</t>
  </si>
  <si>
    <t>USD 290</t>
  </si>
  <si>
    <t>AED 1,030</t>
  </si>
  <si>
    <t>13+ 5G 128GB</t>
  </si>
  <si>
    <t>MediaTek Dimensity 7200</t>
  </si>
  <si>
    <t>CNY 1,800</t>
  </si>
  <si>
    <t>USD 250</t>
  </si>
  <si>
    <t>13+ 5G 256GB</t>
  </si>
  <si>
    <t>CNY 1,900</t>
  </si>
  <si>
    <t>13 5G 128GB</t>
  </si>
  <si>
    <t>MediaTek Dimensity 6100+</t>
  </si>
  <si>
    <t>CNY 1,500</t>
  </si>
  <si>
    <t>USD 220</t>
  </si>
  <si>
    <t>13 5G 256GB</t>
  </si>
  <si>
    <t>CNY 1,600</t>
  </si>
  <si>
    <t>USD 240</t>
  </si>
  <si>
    <t>AED 860</t>
  </si>
  <si>
    <t>13 Pro 5G 128GB</t>
  </si>
  <si>
    <t>5,200mAh</t>
  </si>
  <si>
    <t>CNY 2,200</t>
  </si>
  <si>
    <t>USD 300</t>
  </si>
  <si>
    <t>AED 1,070</t>
  </si>
  <si>
    <t>13 Pro 5G 256GB</t>
  </si>
  <si>
    <t>AED 1,140</t>
  </si>
  <si>
    <t>13 Pro+ 5G 256GB</t>
  </si>
  <si>
    <t>Qualcomm Snapdragon 7+ Gen 2</t>
  </si>
  <si>
    <t>13 Pro+ 5G 512GB</t>
  </si>
  <si>
    <t>AED 1,390</t>
  </si>
  <si>
    <t>P1 Speed 5G 128GB</t>
  </si>
  <si>
    <t>P1 Speed 5G 256GB</t>
  </si>
  <si>
    <t>AED 960</t>
  </si>
  <si>
    <t>P2 Pro 5G 256GB</t>
  </si>
  <si>
    <t>Qualcomm Snapdragon 7+ Gen 3</t>
  </si>
  <si>
    <t>P2 Pro 5G 512GB</t>
  </si>
  <si>
    <t>AED 1,280</t>
  </si>
  <si>
    <t>P1 5G 128GB</t>
  </si>
  <si>
    <t>CNY 1,400</t>
  </si>
  <si>
    <t>USD 200</t>
  </si>
  <si>
    <t>AED 720</t>
  </si>
  <si>
    <t>P1 5G 256GB</t>
  </si>
  <si>
    <t>AED 780</t>
  </si>
  <si>
    <t>P1 Pro 5G 128GB</t>
  </si>
  <si>
    <t>Qualcomm Snapdragon 7s Gen 1</t>
  </si>
  <si>
    <t>P1 Pro 5G 256GB</t>
  </si>
  <si>
    <t>AED 1,020</t>
  </si>
  <si>
    <t>Narzo 70 Turbo 5G 128GB</t>
  </si>
  <si>
    <t>CNY 1,700</t>
  </si>
  <si>
    <t>Narzo 70 Turbo 5G 256GB</t>
  </si>
  <si>
    <t>USD 260</t>
  </si>
  <si>
    <t>AED 920</t>
  </si>
  <si>
    <t>Narzo N61 128GB</t>
  </si>
  <si>
    <t>CNY 1,200</t>
  </si>
  <si>
    <t>USD 180</t>
  </si>
  <si>
    <t>AED 660</t>
  </si>
  <si>
    <t>Narzo N63 128GB</t>
  </si>
  <si>
    <t>MediaTek Helio G88</t>
  </si>
  <si>
    <t>PKR 37,999</t>
  </si>
  <si>
    <t>CNY 1,100</t>
  </si>
  <si>
    <t>USD 160</t>
  </si>
  <si>
    <t>AED 600</t>
  </si>
  <si>
    <t>Narzo N65 5G 128GB</t>
  </si>
  <si>
    <t>PKR 47,999</t>
  </si>
  <si>
    <t>USD 210</t>
  </si>
  <si>
    <t>Narzo 70 5G 128GB</t>
  </si>
  <si>
    <t>PKR 52,999</t>
  </si>
  <si>
    <t>INR 19,499</t>
  </si>
  <si>
    <t>USD 230</t>
  </si>
  <si>
    <t>AED 830</t>
  </si>
  <si>
    <t>C75 128GB</t>
  </si>
  <si>
    <t>MediaTek Helio G85</t>
  </si>
  <si>
    <t>C75 256GB</t>
  </si>
  <si>
    <t>C61 128GB</t>
  </si>
  <si>
    <t>Unisoc T612</t>
  </si>
  <si>
    <t>CNY 900</t>
  </si>
  <si>
    <t>USD 130</t>
  </si>
  <si>
    <t>AED 500</t>
  </si>
  <si>
    <t>C67 128GB</t>
  </si>
  <si>
    <t>USD 170</t>
  </si>
  <si>
    <t>AED 620</t>
  </si>
  <si>
    <t>C67 256GB</t>
  </si>
  <si>
    <t>CNY 1,300</t>
  </si>
  <si>
    <t>USD 190</t>
  </si>
  <si>
    <t>AED 680</t>
  </si>
  <si>
    <t>C65 128GB</t>
  </si>
  <si>
    <t>Qualcomm Snapdragon 680</t>
  </si>
  <si>
    <t>C65 256GB</t>
  </si>
  <si>
    <t>C63 128GB</t>
  </si>
  <si>
    <t>PKR 36,999</t>
  </si>
  <si>
    <t>INR 13,499</t>
  </si>
  <si>
    <t>CNY 1,050</t>
  </si>
  <si>
    <t>USD 150</t>
  </si>
  <si>
    <t>AED 580</t>
  </si>
  <si>
    <t>C55 128GB</t>
  </si>
  <si>
    <t>C55 256GB</t>
  </si>
  <si>
    <t>Note 60x 128GB</t>
  </si>
  <si>
    <t>Note 60 128GB</t>
  </si>
  <si>
    <t>AED 820</t>
  </si>
  <si>
    <t>Note 60 256GB</t>
  </si>
  <si>
    <t>AED 880</t>
  </si>
  <si>
    <t>Note 50 128GB</t>
  </si>
  <si>
    <t>GT 7 128GB</t>
  </si>
  <si>
    <t>Qualcomm Snapdragon 8 Gen 2</t>
  </si>
  <si>
    <t>PKR 124,999</t>
  </si>
  <si>
    <t>CNY 3,200</t>
  </si>
  <si>
    <t>USD 440</t>
  </si>
  <si>
    <t>AED 1,620</t>
  </si>
  <si>
    <t>GT 7 256GB</t>
  </si>
  <si>
    <t>INR 53,999</t>
  </si>
  <si>
    <t>AED 1,800</t>
  </si>
  <si>
    <t>Neo 7 128GB</t>
  </si>
  <si>
    <t>USD 330</t>
  </si>
  <si>
    <t>Neo 7 256GB</t>
  </si>
  <si>
    <t>P2 Pro 5G 128GB</t>
  </si>
  <si>
    <t>USD 350</t>
  </si>
  <si>
    <t>Pad 64GB</t>
  </si>
  <si>
    <t>440g</t>
  </si>
  <si>
    <t>7,100mAh</t>
  </si>
  <si>
    <t>PKR 57,999</t>
  </si>
  <si>
    <t>AED 740</t>
  </si>
  <si>
    <t>Pad 2 128GB</t>
  </si>
  <si>
    <t>482g</t>
  </si>
  <si>
    <t>8,360mAh</t>
  </si>
  <si>
    <t>11.5 inches</t>
  </si>
  <si>
    <t>USD 280</t>
  </si>
  <si>
    <t>AED 1,050</t>
  </si>
  <si>
    <t>CNY 2,300</t>
  </si>
  <si>
    <t>Pad 2 Lite 64GB</t>
  </si>
  <si>
    <t>466g</t>
  </si>
  <si>
    <t>Pad 2 Lite 128GB</t>
  </si>
  <si>
    <t>PKR 61,999</t>
  </si>
  <si>
    <t>AED 770</t>
  </si>
  <si>
    <t>Pad X 64GB</t>
  </si>
  <si>
    <t>499g</t>
  </si>
  <si>
    <t>8,340mAh</t>
  </si>
  <si>
    <t>USD 310</t>
  </si>
  <si>
    <t>Pad X 128GB</t>
  </si>
  <si>
    <t>INR 33,999</t>
  </si>
  <si>
    <t>Pad Mini 32GB</t>
  </si>
  <si>
    <t>372g</t>
  </si>
  <si>
    <t>Unisoc T616</t>
  </si>
  <si>
    <t>6,400mAh</t>
  </si>
  <si>
    <t>Pad Mini 64GB</t>
  </si>
  <si>
    <t>Pad Slim 64GB</t>
  </si>
  <si>
    <t>PKR 56,999</t>
  </si>
  <si>
    <t>CNY 1,350</t>
  </si>
  <si>
    <t>AED 730</t>
  </si>
  <si>
    <t>Pad Slim 128GB</t>
  </si>
  <si>
    <t>CNY 1,550</t>
  </si>
  <si>
    <t>TechLife Pad Neo 64GB</t>
  </si>
  <si>
    <t>465g</t>
  </si>
  <si>
    <t>7,200mAh</t>
  </si>
  <si>
    <t>TechLife Pad Neo 128GB</t>
  </si>
  <si>
    <t>Xiaomi</t>
  </si>
  <si>
    <t>Xiaomi 15 Pro 256GB</t>
  </si>
  <si>
    <t>50MP (Main) + 50MP (Ultra-wide) + 50MP (Telephoto)</t>
  </si>
  <si>
    <t>Snapdragon 8 Elite</t>
  </si>
  <si>
    <t>6,100mAh</t>
  </si>
  <si>
    <t>6.73 inches</t>
  </si>
  <si>
    <t>Xiaomi 15 Pro 512GB</t>
  </si>
  <si>
    <t>Xiaomi 15 Pro 1TB</t>
  </si>
  <si>
    <t>Xiaomi 15 256GB</t>
  </si>
  <si>
    <t>50MP (Main) + 50MP (Ultra-wide)</t>
  </si>
  <si>
    <t>5,400mAh</t>
  </si>
  <si>
    <t>6.36 inches</t>
  </si>
  <si>
    <t>Xiaomi 15 512GB</t>
  </si>
  <si>
    <t>CNY 4,799</t>
  </si>
  <si>
    <t>Xiaomi 14T Pro 256GB</t>
  </si>
  <si>
    <t>209g</t>
  </si>
  <si>
    <t>Dimensity 9300+</t>
  </si>
  <si>
    <t>USD 634.99</t>
  </si>
  <si>
    <t>Xiaomi 14T Pro 512GB</t>
  </si>
  <si>
    <t>USD 790.77</t>
  </si>
  <si>
    <t>Xiaomi 14T Pro 1TB</t>
  </si>
  <si>
    <t>PKR 209,999</t>
  </si>
  <si>
    <t>Xiaomi 14T 256GB</t>
  </si>
  <si>
    <t>Dimensity 8300-Ultra</t>
  </si>
  <si>
    <t>Xiaomi 14T 512GB</t>
  </si>
  <si>
    <t>Xiaomi 14 Pro 256GB</t>
  </si>
  <si>
    <t>Xiaomi 14 Pro 512GB</t>
  </si>
  <si>
    <t>Xiaomi 14 256GB</t>
  </si>
  <si>
    <t>4,610mAh</t>
  </si>
  <si>
    <t>Xiaomi 14 512GB</t>
  </si>
  <si>
    <t>Redmi Note 14 Pro+ 5G 128GB</t>
  </si>
  <si>
    <t>200MP (Main) + 8MP (Ultra-wide) + 2MP (Macro)</t>
  </si>
  <si>
    <t>Snapdragon 7s Gen 3</t>
  </si>
  <si>
    <t>5,110mAh</t>
  </si>
  <si>
    <t>USD 374.90</t>
  </si>
  <si>
    <t>Redmi Note 14 Pro+ 5G 256GB</t>
  </si>
  <si>
    <t>USD 399.00</t>
  </si>
  <si>
    <t>Redmi Note 14 Pro+ 5G 512GB</t>
  </si>
  <si>
    <t>INR 35,999</t>
  </si>
  <si>
    <t>USD 429.00</t>
  </si>
  <si>
    <t>Redmi Note 14 Pro 5G 128GB</t>
  </si>
  <si>
    <t>108MP (Main) + 8MP (Ultra-wide) + 2MP (Macro)</t>
  </si>
  <si>
    <t>MediaTek Dimensity 7300-Ultra</t>
  </si>
  <si>
    <t>USD 349.00</t>
  </si>
  <si>
    <t>Redmi Note 14 Pro 5G 256GB</t>
  </si>
  <si>
    <t>USD 379.00</t>
  </si>
  <si>
    <t>Redmi Note 14 Pro 4G 128GB</t>
  </si>
  <si>
    <t>Qualcomm Snapdragon 732G</t>
  </si>
  <si>
    <t>USD 299.00</t>
  </si>
  <si>
    <t>Redmi Note 14 Pro 4G 256GB</t>
  </si>
  <si>
    <t>USD 329.00</t>
  </si>
  <si>
    <t>Redmi Note 14 5G 128GB</t>
  </si>
  <si>
    <t>50MP (Main) + 8MP (Ultra-wide) + 2MP (Macro)</t>
  </si>
  <si>
    <t>MediaTek Dimensity 7025-Ultra</t>
  </si>
  <si>
    <t>USD 279.00</t>
  </si>
  <si>
    <t>Redmi Note 14 5G 256GB</t>
  </si>
  <si>
    <t>USD 309.00</t>
  </si>
  <si>
    <t>Redmi Note 14 4G 128GB</t>
  </si>
  <si>
    <t>USD 249.00</t>
  </si>
  <si>
    <t>Redmi Note 14 4G 256GB</t>
  </si>
  <si>
    <t>Redmi 14C 5G 64GB</t>
  </si>
  <si>
    <t>50MP (Main) + 2MP (Depth)</t>
  </si>
  <si>
    <t>USD 199.00</t>
  </si>
  <si>
    <t>Redmi 14C 5G 128GB</t>
  </si>
  <si>
    <t>USD 229.00</t>
  </si>
  <si>
    <t>Lenovo</t>
  </si>
  <si>
    <t>Legion Y70 128GB</t>
  </si>
  <si>
    <t>Legion Y70 256GB</t>
  </si>
  <si>
    <t>Legion Y70 512GB</t>
  </si>
  <si>
    <t>K14 Plus 64GB</t>
  </si>
  <si>
    <t>Unisoc T700</t>
  </si>
  <si>
    <t>K14 Plus 128GB</t>
  </si>
  <si>
    <t>AED 849</t>
  </si>
  <si>
    <t>K13 Pro 128GB</t>
  </si>
  <si>
    <t>Snapdragon 662</t>
  </si>
  <si>
    <t>AED 949</t>
  </si>
  <si>
    <t>K13 32GB</t>
  </si>
  <si>
    <t>Unisoc SC9863A</t>
  </si>
  <si>
    <t>INR 7,499</t>
  </si>
  <si>
    <t>K13 Note 64GB</t>
  </si>
  <si>
    <t>Snapdragon 460</t>
  </si>
  <si>
    <t>K10 Plus 64GB</t>
  </si>
  <si>
    <t>Snapdragon 632</t>
  </si>
  <si>
    <t>4,050mAh</t>
  </si>
  <si>
    <t>A6 Note 32GB</t>
  </si>
  <si>
    <t>Helio P22</t>
  </si>
  <si>
    <t>6.09 inches</t>
  </si>
  <si>
    <t>K10 Note 64GB</t>
  </si>
  <si>
    <t>K10 Note 128GB</t>
  </si>
  <si>
    <t>Z6 Pro 128GB</t>
  </si>
  <si>
    <t>CNY 2,899</t>
  </si>
  <si>
    <t>Z6 Pro 256GB</t>
  </si>
  <si>
    <t>USD 479</t>
  </si>
  <si>
    <t>Z5 Pro 64GB</t>
  </si>
  <si>
    <t>3,350mAh</t>
  </si>
  <si>
    <t>INR 21,400</t>
  </si>
  <si>
    <t>CNY 1,998</t>
  </si>
  <si>
    <t>Motorola</t>
  </si>
  <si>
    <t>Edge 50 Fusion 128GB</t>
  </si>
  <si>
    <t>Snapdragon 7 Gen 1</t>
  </si>
  <si>
    <t>Edge 50 Fusion 256GB</t>
  </si>
  <si>
    <t>Edge 50 Pro 128GB</t>
  </si>
  <si>
    <t>Edge 50 Pro 256GB</t>
  </si>
  <si>
    <t>Razr 128GB</t>
  </si>
  <si>
    <t>3,500mAh</t>
  </si>
  <si>
    <t>6.7 inches (main), 2.7 inches (external)</t>
  </si>
  <si>
    <t>Razr 256GB</t>
  </si>
  <si>
    <t>G84 5G 128GB</t>
  </si>
  <si>
    <t>166g</t>
  </si>
  <si>
    <t>G84 5G 256GB</t>
  </si>
  <si>
    <t>Moto G Stylus 64GB</t>
  </si>
  <si>
    <t>Moto G Stylus 128GB</t>
  </si>
  <si>
    <t>One Vision 3 128GB</t>
  </si>
  <si>
    <t>25MP</t>
  </si>
  <si>
    <t>Exynos 9609</t>
  </si>
  <si>
    <t>One Vision 3 256GB</t>
  </si>
  <si>
    <t>Edge 50 Lite 128GB</t>
  </si>
  <si>
    <t>Edge 50 Lite 256GB</t>
  </si>
  <si>
    <t>Moto E40 Plus 64GB</t>
  </si>
  <si>
    <t>Moto E40 Plus 128GB</t>
  </si>
  <si>
    <t>Moto G Power 64GB</t>
  </si>
  <si>
    <t>Moto G Power 128GB</t>
  </si>
  <si>
    <t>AED 1,049</t>
  </si>
  <si>
    <t>Moto G Play 32GB</t>
  </si>
  <si>
    <t>MediaTek Helio G25</t>
  </si>
  <si>
    <t>Moto G Play 64GB</t>
  </si>
  <si>
    <t>Moto G75 5G 128GB</t>
  </si>
  <si>
    <t>Snapdragon 6 Gen 3</t>
  </si>
  <si>
    <t>AED 1,175</t>
  </si>
  <si>
    <t>Moto G75 5G 256GB</t>
  </si>
  <si>
    <t>USD 370</t>
  </si>
  <si>
    <t>AED 1,350</t>
  </si>
  <si>
    <t>Moto S50 128GB</t>
  </si>
  <si>
    <t>Moto S50 256GB</t>
  </si>
  <si>
    <t>AED 1,275</t>
  </si>
  <si>
    <t>Edge 50 Neo 256GB</t>
  </si>
  <si>
    <t>MediaTek Dimensity 7300</t>
  </si>
  <si>
    <t>4,310mAh</t>
  </si>
  <si>
    <t>Edge 50 Neo 512GB</t>
  </si>
  <si>
    <t>USD 450</t>
  </si>
  <si>
    <t>AED 1,675</t>
  </si>
  <si>
    <t>Moto G55 128GB</t>
  </si>
  <si>
    <t>MediaTek Dimensity 7025</t>
  </si>
  <si>
    <t>Moto G55 256GB</t>
  </si>
  <si>
    <t>Moto G35 128GB</t>
  </si>
  <si>
    <t>Unisoc T760</t>
  </si>
  <si>
    <t>Moto G35 256GB</t>
  </si>
  <si>
    <t>AED 925</t>
  </si>
  <si>
    <t>Moto G45 128GB</t>
  </si>
  <si>
    <t>Snapdragon 6s Gen 3</t>
  </si>
  <si>
    <t>Moto G45 256GB</t>
  </si>
  <si>
    <t>Edge 50 256GB</t>
  </si>
  <si>
    <t>Snapdragon 7s Gen 2</t>
  </si>
  <si>
    <t>Edge 50 512GB</t>
  </si>
  <si>
    <t>AED 1,850</t>
  </si>
  <si>
    <t>Razr 50 Ultra 512GB</t>
  </si>
  <si>
    <t>6.9 inches (internal), 4.0 inches (external)</t>
  </si>
  <si>
    <t>Razr 50 256GB</t>
  </si>
  <si>
    <t>3,800mAh</t>
  </si>
  <si>
    <t>6.7 inches (internal), 3.6 inches (external)</t>
  </si>
  <si>
    <t>Moto G85 128GB</t>
  </si>
  <si>
    <t>Moto G85 256GB</t>
  </si>
  <si>
    <t>S50 Neo 256GB</t>
  </si>
  <si>
    <t>S50 Neo 512GB</t>
  </si>
  <si>
    <t>Moto E14 64GB</t>
  </si>
  <si>
    <t>Unisoc T606</t>
  </si>
  <si>
    <t>AED 550</t>
  </si>
  <si>
    <t>Moto E14 128GB</t>
  </si>
  <si>
    <t>AED 650</t>
  </si>
  <si>
    <t>Edge 256GB</t>
  </si>
  <si>
    <t>Edge 512GB</t>
  </si>
  <si>
    <t>Moto X50 Ultra 512GB</t>
  </si>
  <si>
    <t>60MP</t>
  </si>
  <si>
    <t>Moto G Stylus 5G 256GB</t>
  </si>
  <si>
    <t>Snapdragon 6 Gen 1</t>
  </si>
  <si>
    <t>Moto G Stylus 5G 512GB</t>
  </si>
  <si>
    <t>Edge 50 Ultra 512GB</t>
  </si>
  <si>
    <t>Edge 30 Fusion 128GB</t>
  </si>
  <si>
    <t>Snapdragon 888+ 5G</t>
  </si>
  <si>
    <t>Edge 30 Fusion 256GB</t>
  </si>
  <si>
    <t>Edge 30 Neo 128GB</t>
  </si>
  <si>
    <t>Snapdragon 695 5G</t>
  </si>
  <si>
    <t>4,020mAh</t>
  </si>
  <si>
    <t>Edge 30 Neo 256GB</t>
  </si>
  <si>
    <t>Moto G82 5G 128GB</t>
  </si>
  <si>
    <t>Moto G82 5G 256GB</t>
  </si>
  <si>
    <t>Moto G62 5G 128GB</t>
  </si>
  <si>
    <t>Snapdragon 480+ 5G</t>
  </si>
  <si>
    <t>Moto G62 5G 256GB</t>
  </si>
  <si>
    <t>Moto G42 128GB</t>
  </si>
  <si>
    <t>Moto G32 128GB</t>
  </si>
  <si>
    <t>Moto E32s 64GB</t>
  </si>
  <si>
    <t>MediaTek Helio G37</t>
  </si>
  <si>
    <t>Moto E22i 32GB</t>
  </si>
  <si>
    <t>169g</t>
  </si>
  <si>
    <t>Moto E22 64GB</t>
  </si>
  <si>
    <t>Moto G22 64GB</t>
  </si>
  <si>
    <t>Huawei</t>
  </si>
  <si>
    <t>P50</t>
  </si>
  <si>
    <t>Snapdragon 888 4G</t>
  </si>
  <si>
    <t>4,100mAh</t>
  </si>
  <si>
    <t>CNY 4,488</t>
  </si>
  <si>
    <t>P50 Pro</t>
  </si>
  <si>
    <t>4,360mAh</t>
  </si>
  <si>
    <t>CNY 5,988</t>
  </si>
  <si>
    <t>P50 Pocket</t>
  </si>
  <si>
    <t>10.7MP</t>
  </si>
  <si>
    <t>40MP</t>
  </si>
  <si>
    <t>6.9 inches (unfolded)</t>
  </si>
  <si>
    <t>CNY 8,988</t>
  </si>
  <si>
    <t>Mate 40E</t>
  </si>
  <si>
    <t>Kirin 990E 5G</t>
  </si>
  <si>
    <t>Mate X2</t>
  </si>
  <si>
    <t>295g</t>
  </si>
  <si>
    <t>Kirin 9000 5G</t>
  </si>
  <si>
    <t>8.0 inches (unfolded)</t>
  </si>
  <si>
    <t>PKR 349,999</t>
  </si>
  <si>
    <t>INR 249,999</t>
  </si>
  <si>
    <t>CNY 17,999</t>
  </si>
  <si>
    <t>USD 2,699</t>
  </si>
  <si>
    <t>AED 9,999</t>
  </si>
  <si>
    <t>Nova 9</t>
  </si>
  <si>
    <t>Snapdragon 778G 4G</t>
  </si>
  <si>
    <t>6.57 inches</t>
  </si>
  <si>
    <t>Nova 9 Pro</t>
  </si>
  <si>
    <t>Dual 32MP</t>
  </si>
  <si>
    <t>P50E</t>
  </si>
  <si>
    <t>CNY 4,088</t>
  </si>
  <si>
    <t>Mate Xs 2</t>
  </si>
  <si>
    <t>255g</t>
  </si>
  <si>
    <t>7.8 inches (unfolded)</t>
  </si>
  <si>
    <t>INR 199,999</t>
  </si>
  <si>
    <t>CNY 14,999</t>
  </si>
  <si>
    <t>USD 2,499</t>
  </si>
  <si>
    <t>AED 8,999</t>
  </si>
  <si>
    <t>Mate 50</t>
  </si>
  <si>
    <t>Snapdragon 8+ Gen 1 4G</t>
  </si>
  <si>
    <t>4,460mAh</t>
  </si>
  <si>
    <t>Mate 50 Pro</t>
  </si>
  <si>
    <t>Nova 10</t>
  </si>
  <si>
    <t>Nova 10 Pro</t>
  </si>
  <si>
    <t>Dual 60MP</t>
  </si>
  <si>
    <t>Nova 10 SE</t>
  </si>
  <si>
    <t>P60</t>
  </si>
  <si>
    <t>197g</t>
  </si>
  <si>
    <t>48MP (wide) + 13MP (ultrawide) + 48MP (telephoto)</t>
  </si>
  <si>
    <t>4,815mAh</t>
  </si>
  <si>
    <t>CNY 6,988</t>
  </si>
  <si>
    <t>P60 Pro</t>
  </si>
  <si>
    <t>8GB / 12GB</t>
  </si>
  <si>
    <t>CNY 7,988</t>
  </si>
  <si>
    <t>P60 Art</t>
  </si>
  <si>
    <t>48MP (wide) + 40MP (ultrawide) + 48MP (telephoto)</t>
  </si>
  <si>
    <t>Mate X3</t>
  </si>
  <si>
    <t>50MP (wide) + 13MP (ultrawide) + 12MP (periscope telephoto)</t>
  </si>
  <si>
    <t>4,800mAh</t>
  </si>
  <si>
    <t>7.85 inches (unfolded)</t>
  </si>
  <si>
    <t>CNY 13,999</t>
  </si>
  <si>
    <t>Mate 60</t>
  </si>
  <si>
    <t>50MP (wide) + 12MP (ultrawide) + 12MP (telephoto)</t>
  </si>
  <si>
    <t>Kirin 9000S</t>
  </si>
  <si>
    <t>4,750mAh</t>
  </si>
  <si>
    <t>Mate 60 Pro</t>
  </si>
  <si>
    <t>225g</t>
  </si>
  <si>
    <t>50MP (wide) + 40MP (ultrawide) + 48MP (telephoto)</t>
  </si>
  <si>
    <t>Mate 60 Pro+</t>
  </si>
  <si>
    <t>50MP (wide) + 48MP (ultrawide) + 48MP (telephoto)</t>
  </si>
  <si>
    <t>Nova 11</t>
  </si>
  <si>
    <t>50MP (wide) + 8MP (ultrawide)</t>
  </si>
  <si>
    <t>Nova 11 Pro</t>
  </si>
  <si>
    <t>60MP (ultrawide) + 8MP (telephoto)</t>
  </si>
  <si>
    <t>Nova 11 Ultra</t>
  </si>
  <si>
    <t>Pura 70</t>
  </si>
  <si>
    <t>220g</t>
  </si>
  <si>
    <t>50MP + 13MP + 12MP</t>
  </si>
  <si>
    <t>Kirin 9010</t>
  </si>
  <si>
    <t>4,900mAh</t>
  </si>
  <si>
    <t>Pura 70 Pro</t>
  </si>
  <si>
    <t>50MP + 12.5MP + 48MP</t>
  </si>
  <si>
    <t>5,050mAh</t>
  </si>
  <si>
    <t>Pura 70 Pro+</t>
  </si>
  <si>
    <t>Pura 70 Ultra</t>
  </si>
  <si>
    <t>50MP + 40MP + 50MP</t>
  </si>
  <si>
    <t>CNY 9,988</t>
  </si>
  <si>
    <t>Mate 70</t>
  </si>
  <si>
    <t>Mate 70 Pro</t>
  </si>
  <si>
    <t>50MP + 12MP + 40MP</t>
  </si>
  <si>
    <t>Mate 70 Pro+</t>
  </si>
  <si>
    <t>Mate X6</t>
  </si>
  <si>
    <t>241g</t>
  </si>
  <si>
    <t>7.93 inches</t>
  </si>
  <si>
    <t>Nova 12</t>
  </si>
  <si>
    <t>Nova 12 Pro</t>
  </si>
  <si>
    <t>60MP + 8MP</t>
  </si>
  <si>
    <t>Mate XT 256GB</t>
  </si>
  <si>
    <t>245g</t>
  </si>
  <si>
    <t>50MP + 12MP + 48MP</t>
  </si>
  <si>
    <t>7.92 inches</t>
  </si>
  <si>
    <t>INR 259,999</t>
  </si>
  <si>
    <t>CNY 13,499</t>
  </si>
  <si>
    <t>USD 2,599</t>
  </si>
  <si>
    <t>AED 10,499</t>
  </si>
  <si>
    <t>Mate XT 512GB</t>
  </si>
  <si>
    <t>PKR 389,999</t>
  </si>
  <si>
    <t>INR 274,999</t>
  </si>
  <si>
    <t>CNY 14,499</t>
  </si>
  <si>
    <t>USD 2,799</t>
  </si>
  <si>
    <t>AED 11,099</t>
  </si>
  <si>
    <t>Nova 13 256GB</t>
  </si>
  <si>
    <t>USD 529</t>
  </si>
  <si>
    <t>Nova 13 512GB</t>
  </si>
  <si>
    <t>Nova 13 Pro 256GB</t>
  </si>
  <si>
    <t>Nova 13 Pro 512GB</t>
  </si>
  <si>
    <t>PKR 134,999</t>
  </si>
  <si>
    <t>INR 67,999</t>
  </si>
  <si>
    <t>USD 729</t>
  </si>
  <si>
    <t>Nokia</t>
  </si>
  <si>
    <t>G42 5G 128GB</t>
  </si>
  <si>
    <t>Snapdragon 480+</t>
  </si>
  <si>
    <t>G20 64GB</t>
  </si>
  <si>
    <t>MediaTek G35</t>
  </si>
  <si>
    <t>PKR 48,999</t>
  </si>
  <si>
    <t>INR 12,499</t>
  </si>
  <si>
    <t>AED 629</t>
  </si>
  <si>
    <t>G20 128GB</t>
  </si>
  <si>
    <t>C32 64GB</t>
  </si>
  <si>
    <t>C32 128GB</t>
  </si>
  <si>
    <t>G21 64GB</t>
  </si>
  <si>
    <t>PKR 46,999</t>
  </si>
  <si>
    <t>AED 619</t>
  </si>
  <si>
    <t>G21 128GB</t>
  </si>
  <si>
    <t>C22 64GB</t>
  </si>
  <si>
    <t>USD 119</t>
  </si>
  <si>
    <t>AED 449</t>
  </si>
  <si>
    <t>C22 128GB</t>
  </si>
  <si>
    <t>PKR 38,999</t>
  </si>
  <si>
    <t>INR 9,499</t>
  </si>
  <si>
    <t>G400 128GB</t>
  </si>
  <si>
    <t>Sony</t>
  </si>
  <si>
    <t>Xperia 1 IV 256GB</t>
  </si>
  <si>
    <t>PKR 429,999</t>
  </si>
  <si>
    <t>Xperia 5 IV 128GB</t>
  </si>
  <si>
    <t>PKR 319,999</t>
  </si>
  <si>
    <t>Xperia 10 IV 128GB</t>
  </si>
  <si>
    <t>161g</t>
  </si>
  <si>
    <t>Xperia 1 V 256GB</t>
  </si>
  <si>
    <t>PKR 449,999</t>
  </si>
  <si>
    <t>USD 1,699</t>
  </si>
  <si>
    <t>AED 5,999</t>
  </si>
  <si>
    <t>Xperia 5 V 128GB</t>
  </si>
  <si>
    <t>PKR 339,999</t>
  </si>
  <si>
    <t>Xperia 10 V 128GB</t>
  </si>
  <si>
    <t>Xperia 1 VI 256GB</t>
  </si>
  <si>
    <t>PKR 469,999</t>
  </si>
  <si>
    <t>AED 6,199</t>
  </si>
  <si>
    <t>Xperia 5 VI 128GB</t>
  </si>
  <si>
    <t>Xperia 10 VI 128GB</t>
  </si>
  <si>
    <t>T21</t>
  </si>
  <si>
    <t>8200mAh</t>
  </si>
  <si>
    <t>PKR 52,000</t>
  </si>
  <si>
    <t>CNY 1,250</t>
  </si>
  <si>
    <t>AED 870</t>
  </si>
  <si>
    <t>MatePad Pro 12.2 512GB</t>
  </si>
  <si>
    <t>13MP (f/1.8, AF)</t>
  </si>
  <si>
    <t>10,100mAh</t>
  </si>
  <si>
    <t>12.2 inches</t>
  </si>
  <si>
    <t>PKR 161,500</t>
  </si>
  <si>
    <t>INR 49,990</t>
  </si>
  <si>
    <t>MatePad Pro 13.2 512GB</t>
  </si>
  <si>
    <t>580g</t>
  </si>
  <si>
    <t>13.2 inches</t>
  </si>
  <si>
    <t>PKR 197,000</t>
  </si>
  <si>
    <t>INR 58,590</t>
  </si>
  <si>
    <t>USD 877</t>
  </si>
  <si>
    <t>Google</t>
  </si>
  <si>
    <t>Pixel 3a 64GB</t>
  </si>
  <si>
    <t>147g</t>
  </si>
  <si>
    <t>12.2MP</t>
  </si>
  <si>
    <t>Snapdragon 670</t>
  </si>
  <si>
    <t>3,000mAh</t>
  </si>
  <si>
    <t>5.6 inches</t>
  </si>
  <si>
    <t>Pixel 3a XL 64GB</t>
  </si>
  <si>
    <t>3,700mAh</t>
  </si>
  <si>
    <t>Pixel 4 64GB</t>
  </si>
  <si>
    <t>2,800mAh</t>
  </si>
  <si>
    <t>Pixel 4 XL 64GB</t>
  </si>
  <si>
    <t>Pixel 4a 128GB</t>
  </si>
  <si>
    <t>Snapdragon 730G</t>
  </si>
  <si>
    <t>3,140mAh</t>
  </si>
  <si>
    <t>Pixel 4a 5G 128GB</t>
  </si>
  <si>
    <t>3,885mAh</t>
  </si>
  <si>
    <t>6.2 inches</t>
  </si>
  <si>
    <t>Pixel 5 128GB</t>
  </si>
  <si>
    <t>151g</t>
  </si>
  <si>
    <t>4,080mAh</t>
  </si>
  <si>
    <t>Pixel 5a 128GB</t>
  </si>
  <si>
    <t>4,680mAh</t>
  </si>
  <si>
    <t>6.34 inches</t>
  </si>
  <si>
    <t>Pixel 6 128GB</t>
  </si>
  <si>
    <t>Google Tensor</t>
  </si>
  <si>
    <t>4,614mAh</t>
  </si>
  <si>
    <t>Pixel 6 Pro 256GB</t>
  </si>
  <si>
    <t>11.1MP</t>
  </si>
  <si>
    <t>5,003mAh</t>
  </si>
  <si>
    <t>6.71 inches</t>
  </si>
  <si>
    <t>Pixel 6a 128GB</t>
  </si>
  <si>
    <t>4,410mAh</t>
  </si>
  <si>
    <t>Pixel 7 128GB</t>
  </si>
  <si>
    <t>10.8MP</t>
  </si>
  <si>
    <t>Google Tensor G2</t>
  </si>
  <si>
    <t>4,355mAh</t>
  </si>
  <si>
    <t>Pixel 7 Pro 256GB</t>
  </si>
  <si>
    <t>212g</t>
  </si>
  <si>
    <t>Pixel 7a 128GB</t>
  </si>
  <si>
    <t>4,385mAh</t>
  </si>
  <si>
    <t>Pixel 8 128GB</t>
  </si>
  <si>
    <t>10.5MP</t>
  </si>
  <si>
    <t>Google Tensor G3</t>
  </si>
  <si>
    <t>4,575mAh</t>
  </si>
  <si>
    <t>Pixel 8 Pro 256GB</t>
  </si>
  <si>
    <t>213g</t>
  </si>
  <si>
    <t>Pixel 8a 128GB</t>
  </si>
  <si>
    <t>Pixel 9 128GB</t>
  </si>
  <si>
    <t>Google Tensor G4</t>
  </si>
  <si>
    <t>Pixel 9 Pro 256GB</t>
  </si>
  <si>
    <t>216g</t>
  </si>
  <si>
    <t>Pixel 9 Pro XL 512GB</t>
  </si>
  <si>
    <t>222g</t>
  </si>
  <si>
    <t>5,250mAh</t>
  </si>
  <si>
    <t>Pixel 9 Pro Fold 512GB</t>
  </si>
  <si>
    <t>250g</t>
  </si>
  <si>
    <t>INR 179,999</t>
  </si>
  <si>
    <t>Tecno</t>
  </si>
  <si>
    <t>Spark Go 1S 64GB</t>
  </si>
  <si>
    <t>MediaTek Helio A22</t>
  </si>
  <si>
    <t>Megapad 11 256GB</t>
  </si>
  <si>
    <t>450g</t>
  </si>
  <si>
    <t>MediaTek G99</t>
  </si>
  <si>
    <t>8,000mAh</t>
  </si>
  <si>
    <t>Pop 9 4G 64GB</t>
  </si>
  <si>
    <t>CNY 599</t>
  </si>
  <si>
    <t>Megapad 128GB</t>
  </si>
  <si>
    <t>420g</t>
  </si>
  <si>
    <t>7,500mAh</t>
  </si>
  <si>
    <t>Camon 30S 256GB</t>
  </si>
  <si>
    <t>Spark 30C 5G 128GB</t>
  </si>
  <si>
    <t>Spark 30 5G 128GB</t>
  </si>
  <si>
    <t>Pop 9 64GB</t>
  </si>
  <si>
    <t>Unisoc SC9832E</t>
  </si>
  <si>
    <t>INR 6,999</t>
  </si>
  <si>
    <t>CNY 549</t>
  </si>
  <si>
    <t>USD 89</t>
  </si>
  <si>
    <t>AED 349</t>
  </si>
  <si>
    <t>Spark 30 Pro 256GB</t>
  </si>
  <si>
    <t>Spark 30 128GB</t>
  </si>
  <si>
    <t>Phantom V Fold2 512GB</t>
  </si>
  <si>
    <t>280g</t>
  </si>
  <si>
    <t>MediaTek Dimensity 9200+</t>
  </si>
  <si>
    <t>7.85 inches</t>
  </si>
  <si>
    <t>INR 169,999</t>
  </si>
  <si>
    <t>Phantom V Flip2 256GB</t>
  </si>
  <si>
    <t>MediaTek Dimensity 8050</t>
  </si>
  <si>
    <t>Pova 6 Neo 5G 256GB</t>
  </si>
  <si>
    <t>Spark 30C 128GB</t>
  </si>
  <si>
    <t>Spark Go 1 64GB</t>
  </si>
  <si>
    <t>Camon 30S Pro 512GB</t>
  </si>
  <si>
    <t>Spark 20P 128GB</t>
  </si>
  <si>
    <t>Spark 20 Pro 5G 256GB</t>
  </si>
  <si>
    <t>Pova 6 Neo 256GB</t>
  </si>
  <si>
    <t>230g</t>
  </si>
  <si>
    <t>PKR 55,999</t>
  </si>
  <si>
    <t>Camon 30 Premier 512GB</t>
  </si>
  <si>
    <t>Camon 30 Pro 512GB</t>
  </si>
  <si>
    <t>Camon 30 5G 256GB</t>
  </si>
  <si>
    <t>Camon 30 128GB</t>
  </si>
  <si>
    <t>Pova 6 Pro 512GB</t>
  </si>
  <si>
    <t>Spark 20 Pro+ 256GB</t>
  </si>
  <si>
    <t>Spark 20 Pro 128GB</t>
  </si>
  <si>
    <t>Spark 20 128GB</t>
  </si>
  <si>
    <t>Spark 20C 128GB</t>
  </si>
  <si>
    <t>Spark Go 2024 64GB</t>
  </si>
  <si>
    <t>Pop 8 64GB</t>
  </si>
  <si>
    <t>Camon 20s Pro 5G 512GB</t>
  </si>
  <si>
    <t>Camon 20s Pro 256GB</t>
  </si>
  <si>
    <t>Camon 20s 256GB</t>
  </si>
  <si>
    <t>Camon 20 Premier 512GB</t>
  </si>
  <si>
    <t>Camon 20 Pro 5G 256GB</t>
  </si>
  <si>
    <t>Camon 20 Pro 128GB</t>
  </si>
  <si>
    <t>Camon 20 128GB</t>
  </si>
  <si>
    <t>Pova 5G 512GB</t>
  </si>
  <si>
    <t>240g</t>
  </si>
  <si>
    <t>Pova 5 256GB</t>
  </si>
  <si>
    <t>Infinix</t>
  </si>
  <si>
    <t>Xpad</t>
  </si>
  <si>
    <t>7,000mAh</t>
  </si>
  <si>
    <t>Xpad 5G</t>
  </si>
  <si>
    <t>470g</t>
  </si>
  <si>
    <t>Xpad Lite</t>
  </si>
  <si>
    <t>9.7 inches</t>
  </si>
  <si>
    <t>Xpad Pro</t>
  </si>
  <si>
    <t>9,000mAh</t>
  </si>
  <si>
    <t>11.0 inches</t>
  </si>
  <si>
    <t>Hot 50</t>
  </si>
  <si>
    <t>Hot 50i</t>
  </si>
  <si>
    <t>Hot 50 5G</t>
  </si>
  <si>
    <t>USD 289</t>
  </si>
  <si>
    <t>Hot 50 Pro</t>
  </si>
  <si>
    <t>PKR 45,999</t>
  </si>
  <si>
    <t>Hot 50 Pro+</t>
  </si>
  <si>
    <t>5,300mAh</t>
  </si>
  <si>
    <t>USD 379</t>
  </si>
  <si>
    <t>GT 20 Pro</t>
  </si>
  <si>
    <t>Note 40X 5G</t>
  </si>
  <si>
    <t>Note 40S</t>
  </si>
  <si>
    <t>Note 40 5G</t>
  </si>
  <si>
    <t>Note 40 Pro 5G</t>
  </si>
  <si>
    <t>PKR 72,999</t>
  </si>
  <si>
    <t>Note 40 Racing Edition</t>
  </si>
  <si>
    <t>Hot 40</t>
  </si>
  <si>
    <t>PKR 35,999</t>
  </si>
  <si>
    <t>Hot 40i</t>
  </si>
  <si>
    <t>PKR 28,999</t>
  </si>
  <si>
    <t>Hot 40 Pro</t>
  </si>
  <si>
    <t>Zero 40</t>
  </si>
  <si>
    <t>Zero 40 5G</t>
  </si>
  <si>
    <t>Zero Flip</t>
  </si>
  <si>
    <t>Qualcomm Snapdragon 778G</t>
  </si>
  <si>
    <t>Note 40</t>
  </si>
  <si>
    <t>Note 40 Pro</t>
  </si>
  <si>
    <t>Hot 30 128GB</t>
  </si>
  <si>
    <t>Hot 30i 128GB</t>
  </si>
  <si>
    <t>Hot 30i NFC 128GB</t>
  </si>
  <si>
    <t>INR 11,499</t>
  </si>
  <si>
    <t>Hot 30 Play 128GB</t>
  </si>
  <si>
    <t>PKR 30,999</t>
  </si>
  <si>
    <t>Hot 30 5G 128GB</t>
  </si>
  <si>
    <t>PKR 41,999</t>
  </si>
  <si>
    <t>Zero 30 256GB</t>
  </si>
  <si>
    <t>MediaTek Dimensity 8020</t>
  </si>
  <si>
    <t>Zero 30 5G 256GB</t>
  </si>
  <si>
    <t>GT 10 Pro 256GB</t>
  </si>
  <si>
    <t>CNY 2,599</t>
  </si>
  <si>
    <t>Hot 12 128GB</t>
  </si>
  <si>
    <t>Hot 12 Play 128GB</t>
  </si>
  <si>
    <t>Unisoc T610</t>
  </si>
  <si>
    <t>INR 10,499</t>
  </si>
  <si>
    <t>Hot 12 Pro 128GB</t>
  </si>
  <si>
    <t>PKR 31,999</t>
  </si>
  <si>
    <t>Hot 12i 64GB</t>
  </si>
  <si>
    <t>Hot 20 128GB</t>
  </si>
  <si>
    <t>Hot 20 Play 128GB</t>
  </si>
  <si>
    <t>Hot 20s 128GB</t>
  </si>
  <si>
    <t>Hot 20 5G 128GB</t>
  </si>
  <si>
    <t>Hot 20i 64GB</t>
  </si>
  <si>
    <t>Hot 10T 128GB</t>
  </si>
  <si>
    <t>MediaTek Helio G70</t>
  </si>
  <si>
    <t>Hot 10S 128GB</t>
  </si>
  <si>
    <t>211g</t>
  </si>
  <si>
    <t>Hot 10S NFC 128GB</t>
  </si>
  <si>
    <t>Hot 10 Lite 64GB</t>
  </si>
  <si>
    <t>MediaTek Helio A25</t>
  </si>
  <si>
    <t>INR 7,999</t>
  </si>
  <si>
    <t>CNY 699</t>
  </si>
  <si>
    <t>USD 109</t>
  </si>
  <si>
    <t>Hot 10 Play 64GB</t>
  </si>
  <si>
    <t>Hot 11 128GB</t>
  </si>
  <si>
    <t>Hot 11 Play 128GB</t>
  </si>
  <si>
    <t>MediaTek Helio G35</t>
  </si>
  <si>
    <t>Hot 11s 128GB</t>
  </si>
  <si>
    <t>Smart HD 32GB</t>
  </si>
  <si>
    <t>MediaTek Helio A20</t>
  </si>
  <si>
    <t>PKR 15,999</t>
  </si>
  <si>
    <t>INR 5,999</t>
  </si>
  <si>
    <t>CNY 499</t>
  </si>
  <si>
    <t>USD 79</t>
  </si>
  <si>
    <t>AED 299</t>
  </si>
  <si>
    <t>Note 8i 128GB</t>
  </si>
  <si>
    <t>Note 8 128GB</t>
  </si>
  <si>
    <t>6.95 inches</t>
  </si>
  <si>
    <t>Zero 8i 128GB</t>
  </si>
  <si>
    <t>MediaTek Helio G90T</t>
  </si>
  <si>
    <t>6.85 inches</t>
  </si>
  <si>
    <t>Hot 10 128GB</t>
  </si>
  <si>
    <t>Zero 8 128GB</t>
  </si>
  <si>
    <t>Smart 5 64GB</t>
  </si>
  <si>
    <t>Honor</t>
  </si>
  <si>
    <t>9X Lite</t>
  </si>
  <si>
    <t>Kirin 710F</t>
  </si>
  <si>
    <t>3,750mAh</t>
  </si>
  <si>
    <t>30</t>
  </si>
  <si>
    <t>Kirin 985 5G</t>
  </si>
  <si>
    <t>30 Pro</t>
  </si>
  <si>
    <t>Kirin 990 5G</t>
  </si>
  <si>
    <t>30 Pro+</t>
  </si>
  <si>
    <t>30S</t>
  </si>
  <si>
    <t>Kirin 820 5G</t>
  </si>
  <si>
    <t>X10</t>
  </si>
  <si>
    <t>6.63 inches</t>
  </si>
  <si>
    <t>AED 1,149</t>
  </si>
  <si>
    <t>X10 Max</t>
  </si>
  <si>
    <t>227g</t>
  </si>
  <si>
    <t>MediaTek Dimensity 800</t>
  </si>
  <si>
    <t>7.09 inches</t>
  </si>
  <si>
    <t>Play 4</t>
  </si>
  <si>
    <t>6.81 inches</t>
  </si>
  <si>
    <t>AED 1,249</t>
  </si>
  <si>
    <t>Play 4 Pro</t>
  </si>
  <si>
    <t>10X Lite</t>
  </si>
  <si>
    <t>Kirin 710A</t>
  </si>
  <si>
    <t>V40</t>
  </si>
  <si>
    <t>MediaTek Dimensity 1000+</t>
  </si>
  <si>
    <t>50</t>
  </si>
  <si>
    <t>AED 2,049</t>
  </si>
  <si>
    <t>50 Pro</t>
  </si>
  <si>
    <t>50 SE</t>
  </si>
  <si>
    <t>X20</t>
  </si>
  <si>
    <t>X20 SE</t>
  </si>
  <si>
    <t>Play 5</t>
  </si>
  <si>
    <t>MediaTek Dimensity 800U</t>
  </si>
  <si>
    <t>Play 5T</t>
  </si>
  <si>
    <t>Magic3</t>
  </si>
  <si>
    <t>Qualcomm Snapdragon 888</t>
  </si>
  <si>
    <t>6.76 inches</t>
  </si>
  <si>
    <t>Magic3 Pro</t>
  </si>
  <si>
    <t>Qualcomm Snapdragon 888+</t>
  </si>
  <si>
    <t>Magic3 Pro+</t>
  </si>
  <si>
    <t>236g</t>
  </si>
  <si>
    <t>60</t>
  </si>
  <si>
    <t>60 Pro</t>
  </si>
  <si>
    <t>Qualcomm Snapdragon 778G+</t>
  </si>
  <si>
    <t>60 SE</t>
  </si>
  <si>
    <t>X30</t>
  </si>
  <si>
    <t>X30i</t>
  </si>
  <si>
    <t>X30 Max</t>
  </si>
  <si>
    <t>Play 6</t>
  </si>
  <si>
    <t>MediaTek MT6762G Helio G25</t>
  </si>
  <si>
    <t>Play 6T</t>
  </si>
  <si>
    <t>Magic4</t>
  </si>
  <si>
    <t>Qualcomm Snapdragon 8 Gen 1</t>
  </si>
  <si>
    <t>INR 72,999</t>
  </si>
  <si>
    <t>Magic4 Pro</t>
  </si>
  <si>
    <t>Magic4 Ultimate</t>
  </si>
  <si>
    <t>242g</t>
  </si>
  <si>
    <t>Magic V</t>
  </si>
  <si>
    <t>288g</t>
  </si>
  <si>
    <t>42MP</t>
  </si>
  <si>
    <t>AED 6,599</t>
  </si>
  <si>
    <t>70</t>
  </si>
  <si>
    <t>54MP</t>
  </si>
  <si>
    <t>70 Pro</t>
  </si>
  <si>
    <t>MediaTek Dimensity 8000</t>
  </si>
  <si>
    <t>70 Pro+</t>
  </si>
  <si>
    <t>X40</t>
  </si>
  <si>
    <t>X40i</t>
  </si>
  <si>
    <t>Play 7</t>
  </si>
  <si>
    <t>Play 7T</t>
  </si>
  <si>
    <t>Magic5</t>
  </si>
  <si>
    <t>Magic5 Pro</t>
  </si>
  <si>
    <t>219g</t>
  </si>
  <si>
    <t>Magic5 Ultimate</t>
  </si>
  <si>
    <t>5,450mAh</t>
  </si>
  <si>
    <t>Magic Vs</t>
  </si>
  <si>
    <t>267g</t>
  </si>
  <si>
    <t>Qualcomm Snapdragon 8+ Gen 1</t>
  </si>
  <si>
    <t>PKR 369,999</t>
  </si>
  <si>
    <t>80</t>
  </si>
  <si>
    <t>160MP</t>
  </si>
  <si>
    <t>80 Pro</t>
  </si>
  <si>
    <t>80 SE</t>
  </si>
  <si>
    <t>X50</t>
  </si>
  <si>
    <t>Qualcomm Snapdragon 6 Gen 1</t>
  </si>
  <si>
    <t>X50i</t>
  </si>
  <si>
    <t>100MP</t>
  </si>
  <si>
    <t>Play 8</t>
  </si>
  <si>
    <t>MediaTek Helio G36</t>
  </si>
  <si>
    <t>Play 8T</t>
  </si>
  <si>
    <t>Magic6</t>
  </si>
  <si>
    <t>Qualcomm Snapdragon 8 Gen 3</t>
  </si>
  <si>
    <t>Magic6 Pro</t>
  </si>
  <si>
    <t>Magic6 Ultimate</t>
  </si>
  <si>
    <t>5,550mAh</t>
  </si>
  <si>
    <t>Magic V2</t>
  </si>
  <si>
    <t>231g</t>
  </si>
  <si>
    <t>90</t>
  </si>
  <si>
    <t>Qualcomm Snapdragon 7 Gen 1</t>
  </si>
  <si>
    <t>90 Pro</t>
  </si>
  <si>
    <t>90 SE</t>
  </si>
  <si>
    <t>X60</t>
  </si>
  <si>
    <t>X60i</t>
  </si>
  <si>
    <t>Play 9</t>
  </si>
  <si>
    <t>Play 9T</t>
  </si>
  <si>
    <t>Magic7</t>
  </si>
  <si>
    <t>Magic7 Pro</t>
  </si>
  <si>
    <t>Magic7 Ultimate</t>
  </si>
  <si>
    <t>Magic V3</t>
  </si>
  <si>
    <t>Pad 6</t>
  </si>
  <si>
    <t>460g</t>
  </si>
  <si>
    <t>Qualcomm Snapdragon 662</t>
  </si>
  <si>
    <t>Pad X6</t>
  </si>
  <si>
    <t>MediaTek MT8768T</t>
  </si>
  <si>
    <t>Pad 7</t>
  </si>
  <si>
    <t>Tablet V7</t>
  </si>
  <si>
    <t>7,250mAh</t>
  </si>
  <si>
    <t>Tablet V7 Pro</t>
  </si>
  <si>
    <t>485g</t>
  </si>
  <si>
    <t>MediaTek Dimensity 1300T</t>
  </si>
  <si>
    <t>Pad 8</t>
  </si>
  <si>
    <t>12.0 inches</t>
  </si>
  <si>
    <t>Pad X8</t>
  </si>
  <si>
    <t>Pad X8 Lite</t>
  </si>
  <si>
    <t>MediaTek MT8786</t>
  </si>
  <si>
    <t>Pad V8</t>
  </si>
  <si>
    <t>Pad V8 Pro</t>
  </si>
  <si>
    <t>530g</t>
  </si>
  <si>
    <t>8,500mAh</t>
  </si>
  <si>
    <t>Pad 9</t>
  </si>
  <si>
    <t>8,300mAh</t>
  </si>
  <si>
    <t>Pad 9 Pro</t>
  </si>
  <si>
    <t>12.6 inches</t>
  </si>
  <si>
    <t>Pad X9</t>
  </si>
  <si>
    <t>495g</t>
  </si>
  <si>
    <t>Qualcomm Snapdragon 685</t>
  </si>
  <si>
    <t>Pad X8 Pro</t>
  </si>
  <si>
    <t>MagicPad 13</t>
  </si>
  <si>
    <t>590g</t>
  </si>
  <si>
    <t>10,000mAh</t>
  </si>
  <si>
    <t>13.0 inches</t>
  </si>
  <si>
    <t>MagicPad 2</t>
  </si>
  <si>
    <t>10,500mAh</t>
  </si>
  <si>
    <t>Pad X8a</t>
  </si>
  <si>
    <t>Pad X8a Kids Edition</t>
  </si>
  <si>
    <t>Pad X9 Pro</t>
  </si>
  <si>
    <t>505g</t>
  </si>
  <si>
    <t>Pad V9</t>
  </si>
  <si>
    <t>Pad GT Pro</t>
  </si>
  <si>
    <t>13.5 inches</t>
  </si>
  <si>
    <t>Pad X10</t>
  </si>
  <si>
    <t>475g</t>
  </si>
  <si>
    <t>8,850mAh</t>
  </si>
  <si>
    <t>Pad X10 Pro</t>
  </si>
  <si>
    <t>MagicPad 3</t>
  </si>
  <si>
    <t>Pad V10</t>
  </si>
  <si>
    <t>POCO</t>
  </si>
  <si>
    <t>F2 Pro 128GB</t>
  </si>
  <si>
    <t>M2 Pro 64GB</t>
  </si>
  <si>
    <t>Snapdragon 720G</t>
  </si>
  <si>
    <t>X3 NFC 128GB</t>
  </si>
  <si>
    <t>Snapdragon 732G</t>
  </si>
  <si>
    <t>5160mAh</t>
  </si>
  <si>
    <t>M3 64GB</t>
  </si>
  <si>
    <t>F3 128GB</t>
  </si>
  <si>
    <t>X3 Pro 128GB</t>
  </si>
  <si>
    <t>Snapdragon 860</t>
  </si>
  <si>
    <t>M3 Pro 5G 64GB</t>
  </si>
  <si>
    <t>F3 GT 128GB</t>
  </si>
  <si>
    <t>5065mAh</t>
  </si>
  <si>
    <t>X3 GT 128GB</t>
  </si>
  <si>
    <t>MediaTek Dimensity 1100</t>
  </si>
  <si>
    <t>M4 Pro 5G 128GB</t>
  </si>
  <si>
    <t>F4 128GB</t>
  </si>
  <si>
    <t>F4 GT 128GB</t>
  </si>
  <si>
    <t>X4 Pro 5G 128GB</t>
  </si>
  <si>
    <t>M4 Pro 128GB</t>
  </si>
  <si>
    <t>M5 128GB</t>
  </si>
  <si>
    <t>M5s 128GB</t>
  </si>
  <si>
    <t>178.8g</t>
  </si>
  <si>
    <t>MediaTek Helio G95</t>
  </si>
  <si>
    <t>F5 128GB</t>
  </si>
  <si>
    <t>Snapdragon 7+ Gen 2</t>
  </si>
  <si>
    <t>F5 Pro 256GB</t>
  </si>
  <si>
    <t>X5 128GB</t>
  </si>
  <si>
    <t>X5 Pro 128GB</t>
  </si>
  <si>
    <t>M6 64GB</t>
  </si>
  <si>
    <t>M6 Pro 128GB</t>
  </si>
  <si>
    <t>Snapdragon 4 Gen 1</t>
  </si>
  <si>
    <t>6.79 inches</t>
  </si>
  <si>
    <t>X6 128GB</t>
  </si>
  <si>
    <t>X6 Pro 256GB</t>
  </si>
  <si>
    <t>MediaTek Dimensity 8300</t>
  </si>
  <si>
    <t>F6 128GB</t>
  </si>
  <si>
    <t>F6 Pro 256GB</t>
  </si>
  <si>
    <t>Snapdragon 8+ Gen 2</t>
  </si>
  <si>
    <t>C65 64GB</t>
  </si>
  <si>
    <t>X7 128GB</t>
  </si>
  <si>
    <t>X7 Pro 256GB</t>
  </si>
  <si>
    <t>MediaTek Dimensity 8400</t>
  </si>
  <si>
    <t>M7 5G 128GB</t>
  </si>
  <si>
    <t>5110mAh</t>
  </si>
  <si>
    <t>Poco</t>
  </si>
  <si>
    <t>Pad 5G 128GB</t>
  </si>
  <si>
    <t>571g</t>
  </si>
  <si>
    <t>PKR 66,220</t>
  </si>
  <si>
    <t>AED 1,029</t>
  </si>
  <si>
    <t>Pad 5G 256GB</t>
  </si>
  <si>
    <t>PKR 71,220</t>
  </si>
  <si>
    <t>Galaxy Z Fold6 256GB</t>
  </si>
  <si>
    <t>10MP, 4MP (UDC)</t>
  </si>
  <si>
    <t>PKR 604,999</t>
  </si>
  <si>
    <t>INR 164,999</t>
  </si>
  <si>
    <t>¥13,999</t>
  </si>
  <si>
    <t>AED 7,199</t>
  </si>
  <si>
    <t>Galaxy Z Fold6 512GB</t>
  </si>
  <si>
    <t>PKR 544,999</t>
  </si>
  <si>
    <t>INR 176,999</t>
  </si>
  <si>
    <t>CNY 15,999</t>
  </si>
  <si>
    <t>USD 1719</t>
  </si>
  <si>
    <t>AED 7,699</t>
  </si>
  <si>
    <t>Galaxy Z Fold6 1TB</t>
  </si>
  <si>
    <t>Not available</t>
  </si>
  <si>
    <t>INR 200,999</t>
  </si>
  <si>
    <t>CNY 17,999 </t>
  </si>
  <si>
    <t>USD 2,259</t>
  </si>
  <si>
    <t>AED 8,699</t>
  </si>
  <si>
    <t>Grand Total</t>
  </si>
  <si>
    <t xml:space="preserve">  1,04,999</t>
  </si>
  <si>
    <t xml:space="preserve">  1,14,999</t>
  </si>
  <si>
    <t xml:space="preserve">  1,09,999</t>
  </si>
  <si>
    <t xml:space="preserve">  17,999 </t>
  </si>
  <si>
    <t>Mobile Wei ht</t>
  </si>
  <si>
    <t>Phone</t>
  </si>
  <si>
    <t>Tablet</t>
  </si>
  <si>
    <t>Phone/tablet</t>
  </si>
  <si>
    <t>USD 396</t>
  </si>
  <si>
    <t>Dimensity 800</t>
  </si>
  <si>
    <t>Dimensity 700</t>
  </si>
  <si>
    <t>Dimensity 800U</t>
  </si>
  <si>
    <t>Snapdragon 888+</t>
  </si>
  <si>
    <t>Snapdragon 778G+</t>
  </si>
  <si>
    <t>Dimensity 810</t>
  </si>
  <si>
    <t>Dimensity 8000</t>
  </si>
  <si>
    <t>Dimensity 9000</t>
  </si>
  <si>
    <t>Helio G37</t>
  </si>
  <si>
    <t>Dimensity 6020</t>
  </si>
  <si>
    <t>Helio G36</t>
  </si>
  <si>
    <t>Dimensity 6100+</t>
  </si>
  <si>
    <t>MT8768T</t>
  </si>
  <si>
    <t>Helio G80</t>
  </si>
  <si>
    <t>Dimensity 1300T</t>
  </si>
  <si>
    <t>Snapdragon 680</t>
  </si>
  <si>
    <t>MT8786</t>
  </si>
  <si>
    <t>Dimensity 8020</t>
  </si>
  <si>
    <t>Helio G99</t>
  </si>
  <si>
    <t>Helio G85</t>
  </si>
  <si>
    <t>Dimensity 8200</t>
  </si>
  <si>
    <t>Dimensity 7200</t>
  </si>
  <si>
    <t>Helio G88</t>
  </si>
  <si>
    <t>Dimensity 8050</t>
  </si>
  <si>
    <t>Helio A22</t>
  </si>
  <si>
    <t>Helio G96</t>
  </si>
  <si>
    <t>Helio G25</t>
  </si>
  <si>
    <t>Helio G70</t>
  </si>
  <si>
    <t>Helio A25</t>
  </si>
  <si>
    <t>Helio G35</t>
  </si>
  <si>
    <t>Helio A20</t>
  </si>
  <si>
    <t>Helio G90T</t>
  </si>
  <si>
    <t>Dimensity 7025</t>
  </si>
  <si>
    <t>Dimensity 1200-AI</t>
  </si>
  <si>
    <t>Snapdragon 690</t>
  </si>
  <si>
    <t>Helio G100</t>
  </si>
  <si>
    <t>Dimensity 720</t>
  </si>
  <si>
    <t>Snapdragon 6s Gen 1</t>
  </si>
  <si>
    <t>Dimensity 8000-Max</t>
  </si>
  <si>
    <t>Snapdragon 768G</t>
  </si>
  <si>
    <t>Helio G95</t>
  </si>
  <si>
    <t>Dimensity 8300</t>
  </si>
  <si>
    <t>Dimensity 8400</t>
  </si>
  <si>
    <t>Snapdragon 8s Gen 3</t>
  </si>
  <si>
    <t>Snapdragon 7 Plus Gen 3</t>
  </si>
  <si>
    <t>Dimensity 7300 Energy</t>
  </si>
  <si>
    <t>Snapdragon 7+ Gen 3</t>
  </si>
  <si>
    <t>Snapdragon 7s Gen 1</t>
  </si>
  <si>
    <t>Dimensity 1080</t>
  </si>
  <si>
    <t>Helio P35</t>
  </si>
  <si>
    <t>Helio P22T</t>
  </si>
  <si>
    <t>MSM8916</t>
  </si>
  <si>
    <t>Dimensity 9200+</t>
  </si>
  <si>
    <t>MT6592</t>
  </si>
  <si>
    <t>Snapdragon 712</t>
  </si>
  <si>
    <t>Snapdragon 675</t>
  </si>
  <si>
    <t>Helio P65</t>
  </si>
  <si>
    <t>Helio P70</t>
  </si>
  <si>
    <t>Snapdragon 660</t>
  </si>
  <si>
    <t>Dimensity 920</t>
  </si>
  <si>
    <t>Dimensity 7300-Ultra</t>
  </si>
  <si>
    <t>Dimensity 7025-Ultra</t>
  </si>
  <si>
    <t>Chipset</t>
  </si>
  <si>
    <t>Tier</t>
  </si>
  <si>
    <t>Tier_Score</t>
  </si>
  <si>
    <t>Flagship</t>
  </si>
  <si>
    <t>Mid-range</t>
  </si>
  <si>
    <t>Budget</t>
  </si>
  <si>
    <t>Snapdragon 895</t>
  </si>
  <si>
    <t>tier text format</t>
  </si>
  <si>
    <t>Row Labels</t>
  </si>
  <si>
    <t>Tier Score</t>
  </si>
  <si>
    <t>Back Camera main</t>
  </si>
  <si>
    <t>Back Camera Wide</t>
  </si>
  <si>
    <t>Back Camera telephoto</t>
  </si>
  <si>
    <t>(All)</t>
  </si>
  <si>
    <t>Value Score</t>
  </si>
  <si>
    <t>Specs Score</t>
  </si>
  <si>
    <t>Price-to-Specs Ratio</t>
  </si>
  <si>
    <t>Average of Price-to-Specs Ratio</t>
  </si>
  <si>
    <t>Column Labels</t>
  </si>
  <si>
    <t>Average of Specs Score</t>
  </si>
  <si>
    <t>Average of Launched Price (USA)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</si>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</sst>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09]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4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46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4" defaultTableStyle="TableStyleMedium2" defaultPivotStyle="PivotStyleLight16">
    <tableStyle name="Slicer Style 1" pivot="0" table="0" count="0" xr9:uid="{0D77E6FA-0FD7-4638-BB32-E4D5E263B1C8}"/>
    <tableStyle name="Slicer Style 2" pivot="0" table="0" count="0" xr9:uid="{8F42C524-5B97-488B-BFED-0A8C206198A0}"/>
    <tableStyle name="Slicer Style 3" pivot="0" table="0" count="0" xr9:uid="{DB9544FA-FFB0-47AE-93E6-7739B520A92B}"/>
    <tableStyle name="Slicer Style 4" pivot="0" table="0" count="0" xr9:uid="{21BE8F65-841E-487E-B3F1-0EF863BE47E6}"/>
  </tableStyles>
  <colors>
    <mruColors>
      <color rgb="FF02CEB6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  <x14:slicerStyle name="Slicer Style 3"/>
        <x14:slicerStyle name="Slicer Style 4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967730514567402E-2"/>
          <c:y val="5.1303518518518526E-2"/>
          <c:w val="0.91168803602586757"/>
          <c:h val="0.86002067153122286"/>
        </c:manualLayout>
      </c:layout>
      <c:scatterChart>
        <c:scatterStyle val="lineMarker"/>
        <c:varyColors val="0"/>
        <c:ser>
          <c:idx val="0"/>
          <c:order val="0"/>
          <c:tx>
            <c:v>Budget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'Mobile Dataset Cleaned (PQ)'!$S$2:$S$262</c:f>
              <c:numCache>
                <c:formatCode>General</c:formatCode>
                <c:ptCount val="261"/>
                <c:pt idx="0">
                  <c:v>41.07089189586349</c:v>
                </c:pt>
                <c:pt idx="1">
                  <c:v>44.94185963779897</c:v>
                </c:pt>
                <c:pt idx="2">
                  <c:v>52.683795121669938</c:v>
                </c:pt>
                <c:pt idx="3">
                  <c:v>42.674152765428708</c:v>
                </c:pt>
                <c:pt idx="4">
                  <c:v>46.545120507364189</c:v>
                </c:pt>
                <c:pt idx="5">
                  <c:v>54.287055991235157</c:v>
                </c:pt>
                <c:pt idx="6">
                  <c:v>42.477803824514545</c:v>
                </c:pt>
                <c:pt idx="7">
                  <c:v>48.348771566450026</c:v>
                </c:pt>
                <c:pt idx="8">
                  <c:v>56.090707050320994</c:v>
                </c:pt>
                <c:pt idx="9">
                  <c:v>43.163283200211318</c:v>
                </c:pt>
                <c:pt idx="10">
                  <c:v>49.034250942146798</c:v>
                </c:pt>
                <c:pt idx="11">
                  <c:v>56.776186426017766</c:v>
                </c:pt>
                <c:pt idx="12">
                  <c:v>39.15609172019375</c:v>
                </c:pt>
                <c:pt idx="13">
                  <c:v>43.02705946212923</c:v>
                </c:pt>
                <c:pt idx="14">
                  <c:v>50.768994946000198</c:v>
                </c:pt>
                <c:pt idx="15">
                  <c:v>41.574569981063313</c:v>
                </c:pt>
                <c:pt idx="16">
                  <c:v>45.445537722998793</c:v>
                </c:pt>
                <c:pt idx="17">
                  <c:v>53.187473206869761</c:v>
                </c:pt>
                <c:pt idx="18">
                  <c:v>41.11261345932418</c:v>
                </c:pt>
                <c:pt idx="19">
                  <c:v>46.983581201259661</c:v>
                </c:pt>
                <c:pt idx="20">
                  <c:v>54.725516685130629</c:v>
                </c:pt>
                <c:pt idx="21">
                  <c:v>41.900656937585055</c:v>
                </c:pt>
                <c:pt idx="22">
                  <c:v>47.771624679520535</c:v>
                </c:pt>
                <c:pt idx="23">
                  <c:v>55.513560163391503</c:v>
                </c:pt>
                <c:pt idx="24">
                  <c:v>36.047311611413633</c:v>
                </c:pt>
                <c:pt idx="25">
                  <c:v>39.918279353349121</c:v>
                </c:pt>
                <c:pt idx="26">
                  <c:v>47.660214837220089</c:v>
                </c:pt>
                <c:pt idx="27">
                  <c:v>38.506550741848415</c:v>
                </c:pt>
                <c:pt idx="28">
                  <c:v>42.377518483783902</c:v>
                </c:pt>
                <c:pt idx="29">
                  <c:v>50.11945396765487</c:v>
                </c:pt>
                <c:pt idx="30">
                  <c:v>40.786526502802445</c:v>
                </c:pt>
                <c:pt idx="31">
                  <c:v>46.657494244737926</c:v>
                </c:pt>
                <c:pt idx="32">
                  <c:v>54.399429728608894</c:v>
                </c:pt>
                <c:pt idx="33">
                  <c:v>41.900656937585055</c:v>
                </c:pt>
                <c:pt idx="34">
                  <c:v>47.771624679520535</c:v>
                </c:pt>
                <c:pt idx="35">
                  <c:v>55.513560163391503</c:v>
                </c:pt>
                <c:pt idx="36">
                  <c:v>32.075753640399135</c:v>
                </c:pt>
                <c:pt idx="37">
                  <c:v>35.946721382334623</c:v>
                </c:pt>
                <c:pt idx="38">
                  <c:v>43.688656866205591</c:v>
                </c:pt>
                <c:pt idx="39">
                  <c:v>34.112529002717977</c:v>
                </c:pt>
                <c:pt idx="40">
                  <c:v>37.983496744653465</c:v>
                </c:pt>
                <c:pt idx="41">
                  <c:v>45.725432228524433</c:v>
                </c:pt>
                <c:pt idx="42">
                  <c:v>35.876115959239719</c:v>
                </c:pt>
                <c:pt idx="43">
                  <c:v>39.747083701175207</c:v>
                </c:pt>
                <c:pt idx="44">
                  <c:v>47.489019185046175</c:v>
                </c:pt>
                <c:pt idx="45">
                  <c:v>38.55057248097885</c:v>
                </c:pt>
                <c:pt idx="46">
                  <c:v>42.421540222914338</c:v>
                </c:pt>
                <c:pt idx="47">
                  <c:v>50.163475706785306</c:v>
                </c:pt>
                <c:pt idx="48">
                  <c:v>28.533621767674703</c:v>
                </c:pt>
                <c:pt idx="49">
                  <c:v>30.469105638642443</c:v>
                </c:pt>
                <c:pt idx="50">
                  <c:v>34.340073380577927</c:v>
                </c:pt>
                <c:pt idx="51">
                  <c:v>30.221484086515279</c:v>
                </c:pt>
                <c:pt idx="52">
                  <c:v>32.156967957483019</c:v>
                </c:pt>
                <c:pt idx="53">
                  <c:v>36.027935699418506</c:v>
                </c:pt>
                <c:pt idx="54">
                  <c:v>34.156967957483019</c:v>
                </c:pt>
                <c:pt idx="55">
                  <c:v>38.027935699418506</c:v>
                </c:pt>
                <c:pt idx="56">
                  <c:v>45.769871183289474</c:v>
                </c:pt>
                <c:pt idx="57">
                  <c:v>36.203707087917806</c:v>
                </c:pt>
                <c:pt idx="58">
                  <c:v>40.074674829853286</c:v>
                </c:pt>
                <c:pt idx="59">
                  <c:v>47.816610313724262</c:v>
                </c:pt>
                <c:pt idx="60">
                  <c:v>29.439836084758586</c:v>
                </c:pt>
                <c:pt idx="61">
                  <c:v>31.375319955726326</c:v>
                </c:pt>
                <c:pt idx="62">
                  <c:v>35.246287697661813</c:v>
                </c:pt>
                <c:pt idx="63">
                  <c:v>29.022988258671628</c:v>
                </c:pt>
                <c:pt idx="64">
                  <c:v>34.829439871574856</c:v>
                </c:pt>
                <c:pt idx="65">
                  <c:v>42.571375355445824</c:v>
                </c:pt>
                <c:pt idx="66">
                  <c:v>31.257046229686122</c:v>
                </c:pt>
                <c:pt idx="67">
                  <c:v>37.063497842589349</c:v>
                </c:pt>
                <c:pt idx="68">
                  <c:v>44.80543332646031</c:v>
                </c:pt>
                <c:pt idx="69">
                  <c:v>24.097623289640993</c:v>
                </c:pt>
                <c:pt idx="70">
                  <c:v>29.904074902544217</c:v>
                </c:pt>
                <c:pt idx="71">
                  <c:v>26.265684334875949</c:v>
                </c:pt>
                <c:pt idx="72">
                  <c:v>32.072135947779174</c:v>
                </c:pt>
                <c:pt idx="73">
                  <c:v>39.814071431650149</c:v>
                </c:pt>
                <c:pt idx="74">
                  <c:v>27.836155349368706</c:v>
                </c:pt>
                <c:pt idx="75">
                  <c:v>33.642606962271927</c:v>
                </c:pt>
                <c:pt idx="76">
                  <c:v>41.384542446142895</c:v>
                </c:pt>
                <c:pt idx="77">
                  <c:v>26.041227813136821</c:v>
                </c:pt>
                <c:pt idx="78">
                  <c:v>27.976711684104561</c:v>
                </c:pt>
                <c:pt idx="79">
                  <c:v>31.847679426040045</c:v>
                </c:pt>
                <c:pt idx="80">
                  <c:v>43.03615799955876</c:v>
                </c:pt>
                <c:pt idx="81">
                  <c:v>48.842609612461985</c:v>
                </c:pt>
                <c:pt idx="82">
                  <c:v>40.508451451392887</c:v>
                </c:pt>
                <c:pt idx="83">
                  <c:v>43.411677257844495</c:v>
                </c:pt>
                <c:pt idx="84">
                  <c:v>31.268708303660791</c:v>
                </c:pt>
                <c:pt idx="85">
                  <c:v>37.075159916564012</c:v>
                </c:pt>
                <c:pt idx="86">
                  <c:v>42.778671499651331</c:v>
                </c:pt>
                <c:pt idx="87">
                  <c:v>46.649639241586812</c:v>
                </c:pt>
                <c:pt idx="88">
                  <c:v>56.391574725457779</c:v>
                </c:pt>
                <c:pt idx="89">
                  <c:v>49.868707731535387</c:v>
                </c:pt>
                <c:pt idx="90">
                  <c:v>53.739675473470875</c:v>
                </c:pt>
                <c:pt idx="91">
                  <c:v>61.481610957341836</c:v>
                </c:pt>
                <c:pt idx="92">
                  <c:v>50.929939615593362</c:v>
                </c:pt>
                <c:pt idx="93">
                  <c:v>54.800907357528843</c:v>
                </c:pt>
                <c:pt idx="94">
                  <c:v>62.542842841399811</c:v>
                </c:pt>
                <c:pt idx="95">
                  <c:v>50.929939615593362</c:v>
                </c:pt>
                <c:pt idx="96">
                  <c:v>50.929939615593362</c:v>
                </c:pt>
                <c:pt idx="97">
                  <c:v>13.403535106459854</c:v>
                </c:pt>
                <c:pt idx="98">
                  <c:v>14.961506120952606</c:v>
                </c:pt>
                <c:pt idx="99">
                  <c:v>28.565453200443169</c:v>
                </c:pt>
                <c:pt idx="100">
                  <c:v>30.657844504790994</c:v>
                </c:pt>
                <c:pt idx="101">
                  <c:v>38.136430382447699</c:v>
                </c:pt>
                <c:pt idx="102">
                  <c:v>47.49903668010532</c:v>
                </c:pt>
                <c:pt idx="103">
                  <c:v>33.542603738077574</c:v>
                </c:pt>
                <c:pt idx="104">
                  <c:v>39.355365990401296</c:v>
                </c:pt>
                <c:pt idx="105">
                  <c:v>48.694630833786064</c:v>
                </c:pt>
                <c:pt idx="106">
                  <c:v>39.913894418494948</c:v>
                </c:pt>
                <c:pt idx="107">
                  <c:v>40.82079710060377</c:v>
                </c:pt>
                <c:pt idx="108">
                  <c:v>49.987054697611718</c:v>
                </c:pt>
                <c:pt idx="109">
                  <c:v>41.124796543190165</c:v>
                </c:pt>
                <c:pt idx="110">
                  <c:v>42.280075037392947</c:v>
                </c:pt>
                <c:pt idx="111">
                  <c:v>51.301405098169013</c:v>
                </c:pt>
                <c:pt idx="112">
                  <c:v>63.47359420522838</c:v>
                </c:pt>
                <c:pt idx="113">
                  <c:v>64.714536234213895</c:v>
                </c:pt>
                <c:pt idx="114">
                  <c:v>23.583693988406953</c:v>
                </c:pt>
                <c:pt idx="115">
                  <c:v>26.982711335793866</c:v>
                </c:pt>
                <c:pt idx="116">
                  <c:v>29.092312785069229</c:v>
                </c:pt>
                <c:pt idx="117">
                  <c:v>28.424740321301112</c:v>
                </c:pt>
                <c:pt idx="118">
                  <c:v>23.0469964280962</c:v>
                </c:pt>
                <c:pt idx="119">
                  <c:v>17.295741300997744</c:v>
                </c:pt>
                <c:pt idx="120">
                  <c:v>16.294282749970225</c:v>
                </c:pt>
                <c:pt idx="121">
                  <c:v>20.311328204515682</c:v>
                </c:pt>
                <c:pt idx="122">
                  <c:v>21.053904031986562</c:v>
                </c:pt>
                <c:pt idx="123">
                  <c:v>15.607112130734393</c:v>
                </c:pt>
                <c:pt idx="124">
                  <c:v>21.142465666087926</c:v>
                </c:pt>
                <c:pt idx="125">
                  <c:v>30.076681978677556</c:v>
                </c:pt>
                <c:pt idx="126">
                  <c:v>24.938274492443981</c:v>
                </c:pt>
                <c:pt idx="127">
                  <c:v>14.799333255020732</c:v>
                </c:pt>
                <c:pt idx="128">
                  <c:v>23.544952068574329</c:v>
                </c:pt>
                <c:pt idx="129">
                  <c:v>30.076681978677556</c:v>
                </c:pt>
                <c:pt idx="130">
                  <c:v>24.938274492443981</c:v>
                </c:pt>
                <c:pt idx="131">
                  <c:v>14.799333255020732</c:v>
                </c:pt>
                <c:pt idx="132">
                  <c:v>23.544952068574329</c:v>
                </c:pt>
                <c:pt idx="133">
                  <c:v>21.551924398260301</c:v>
                </c:pt>
                <c:pt idx="134">
                  <c:v>16.094853691189595</c:v>
                </c:pt>
                <c:pt idx="135">
                  <c:v>19.026671873007778</c:v>
                </c:pt>
                <c:pt idx="136">
                  <c:v>19.026671873007778</c:v>
                </c:pt>
                <c:pt idx="137">
                  <c:v>16.184335465453977</c:v>
                </c:pt>
                <c:pt idx="138">
                  <c:v>36.822640730071093</c:v>
                </c:pt>
                <c:pt idx="139">
                  <c:v>19.026671873007778</c:v>
                </c:pt>
                <c:pt idx="140">
                  <c:v>17.184335465453977</c:v>
                </c:pt>
                <c:pt idx="141">
                  <c:v>16.347378943714848</c:v>
                </c:pt>
                <c:pt idx="142">
                  <c:v>42.712984056368313</c:v>
                </c:pt>
                <c:pt idx="143">
                  <c:v>46.712984056368313</c:v>
                </c:pt>
                <c:pt idx="144">
                  <c:v>42.526250500069537</c:v>
                </c:pt>
                <c:pt idx="145">
                  <c:v>41.875925786260936</c:v>
                </c:pt>
                <c:pt idx="146">
                  <c:v>42.633501543836701</c:v>
                </c:pt>
                <c:pt idx="147">
                  <c:v>46.633501543836701</c:v>
                </c:pt>
                <c:pt idx="148">
                  <c:v>43.344308545638825</c:v>
                </c:pt>
                <c:pt idx="149">
                  <c:v>43.01822158911709</c:v>
                </c:pt>
                <c:pt idx="150">
                  <c:v>47.01822158911709</c:v>
                </c:pt>
                <c:pt idx="151">
                  <c:v>53.570617266278511</c:v>
                </c:pt>
                <c:pt idx="152">
                  <c:v>53.580780453915459</c:v>
                </c:pt>
                <c:pt idx="153">
                  <c:v>45.096065243047697</c:v>
                </c:pt>
                <c:pt idx="154">
                  <c:v>49.096065243047697</c:v>
                </c:pt>
                <c:pt idx="155">
                  <c:v>53.666717416960743</c:v>
                </c:pt>
                <c:pt idx="156">
                  <c:v>50.000517846291537</c:v>
                </c:pt>
                <c:pt idx="157">
                  <c:v>60.010858829646004</c:v>
                </c:pt>
                <c:pt idx="158">
                  <c:v>46.521734983934834</c:v>
                </c:pt>
                <c:pt idx="159">
                  <c:v>51.010865418717444</c:v>
                </c:pt>
                <c:pt idx="160">
                  <c:v>55.092387157847874</c:v>
                </c:pt>
                <c:pt idx="161">
                  <c:v>50.778926937200623</c:v>
                </c:pt>
                <c:pt idx="162">
                  <c:v>62.388227837449797</c:v>
                </c:pt>
                <c:pt idx="163">
                  <c:v>46.521734983934834</c:v>
                </c:pt>
                <c:pt idx="164">
                  <c:v>51.010865418717444</c:v>
                </c:pt>
                <c:pt idx="165">
                  <c:v>55.092387157847874</c:v>
                </c:pt>
                <c:pt idx="166">
                  <c:v>50.778926937200623</c:v>
                </c:pt>
                <c:pt idx="167">
                  <c:v>52.300242838107984</c:v>
                </c:pt>
                <c:pt idx="168">
                  <c:v>60.188445517071528</c:v>
                </c:pt>
                <c:pt idx="169">
                  <c:v>66.81307332554492</c:v>
                </c:pt>
                <c:pt idx="170">
                  <c:v>52.300242838107984</c:v>
                </c:pt>
                <c:pt idx="171">
                  <c:v>64.388199588171176</c:v>
                </c:pt>
                <c:pt idx="172">
                  <c:v>63.867366254837847</c:v>
                </c:pt>
                <c:pt idx="173">
                  <c:v>52.300242838107984</c:v>
                </c:pt>
                <c:pt idx="174">
                  <c:v>20.10307466811372</c:v>
                </c:pt>
                <c:pt idx="175">
                  <c:v>33.320113038497297</c:v>
                </c:pt>
                <c:pt idx="176">
                  <c:v>28.498385316985086</c:v>
                </c:pt>
                <c:pt idx="177">
                  <c:v>27.892163187665133</c:v>
                </c:pt>
                <c:pt idx="178">
                  <c:v>29.280954004960446</c:v>
                </c:pt>
                <c:pt idx="179">
                  <c:v>28.047806155808104</c:v>
                </c:pt>
                <c:pt idx="180">
                  <c:v>21.560625722132166</c:v>
                </c:pt>
                <c:pt idx="181">
                  <c:v>27.989401245501021</c:v>
                </c:pt>
                <c:pt idx="182">
                  <c:v>41.125968415004849</c:v>
                </c:pt>
                <c:pt idx="183">
                  <c:v>40.793087980222239</c:v>
                </c:pt>
                <c:pt idx="184">
                  <c:v>30.016159209758982</c:v>
                </c:pt>
                <c:pt idx="185">
                  <c:v>26.134296054798</c:v>
                </c:pt>
                <c:pt idx="186">
                  <c:v>29.193447350362341</c:v>
                </c:pt>
                <c:pt idx="187">
                  <c:v>42.04535247297585</c:v>
                </c:pt>
                <c:pt idx="188">
                  <c:v>45.768434587221762</c:v>
                </c:pt>
                <c:pt idx="189">
                  <c:v>28.134296054798</c:v>
                </c:pt>
                <c:pt idx="190">
                  <c:v>29.305136989225893</c:v>
                </c:pt>
                <c:pt idx="191">
                  <c:v>24.098327041926815</c:v>
                </c:pt>
                <c:pt idx="192">
                  <c:v>28.333790057796499</c:v>
                </c:pt>
                <c:pt idx="193">
                  <c:v>39.781172208795596</c:v>
                </c:pt>
                <c:pt idx="194">
                  <c:v>43.267649140784144</c:v>
                </c:pt>
                <c:pt idx="195">
                  <c:v>28.371687848411682</c:v>
                </c:pt>
                <c:pt idx="196">
                  <c:v>45.974645402268791</c:v>
                </c:pt>
                <c:pt idx="197">
                  <c:v>31.38204717923578</c:v>
                </c:pt>
                <c:pt idx="198">
                  <c:v>52.961460160682122</c:v>
                </c:pt>
                <c:pt idx="199">
                  <c:v>31.38204717923578</c:v>
                </c:pt>
                <c:pt idx="200">
                  <c:v>32.602477137624881</c:v>
                </c:pt>
                <c:pt idx="201">
                  <c:v>36.995153905301656</c:v>
                </c:pt>
                <c:pt idx="202">
                  <c:v>32.584070257149044</c:v>
                </c:pt>
                <c:pt idx="203">
                  <c:v>38.518316566395349</c:v>
                </c:pt>
                <c:pt idx="204">
                  <c:v>51.323162249614342</c:v>
                </c:pt>
                <c:pt idx="205">
                  <c:v>32.974658835237612</c:v>
                </c:pt>
                <c:pt idx="206">
                  <c:v>40.863182012460193</c:v>
                </c:pt>
                <c:pt idx="207">
                  <c:v>36.208354487411526</c:v>
                </c:pt>
                <c:pt idx="208">
                  <c:v>43.53528346173556</c:v>
                </c:pt>
                <c:pt idx="209">
                  <c:v>40.789875061623256</c:v>
                </c:pt>
                <c:pt idx="210">
                  <c:v>41.317954771768179</c:v>
                </c:pt>
                <c:pt idx="211">
                  <c:v>40.134126013070613</c:v>
                </c:pt>
                <c:pt idx="212">
                  <c:v>43.521790353977082</c:v>
                </c:pt>
                <c:pt idx="213">
                  <c:v>42.562707395456336</c:v>
                </c:pt>
                <c:pt idx="214">
                  <c:v>43.352841684372493</c:v>
                </c:pt>
                <c:pt idx="215">
                  <c:v>43.785812698865243</c:v>
                </c:pt>
                <c:pt idx="216">
                  <c:v>43.797831929634476</c:v>
                </c:pt>
                <c:pt idx="217">
                  <c:v>43.797831929634476</c:v>
                </c:pt>
                <c:pt idx="218">
                  <c:v>44.325005842677953</c:v>
                </c:pt>
                <c:pt idx="219">
                  <c:v>48.243037211608872</c:v>
                </c:pt>
                <c:pt idx="220">
                  <c:v>46.815566761228006</c:v>
                </c:pt>
                <c:pt idx="221">
                  <c:v>47.348175456880178</c:v>
                </c:pt>
                <c:pt idx="222">
                  <c:v>47.67426241340192</c:v>
                </c:pt>
                <c:pt idx="223">
                  <c:v>47.66934915033648</c:v>
                </c:pt>
                <c:pt idx="224">
                  <c:v>47.913914367727784</c:v>
                </c:pt>
                <c:pt idx="225">
                  <c:v>47.913914367727784</c:v>
                </c:pt>
                <c:pt idx="226">
                  <c:v>52.158479585119089</c:v>
                </c:pt>
                <c:pt idx="227">
                  <c:v>47.565182483669815</c:v>
                </c:pt>
                <c:pt idx="228">
                  <c:v>47.832392628597347</c:v>
                </c:pt>
                <c:pt idx="229">
                  <c:v>47.832392628597347</c:v>
                </c:pt>
                <c:pt idx="230">
                  <c:v>47.821320039891702</c:v>
                </c:pt>
                <c:pt idx="231">
                  <c:v>50.511406341437905</c:v>
                </c:pt>
                <c:pt idx="232">
                  <c:v>50.594739674771233</c:v>
                </c:pt>
                <c:pt idx="233">
                  <c:v>52.870027037199492</c:v>
                </c:pt>
                <c:pt idx="234">
                  <c:v>60.61196252107046</c:v>
                </c:pt>
                <c:pt idx="235">
                  <c:v>52.821279630599768</c:v>
                </c:pt>
                <c:pt idx="236">
                  <c:v>60.563215114470736</c:v>
                </c:pt>
                <c:pt idx="237">
                  <c:v>54.628750894967581</c:v>
                </c:pt>
                <c:pt idx="238">
                  <c:v>62.370686378838549</c:v>
                </c:pt>
                <c:pt idx="239">
                  <c:v>71.500268222532085</c:v>
                </c:pt>
                <c:pt idx="240">
                  <c:v>72.541934889198757</c:v>
                </c:pt>
                <c:pt idx="241">
                  <c:v>30.812281399246988</c:v>
                </c:pt>
                <c:pt idx="242">
                  <c:v>38.151609440645871</c:v>
                </c:pt>
                <c:pt idx="243">
                  <c:v>37.818729005863261</c:v>
                </c:pt>
                <c:pt idx="244">
                  <c:v>34.476743748491941</c:v>
                </c:pt>
                <c:pt idx="245">
                  <c:v>42.594231879426474</c:v>
                </c:pt>
                <c:pt idx="246">
                  <c:v>43.524032604064161</c:v>
                </c:pt>
                <c:pt idx="247">
                  <c:v>31.726894277831008</c:v>
                </c:pt>
                <c:pt idx="248">
                  <c:v>43.440699270730825</c:v>
                </c:pt>
                <c:pt idx="249">
                  <c:v>43.524032604064161</c:v>
                </c:pt>
                <c:pt idx="250">
                  <c:v>47.524032604064153</c:v>
                </c:pt>
                <c:pt idx="251">
                  <c:v>28.599540159144428</c:v>
                </c:pt>
                <c:pt idx="252">
                  <c:v>19.233332528693918</c:v>
                </c:pt>
                <c:pt idx="253">
                  <c:v>21.252520632777077</c:v>
                </c:pt>
                <c:pt idx="254">
                  <c:v>17.044818612575057</c:v>
                </c:pt>
                <c:pt idx="255">
                  <c:v>27.177916836190519</c:v>
                </c:pt>
                <c:pt idx="256">
                  <c:v>29.915704192512361</c:v>
                </c:pt>
                <c:pt idx="257">
                  <c:v>27.895502172310341</c:v>
                </c:pt>
                <c:pt idx="258">
                  <c:v>15.147382715139159</c:v>
                </c:pt>
                <c:pt idx="259">
                  <c:v>32.890063166871336</c:v>
                </c:pt>
                <c:pt idx="260">
                  <c:v>32.890063166871336</c:v>
                </c:pt>
              </c:numCache>
            </c:numRef>
          </c:xVal>
          <c:yVal>
            <c:numRef>
              <c:f>'Mobile Dataset Cleaned (PQ)'!$O$2:$O$262</c:f>
              <c:numCache>
                <c:formatCode>General</c:formatCode>
                <c:ptCount val="261"/>
                <c:pt idx="0">
                  <c:v>799</c:v>
                </c:pt>
                <c:pt idx="1">
                  <c:v>849</c:v>
                </c:pt>
                <c:pt idx="2">
                  <c:v>899</c:v>
                </c:pt>
                <c:pt idx="3">
                  <c:v>899</c:v>
                </c:pt>
                <c:pt idx="4">
                  <c:v>949</c:v>
                </c:pt>
                <c:pt idx="5">
                  <c:v>999</c:v>
                </c:pt>
                <c:pt idx="6">
                  <c:v>999</c:v>
                </c:pt>
                <c:pt idx="7">
                  <c:v>1049</c:v>
                </c:pt>
                <c:pt idx="8">
                  <c:v>1099</c:v>
                </c:pt>
                <c:pt idx="9">
                  <c:v>1099</c:v>
                </c:pt>
                <c:pt idx="10">
                  <c:v>1199</c:v>
                </c:pt>
                <c:pt idx="11">
                  <c:v>1299</c:v>
                </c:pt>
                <c:pt idx="12">
                  <c:v>799</c:v>
                </c:pt>
                <c:pt idx="13">
                  <c:v>849</c:v>
                </c:pt>
                <c:pt idx="14">
                  <c:v>949</c:v>
                </c:pt>
                <c:pt idx="15">
                  <c:v>899</c:v>
                </c:pt>
                <c:pt idx="16">
                  <c:v>999</c:v>
                </c:pt>
                <c:pt idx="17">
                  <c:v>1049</c:v>
                </c:pt>
                <c:pt idx="18">
                  <c:v>1099</c:v>
                </c:pt>
                <c:pt idx="19">
                  <c:v>1199</c:v>
                </c:pt>
                <c:pt idx="20">
                  <c:v>1299</c:v>
                </c:pt>
                <c:pt idx="21">
                  <c:v>1199</c:v>
                </c:pt>
                <c:pt idx="22">
                  <c:v>1299</c:v>
                </c:pt>
                <c:pt idx="23">
                  <c:v>1399</c:v>
                </c:pt>
                <c:pt idx="24">
                  <c:v>799</c:v>
                </c:pt>
                <c:pt idx="25">
                  <c:v>849</c:v>
                </c:pt>
                <c:pt idx="26">
                  <c:v>949</c:v>
                </c:pt>
                <c:pt idx="27">
                  <c:v>899</c:v>
                </c:pt>
                <c:pt idx="28">
                  <c:v>999</c:v>
                </c:pt>
                <c:pt idx="29">
                  <c:v>1049</c:v>
                </c:pt>
                <c:pt idx="30">
                  <c:v>1099</c:v>
                </c:pt>
                <c:pt idx="31">
                  <c:v>1199</c:v>
                </c:pt>
                <c:pt idx="32">
                  <c:v>1299</c:v>
                </c:pt>
                <c:pt idx="33">
                  <c:v>1199</c:v>
                </c:pt>
                <c:pt idx="34">
                  <c:v>1299</c:v>
                </c:pt>
                <c:pt idx="35">
                  <c:v>1399</c:v>
                </c:pt>
                <c:pt idx="36">
                  <c:v>699</c:v>
                </c:pt>
                <c:pt idx="37">
                  <c:v>799</c:v>
                </c:pt>
                <c:pt idx="38">
                  <c:v>899</c:v>
                </c:pt>
                <c:pt idx="39">
                  <c:v>799</c:v>
                </c:pt>
                <c:pt idx="40">
                  <c:v>899</c:v>
                </c:pt>
                <c:pt idx="41">
                  <c:v>999</c:v>
                </c:pt>
                <c:pt idx="42">
                  <c:v>999</c:v>
                </c:pt>
                <c:pt idx="43">
                  <c:v>1099</c:v>
                </c:pt>
                <c:pt idx="44">
                  <c:v>1199</c:v>
                </c:pt>
                <c:pt idx="45">
                  <c:v>1099</c:v>
                </c:pt>
                <c:pt idx="46">
                  <c:v>1199</c:v>
                </c:pt>
                <c:pt idx="47">
                  <c:v>1399</c:v>
                </c:pt>
                <c:pt idx="48">
                  <c:v>699</c:v>
                </c:pt>
                <c:pt idx="49">
                  <c:v>799</c:v>
                </c:pt>
                <c:pt idx="50">
                  <c:v>899</c:v>
                </c:pt>
                <c:pt idx="51">
                  <c:v>799</c:v>
                </c:pt>
                <c:pt idx="52">
                  <c:v>899</c:v>
                </c:pt>
                <c:pt idx="53">
                  <c:v>999</c:v>
                </c:pt>
                <c:pt idx="54">
                  <c:v>999</c:v>
                </c:pt>
                <c:pt idx="55">
                  <c:v>1099</c:v>
                </c:pt>
                <c:pt idx="56">
                  <c:v>1199</c:v>
                </c:pt>
                <c:pt idx="57">
                  <c:v>1099</c:v>
                </c:pt>
                <c:pt idx="58">
                  <c:v>1199</c:v>
                </c:pt>
                <c:pt idx="59">
                  <c:v>1399</c:v>
                </c:pt>
                <c:pt idx="60">
                  <c:v>699</c:v>
                </c:pt>
                <c:pt idx="61">
                  <c:v>799</c:v>
                </c:pt>
                <c:pt idx="62">
                  <c:v>899</c:v>
                </c:pt>
                <c:pt idx="63">
                  <c:v>999</c:v>
                </c:pt>
                <c:pt idx="64">
                  <c:v>1099</c:v>
                </c:pt>
                <c:pt idx="65">
                  <c:v>1199</c:v>
                </c:pt>
                <c:pt idx="66">
                  <c:v>1099</c:v>
                </c:pt>
                <c:pt idx="67">
                  <c:v>1199</c:v>
                </c:pt>
                <c:pt idx="68">
                  <c:v>1399</c:v>
                </c:pt>
                <c:pt idx="69">
                  <c:v>999</c:v>
                </c:pt>
                <c:pt idx="70">
                  <c:v>1099</c:v>
                </c:pt>
                <c:pt idx="71">
                  <c:v>999</c:v>
                </c:pt>
                <c:pt idx="72">
                  <c:v>1099</c:v>
                </c:pt>
                <c:pt idx="73">
                  <c:v>1299</c:v>
                </c:pt>
                <c:pt idx="74">
                  <c:v>1099</c:v>
                </c:pt>
                <c:pt idx="75">
                  <c:v>1249</c:v>
                </c:pt>
                <c:pt idx="76">
                  <c:v>1399</c:v>
                </c:pt>
                <c:pt idx="77">
                  <c:v>749</c:v>
                </c:pt>
                <c:pt idx="78">
                  <c:v>799</c:v>
                </c:pt>
                <c:pt idx="79">
                  <c:v>899</c:v>
                </c:pt>
                <c:pt idx="80">
                  <c:v>599</c:v>
                </c:pt>
                <c:pt idx="81">
                  <c:v>749</c:v>
                </c:pt>
                <c:pt idx="82">
                  <c:v>329</c:v>
                </c:pt>
                <c:pt idx="83">
                  <c:v>429</c:v>
                </c:pt>
                <c:pt idx="84">
                  <c:v>399</c:v>
                </c:pt>
                <c:pt idx="85">
                  <c:v>499</c:v>
                </c:pt>
                <c:pt idx="86">
                  <c:v>799</c:v>
                </c:pt>
                <c:pt idx="87">
                  <c:v>899</c:v>
                </c:pt>
                <c:pt idx="88">
                  <c:v>1099</c:v>
                </c:pt>
                <c:pt idx="89">
                  <c:v>999</c:v>
                </c:pt>
                <c:pt idx="90">
                  <c:v>1099</c:v>
                </c:pt>
                <c:pt idx="91">
                  <c:v>1299</c:v>
                </c:pt>
                <c:pt idx="92">
                  <c:v>1099</c:v>
                </c:pt>
                <c:pt idx="93">
                  <c:v>1199</c:v>
                </c:pt>
                <c:pt idx="94">
                  <c:v>1399</c:v>
                </c:pt>
                <c:pt idx="95">
                  <c:v>1599</c:v>
                </c:pt>
                <c:pt idx="96">
                  <c:v>1799</c:v>
                </c:pt>
                <c:pt idx="97">
                  <c:v>399</c:v>
                </c:pt>
                <c:pt idx="98">
                  <c:v>479</c:v>
                </c:pt>
                <c:pt idx="99">
                  <c:v>799</c:v>
                </c:pt>
                <c:pt idx="100">
                  <c:v>899</c:v>
                </c:pt>
                <c:pt idx="101">
                  <c:v>699</c:v>
                </c:pt>
                <c:pt idx="102">
                  <c:v>899</c:v>
                </c:pt>
                <c:pt idx="103">
                  <c:v>449</c:v>
                </c:pt>
                <c:pt idx="104">
                  <c:v>599</c:v>
                </c:pt>
                <c:pt idx="105">
                  <c:v>899</c:v>
                </c:pt>
                <c:pt idx="106">
                  <c:v>499</c:v>
                </c:pt>
                <c:pt idx="107">
                  <c:v>699</c:v>
                </c:pt>
                <c:pt idx="108">
                  <c:v>999</c:v>
                </c:pt>
                <c:pt idx="109">
                  <c:v>549</c:v>
                </c:pt>
                <c:pt idx="110">
                  <c:v>799</c:v>
                </c:pt>
                <c:pt idx="111">
                  <c:v>1099</c:v>
                </c:pt>
                <c:pt idx="112">
                  <c:v>1299</c:v>
                </c:pt>
                <c:pt idx="113">
                  <c:v>1799</c:v>
                </c:pt>
                <c:pt idx="114">
                  <c:v>349</c:v>
                </c:pt>
                <c:pt idx="115">
                  <c:v>499</c:v>
                </c:pt>
                <c:pt idx="116">
                  <c:v>699</c:v>
                </c:pt>
                <c:pt idx="117">
                  <c:v>449</c:v>
                </c:pt>
                <c:pt idx="118">
                  <c:v>299</c:v>
                </c:pt>
                <c:pt idx="119">
                  <c:v>219</c:v>
                </c:pt>
                <c:pt idx="120">
                  <c:v>179</c:v>
                </c:pt>
                <c:pt idx="121">
                  <c:v>229</c:v>
                </c:pt>
                <c:pt idx="122">
                  <c:v>279</c:v>
                </c:pt>
                <c:pt idx="123">
                  <c:v>159</c:v>
                </c:pt>
                <c:pt idx="124">
                  <c:v>199</c:v>
                </c:pt>
                <c:pt idx="125">
                  <c:v>299</c:v>
                </c:pt>
                <c:pt idx="126">
                  <c:v>249</c:v>
                </c:pt>
                <c:pt idx="127">
                  <c:v>149</c:v>
                </c:pt>
                <c:pt idx="128">
                  <c:v>189</c:v>
                </c:pt>
                <c:pt idx="129">
                  <c:v>299</c:v>
                </c:pt>
                <c:pt idx="130">
                  <c:v>249</c:v>
                </c:pt>
                <c:pt idx="131">
                  <c:v>149</c:v>
                </c:pt>
                <c:pt idx="132">
                  <c:v>189</c:v>
                </c:pt>
                <c:pt idx="133">
                  <c:v>199</c:v>
                </c:pt>
                <c:pt idx="134">
                  <c:v>159</c:v>
                </c:pt>
                <c:pt idx="135">
                  <c:v>229</c:v>
                </c:pt>
                <c:pt idx="136">
                  <c:v>189</c:v>
                </c:pt>
                <c:pt idx="137">
                  <c:v>149</c:v>
                </c:pt>
                <c:pt idx="138">
                  <c:v>399</c:v>
                </c:pt>
                <c:pt idx="139">
                  <c:v>189</c:v>
                </c:pt>
                <c:pt idx="140">
                  <c:v>149</c:v>
                </c:pt>
                <c:pt idx="141">
                  <c:v>129</c:v>
                </c:pt>
                <c:pt idx="142">
                  <c:v>599</c:v>
                </c:pt>
                <c:pt idx="143">
                  <c:v>699</c:v>
                </c:pt>
                <c:pt idx="144">
                  <c:v>549</c:v>
                </c:pt>
                <c:pt idx="145">
                  <c:v>899</c:v>
                </c:pt>
                <c:pt idx="146">
                  <c:v>1099</c:v>
                </c:pt>
                <c:pt idx="147">
                  <c:v>1299</c:v>
                </c:pt>
                <c:pt idx="148">
                  <c:v>899</c:v>
                </c:pt>
                <c:pt idx="149">
                  <c:v>1099</c:v>
                </c:pt>
                <c:pt idx="150">
                  <c:v>1299</c:v>
                </c:pt>
                <c:pt idx="151">
                  <c:v>1799</c:v>
                </c:pt>
                <c:pt idx="152">
                  <c:v>799</c:v>
                </c:pt>
                <c:pt idx="153">
                  <c:v>999</c:v>
                </c:pt>
                <c:pt idx="154">
                  <c:v>1199</c:v>
                </c:pt>
                <c:pt idx="155">
                  <c:v>1399</c:v>
                </c:pt>
                <c:pt idx="156">
                  <c:v>1699</c:v>
                </c:pt>
                <c:pt idx="157">
                  <c:v>799</c:v>
                </c:pt>
                <c:pt idx="158">
                  <c:v>1099</c:v>
                </c:pt>
                <c:pt idx="159">
                  <c:v>1299</c:v>
                </c:pt>
                <c:pt idx="160">
                  <c:v>1499</c:v>
                </c:pt>
                <c:pt idx="161">
                  <c:v>1899</c:v>
                </c:pt>
                <c:pt idx="162">
                  <c:v>699</c:v>
                </c:pt>
                <c:pt idx="163">
                  <c:v>1099</c:v>
                </c:pt>
                <c:pt idx="164">
                  <c:v>1299</c:v>
                </c:pt>
                <c:pt idx="165">
                  <c:v>1499</c:v>
                </c:pt>
                <c:pt idx="166">
                  <c:v>1899</c:v>
                </c:pt>
                <c:pt idx="167">
                  <c:v>649</c:v>
                </c:pt>
                <c:pt idx="168">
                  <c:v>799</c:v>
                </c:pt>
                <c:pt idx="169">
                  <c:v>899</c:v>
                </c:pt>
                <c:pt idx="170">
                  <c:v>649</c:v>
                </c:pt>
                <c:pt idx="171">
                  <c:v>999</c:v>
                </c:pt>
                <c:pt idx="172">
                  <c:v>799</c:v>
                </c:pt>
                <c:pt idx="173">
                  <c:v>649</c:v>
                </c:pt>
                <c:pt idx="174">
                  <c:v>219</c:v>
                </c:pt>
                <c:pt idx="175">
                  <c:v>449</c:v>
                </c:pt>
                <c:pt idx="176">
                  <c:v>349</c:v>
                </c:pt>
                <c:pt idx="177">
                  <c:v>319</c:v>
                </c:pt>
                <c:pt idx="178">
                  <c:v>379</c:v>
                </c:pt>
                <c:pt idx="179">
                  <c:v>349</c:v>
                </c:pt>
                <c:pt idx="180">
                  <c:v>229</c:v>
                </c:pt>
                <c:pt idx="181">
                  <c:v>599</c:v>
                </c:pt>
                <c:pt idx="182">
                  <c:v>549</c:v>
                </c:pt>
                <c:pt idx="183">
                  <c:v>649</c:v>
                </c:pt>
                <c:pt idx="184">
                  <c:v>449</c:v>
                </c:pt>
                <c:pt idx="185">
                  <c:v>379</c:v>
                </c:pt>
                <c:pt idx="186">
                  <c:v>319</c:v>
                </c:pt>
                <c:pt idx="187">
                  <c:v>549</c:v>
                </c:pt>
                <c:pt idx="188">
                  <c:v>649</c:v>
                </c:pt>
                <c:pt idx="189">
                  <c:v>449</c:v>
                </c:pt>
                <c:pt idx="190">
                  <c:v>379</c:v>
                </c:pt>
                <c:pt idx="191">
                  <c:v>299</c:v>
                </c:pt>
                <c:pt idx="192">
                  <c:v>499</c:v>
                </c:pt>
                <c:pt idx="193">
                  <c:v>549</c:v>
                </c:pt>
                <c:pt idx="194">
                  <c:v>699</c:v>
                </c:pt>
                <c:pt idx="195">
                  <c:v>299</c:v>
                </c:pt>
                <c:pt idx="196">
                  <c:v>549</c:v>
                </c:pt>
                <c:pt idx="197">
                  <c:v>399</c:v>
                </c:pt>
                <c:pt idx="198">
                  <c:v>599</c:v>
                </c:pt>
                <c:pt idx="199">
                  <c:v>399</c:v>
                </c:pt>
                <c:pt idx="200">
                  <c:v>399</c:v>
                </c:pt>
                <c:pt idx="201">
                  <c:v>499</c:v>
                </c:pt>
                <c:pt idx="202">
                  <c:v>299</c:v>
                </c:pt>
                <c:pt idx="203">
                  <c:v>449</c:v>
                </c:pt>
                <c:pt idx="204">
                  <c:v>499</c:v>
                </c:pt>
                <c:pt idx="205">
                  <c:v>299</c:v>
                </c:pt>
                <c:pt idx="206">
                  <c:v>399</c:v>
                </c:pt>
                <c:pt idx="207">
                  <c:v>399</c:v>
                </c:pt>
                <c:pt idx="208">
                  <c:v>499</c:v>
                </c:pt>
                <c:pt idx="209">
                  <c:v>699</c:v>
                </c:pt>
                <c:pt idx="210">
                  <c:v>899</c:v>
                </c:pt>
                <c:pt idx="211">
                  <c:v>1299</c:v>
                </c:pt>
                <c:pt idx="212">
                  <c:v>2699</c:v>
                </c:pt>
                <c:pt idx="213">
                  <c:v>2499</c:v>
                </c:pt>
                <c:pt idx="214">
                  <c:v>999</c:v>
                </c:pt>
                <c:pt idx="215">
                  <c:v>1199</c:v>
                </c:pt>
                <c:pt idx="216">
                  <c:v>999</c:v>
                </c:pt>
                <c:pt idx="217">
                  <c:v>1099</c:v>
                </c:pt>
                <c:pt idx="218">
                  <c:v>1299</c:v>
                </c:pt>
                <c:pt idx="219">
                  <c:v>2499</c:v>
                </c:pt>
                <c:pt idx="220">
                  <c:v>1099</c:v>
                </c:pt>
                <c:pt idx="221">
                  <c:v>1299</c:v>
                </c:pt>
                <c:pt idx="222">
                  <c:v>1499</c:v>
                </c:pt>
                <c:pt idx="223">
                  <c:v>999</c:v>
                </c:pt>
                <c:pt idx="224">
                  <c:v>1099</c:v>
                </c:pt>
                <c:pt idx="225">
                  <c:v>1199</c:v>
                </c:pt>
                <c:pt idx="226">
                  <c:v>1299</c:v>
                </c:pt>
                <c:pt idx="227">
                  <c:v>899</c:v>
                </c:pt>
                <c:pt idx="228">
                  <c:v>999</c:v>
                </c:pt>
                <c:pt idx="229">
                  <c:v>1099</c:v>
                </c:pt>
                <c:pt idx="230">
                  <c:v>2499</c:v>
                </c:pt>
                <c:pt idx="231">
                  <c:v>499</c:v>
                </c:pt>
                <c:pt idx="232">
                  <c:v>599</c:v>
                </c:pt>
                <c:pt idx="233">
                  <c:v>2599</c:v>
                </c:pt>
                <c:pt idx="234">
                  <c:v>2799</c:v>
                </c:pt>
                <c:pt idx="235">
                  <c:v>529</c:v>
                </c:pt>
                <c:pt idx="236">
                  <c:v>599</c:v>
                </c:pt>
                <c:pt idx="237">
                  <c:v>649</c:v>
                </c:pt>
                <c:pt idx="238">
                  <c:v>729</c:v>
                </c:pt>
                <c:pt idx="239">
                  <c:v>999</c:v>
                </c:pt>
                <c:pt idx="240">
                  <c:v>877</c:v>
                </c:pt>
                <c:pt idx="241">
                  <c:v>799</c:v>
                </c:pt>
                <c:pt idx="242">
                  <c:v>499</c:v>
                </c:pt>
                <c:pt idx="243">
                  <c:v>599</c:v>
                </c:pt>
                <c:pt idx="244">
                  <c:v>649</c:v>
                </c:pt>
                <c:pt idx="245">
                  <c:v>499</c:v>
                </c:pt>
                <c:pt idx="246">
                  <c:v>599</c:v>
                </c:pt>
                <c:pt idx="247">
                  <c:v>399</c:v>
                </c:pt>
                <c:pt idx="248">
                  <c:v>499</c:v>
                </c:pt>
                <c:pt idx="249">
                  <c:v>599</c:v>
                </c:pt>
                <c:pt idx="250">
                  <c:v>699</c:v>
                </c:pt>
                <c:pt idx="251">
                  <c:v>299</c:v>
                </c:pt>
                <c:pt idx="252">
                  <c:v>219</c:v>
                </c:pt>
                <c:pt idx="253">
                  <c:v>219</c:v>
                </c:pt>
                <c:pt idx="254">
                  <c:v>179</c:v>
                </c:pt>
                <c:pt idx="255">
                  <c:v>269</c:v>
                </c:pt>
                <c:pt idx="256">
                  <c:v>279</c:v>
                </c:pt>
                <c:pt idx="257">
                  <c:v>199</c:v>
                </c:pt>
                <c:pt idx="258">
                  <c:v>159</c:v>
                </c:pt>
                <c:pt idx="259">
                  <c:v>229</c:v>
                </c:pt>
                <c:pt idx="260">
                  <c:v>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41-4E41-AB5F-B3A2E5C339E3}"/>
            </c:ext>
          </c:extLst>
        </c:ser>
        <c:ser>
          <c:idx val="1"/>
          <c:order val="1"/>
          <c:tx>
            <c:v>Flagship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'Mobile Dataset Cleaned (PQ)'!$S$263:$S$624</c:f>
              <c:numCache>
                <c:formatCode>General</c:formatCode>
                <c:ptCount val="362"/>
                <c:pt idx="0">
                  <c:v>23.757571137827583</c:v>
                </c:pt>
                <c:pt idx="1">
                  <c:v>15.147382715139159</c:v>
                </c:pt>
                <c:pt idx="2">
                  <c:v>15.147382715139159</c:v>
                </c:pt>
                <c:pt idx="3">
                  <c:v>17.665880823311181</c:v>
                </c:pt>
                <c:pt idx="4">
                  <c:v>19.396751402007844</c:v>
                </c:pt>
                <c:pt idx="5">
                  <c:v>17.259509416939775</c:v>
                </c:pt>
                <c:pt idx="6">
                  <c:v>22.054919622676067</c:v>
                </c:pt>
                <c:pt idx="7">
                  <c:v>12.706848339120913</c:v>
                </c:pt>
                <c:pt idx="8">
                  <c:v>21.294187299443742</c:v>
                </c:pt>
                <c:pt idx="9">
                  <c:v>17.512034669465024</c:v>
                </c:pt>
                <c:pt idx="10">
                  <c:v>25.272722652979098</c:v>
                </c:pt>
                <c:pt idx="11">
                  <c:v>12.959373591646166</c:v>
                </c:pt>
                <c:pt idx="12">
                  <c:v>18.181522186778633</c:v>
                </c:pt>
                <c:pt idx="13">
                  <c:v>22.822057979488335</c:v>
                </c:pt>
                <c:pt idx="14">
                  <c:v>22.822057979488335</c:v>
                </c:pt>
                <c:pt idx="15">
                  <c:v>11.959373591646166</c:v>
                </c:pt>
                <c:pt idx="16">
                  <c:v>14.818975040921529</c:v>
                </c:pt>
                <c:pt idx="17">
                  <c:v>16.483570681761908</c:v>
                </c:pt>
                <c:pt idx="18">
                  <c:v>17.006984164414522</c:v>
                </c:pt>
                <c:pt idx="19">
                  <c:v>21.757571137827583</c:v>
                </c:pt>
                <c:pt idx="20">
                  <c:v>8.1920961820578544</c:v>
                </c:pt>
                <c:pt idx="21">
                  <c:v>20.970992981684208</c:v>
                </c:pt>
                <c:pt idx="22">
                  <c:v>11.959373591646166</c:v>
                </c:pt>
                <c:pt idx="23">
                  <c:v>23.347899480357952</c:v>
                </c:pt>
                <c:pt idx="24">
                  <c:v>24.544541907978633</c:v>
                </c:pt>
                <c:pt idx="25">
                  <c:v>16.824916835608061</c:v>
                </c:pt>
                <c:pt idx="26">
                  <c:v>30.8822961078018</c:v>
                </c:pt>
                <c:pt idx="27">
                  <c:v>11.454323086595661</c:v>
                </c:pt>
                <c:pt idx="28">
                  <c:v>63.267620090623907</c:v>
                </c:pt>
                <c:pt idx="29">
                  <c:v>55.938537035997385</c:v>
                </c:pt>
                <c:pt idx="30">
                  <c:v>54.571744106704458</c:v>
                </c:pt>
                <c:pt idx="31">
                  <c:v>56.26462399251912</c:v>
                </c:pt>
                <c:pt idx="32">
                  <c:v>36.57679694159237</c:v>
                </c:pt>
                <c:pt idx="33">
                  <c:v>28.240746216954683</c:v>
                </c:pt>
                <c:pt idx="34">
                  <c:v>49.951492679387812</c:v>
                </c:pt>
                <c:pt idx="35">
                  <c:v>40.307690527433479</c:v>
                </c:pt>
                <c:pt idx="36">
                  <c:v>44.095569315312275</c:v>
                </c:pt>
                <c:pt idx="37">
                  <c:v>52.114723563945525</c:v>
                </c:pt>
                <c:pt idx="38">
                  <c:v>52.114723563945525</c:v>
                </c:pt>
                <c:pt idx="39">
                  <c:v>41.587472038193241</c:v>
                </c:pt>
                <c:pt idx="40">
                  <c:v>47.748649025457198</c:v>
                </c:pt>
                <c:pt idx="41">
                  <c:v>26.535348915605361</c:v>
                </c:pt>
                <c:pt idx="42">
                  <c:v>48.955388275577981</c:v>
                </c:pt>
                <c:pt idx="43">
                  <c:v>52.955388275577981</c:v>
                </c:pt>
                <c:pt idx="44">
                  <c:v>46.242407171433086</c:v>
                </c:pt>
                <c:pt idx="45">
                  <c:v>24.347848915605361</c:v>
                </c:pt>
                <c:pt idx="46">
                  <c:v>46.384207484572627</c:v>
                </c:pt>
                <c:pt idx="47">
                  <c:v>56.264353548186428</c:v>
                </c:pt>
                <c:pt idx="48">
                  <c:v>57.526979810812698</c:v>
                </c:pt>
                <c:pt idx="49">
                  <c:v>16.922805992578567</c:v>
                </c:pt>
                <c:pt idx="50">
                  <c:v>20.858289863546307</c:v>
                </c:pt>
                <c:pt idx="51">
                  <c:v>25.390815049088737</c:v>
                </c:pt>
                <c:pt idx="52">
                  <c:v>9.3910569435186151</c:v>
                </c:pt>
                <c:pt idx="53">
                  <c:v>18.437957507730079</c:v>
                </c:pt>
                <c:pt idx="54">
                  <c:v>15.171715337439936</c:v>
                </c:pt>
                <c:pt idx="55">
                  <c:v>8.5652307467685063</c:v>
                </c:pt>
                <c:pt idx="56">
                  <c:v>18.944248359972953</c:v>
                </c:pt>
                <c:pt idx="57">
                  <c:v>22.879732230940704</c:v>
                </c:pt>
                <c:pt idx="58">
                  <c:v>19.896694012146874</c:v>
                </c:pt>
                <c:pt idx="59">
                  <c:v>44.882311324552404</c:v>
                </c:pt>
                <c:pt idx="60">
                  <c:v>52.753279066487885</c:v>
                </c:pt>
                <c:pt idx="61">
                  <c:v>64.495214550358853</c:v>
                </c:pt>
                <c:pt idx="62">
                  <c:v>39.160293691177955</c:v>
                </c:pt>
                <c:pt idx="63">
                  <c:v>45.031261433113428</c:v>
                </c:pt>
                <c:pt idx="64">
                  <c:v>19.222230945020762</c:v>
                </c:pt>
                <c:pt idx="65">
                  <c:v>23.157714815988498</c:v>
                </c:pt>
                <c:pt idx="66">
                  <c:v>16.922805992578567</c:v>
                </c:pt>
                <c:pt idx="67">
                  <c:v>20.858289863546307</c:v>
                </c:pt>
                <c:pt idx="68">
                  <c:v>20.529049126838942</c:v>
                </c:pt>
                <c:pt idx="69">
                  <c:v>24.464532997806685</c:v>
                </c:pt>
                <c:pt idx="70">
                  <c:v>10.370223610185283</c:v>
                </c:pt>
                <c:pt idx="71">
                  <c:v>12.337965545669155</c:v>
                </c:pt>
                <c:pt idx="72">
                  <c:v>30.439911785685467</c:v>
                </c:pt>
                <c:pt idx="73">
                  <c:v>34.310879527620955</c:v>
                </c:pt>
                <c:pt idx="74">
                  <c:v>21.326906735180422</c:v>
                </c:pt>
                <c:pt idx="75">
                  <c:v>29.197874477115903</c:v>
                </c:pt>
                <c:pt idx="76">
                  <c:v>26.380568351342035</c:v>
                </c:pt>
                <c:pt idx="77">
                  <c:v>32.251536093277515</c:v>
                </c:pt>
                <c:pt idx="78">
                  <c:v>31.316272374330538</c:v>
                </c:pt>
                <c:pt idx="79">
                  <c:v>39.187240116266025</c:v>
                </c:pt>
                <c:pt idx="80">
                  <c:v>13.107732177504753</c:v>
                </c:pt>
                <c:pt idx="81">
                  <c:v>15.043216048472493</c:v>
                </c:pt>
                <c:pt idx="82">
                  <c:v>31.069086598328028</c:v>
                </c:pt>
                <c:pt idx="83">
                  <c:v>40.811022082198996</c:v>
                </c:pt>
                <c:pt idx="84">
                  <c:v>22.865416836190519</c:v>
                </c:pt>
                <c:pt idx="85">
                  <c:v>28.736384578126007</c:v>
                </c:pt>
                <c:pt idx="86">
                  <c:v>12.766628836401411</c:v>
                </c:pt>
                <c:pt idx="87">
                  <c:v>8.6838194346506725</c:v>
                </c:pt>
                <c:pt idx="88">
                  <c:v>11.651561370134543</c:v>
                </c:pt>
                <c:pt idx="89">
                  <c:v>16.889528924818741</c:v>
                </c:pt>
                <c:pt idx="90">
                  <c:v>45.063486362033672</c:v>
                </c:pt>
                <c:pt idx="91">
                  <c:v>52.934454103969145</c:v>
                </c:pt>
                <c:pt idx="92">
                  <c:v>61.699940312477793</c:v>
                </c:pt>
                <c:pt idx="93">
                  <c:v>77.87047101449275</c:v>
                </c:pt>
                <c:pt idx="94">
                  <c:v>77.87047101449275</c:v>
                </c:pt>
                <c:pt idx="95">
                  <c:v>45.364526656280475</c:v>
                </c:pt>
                <c:pt idx="96">
                  <c:v>53.235494398215963</c:v>
                </c:pt>
                <c:pt idx="97">
                  <c:v>38.165704192512351</c:v>
                </c:pt>
                <c:pt idx="98">
                  <c:v>46.036671934447838</c:v>
                </c:pt>
                <c:pt idx="99">
                  <c:v>41.716561339696341</c:v>
                </c:pt>
                <c:pt idx="100">
                  <c:v>49.587529081631828</c:v>
                </c:pt>
                <c:pt idx="101">
                  <c:v>31.410871381645066</c:v>
                </c:pt>
                <c:pt idx="102">
                  <c:v>39.281839123580554</c:v>
                </c:pt>
                <c:pt idx="103">
                  <c:v>26.943419647139358</c:v>
                </c:pt>
                <c:pt idx="104">
                  <c:v>32.814387389074845</c:v>
                </c:pt>
                <c:pt idx="105">
                  <c:v>33.095774122582284</c:v>
                </c:pt>
                <c:pt idx="106">
                  <c:v>38.966741864517772</c:v>
                </c:pt>
                <c:pt idx="107">
                  <c:v>40.593688044409248</c:v>
                </c:pt>
                <c:pt idx="108">
                  <c:v>48.464655786344736</c:v>
                </c:pt>
                <c:pt idx="109">
                  <c:v>40.599171934447838</c:v>
                </c:pt>
                <c:pt idx="110">
                  <c:v>52.341107418318813</c:v>
                </c:pt>
                <c:pt idx="111">
                  <c:v>32.663080977604658</c:v>
                </c:pt>
                <c:pt idx="112">
                  <c:v>36.534048719540145</c:v>
                </c:pt>
                <c:pt idx="113">
                  <c:v>40.284915237038973</c:v>
                </c:pt>
                <c:pt idx="114">
                  <c:v>52.026850720909934</c:v>
                </c:pt>
                <c:pt idx="115">
                  <c:v>40.080150195317401</c:v>
                </c:pt>
                <c:pt idx="116">
                  <c:v>39.424407990662161</c:v>
                </c:pt>
                <c:pt idx="117">
                  <c:v>51.166343474533122</c:v>
                </c:pt>
                <c:pt idx="118">
                  <c:v>40.284915237038973</c:v>
                </c:pt>
                <c:pt idx="119">
                  <c:v>52.026850720909934</c:v>
                </c:pt>
                <c:pt idx="120">
                  <c:v>31.060448035625768</c:v>
                </c:pt>
                <c:pt idx="121">
                  <c:v>36.931415777561256</c:v>
                </c:pt>
                <c:pt idx="122">
                  <c:v>29.51503804831173</c:v>
                </c:pt>
                <c:pt idx="123">
                  <c:v>35.386005790247218</c:v>
                </c:pt>
                <c:pt idx="124">
                  <c:v>25.286502694776381</c:v>
                </c:pt>
                <c:pt idx="125">
                  <c:v>25.390669361443045</c:v>
                </c:pt>
                <c:pt idx="126">
                  <c:v>21.548606491362936</c:v>
                </c:pt>
                <c:pt idx="127">
                  <c:v>15.004959044840312</c:v>
                </c:pt>
                <c:pt idx="128">
                  <c:v>16.940442915808056</c:v>
                </c:pt>
                <c:pt idx="129">
                  <c:v>13.77347615574873</c:v>
                </c:pt>
                <c:pt idx="130">
                  <c:v>16.708960026716468</c:v>
                </c:pt>
                <c:pt idx="131">
                  <c:v>15.086689814071084</c:v>
                </c:pt>
                <c:pt idx="132">
                  <c:v>19.022173685038826</c:v>
                </c:pt>
                <c:pt idx="133">
                  <c:v>10.8552069249795</c:v>
                </c:pt>
                <c:pt idx="134">
                  <c:v>13.79069079594724</c:v>
                </c:pt>
                <c:pt idx="135">
                  <c:v>24.341135561909248</c:v>
                </c:pt>
                <c:pt idx="136">
                  <c:v>24.571747601460565</c:v>
                </c:pt>
                <c:pt idx="137">
                  <c:v>27.307481715755401</c:v>
                </c:pt>
                <c:pt idx="138">
                  <c:v>18.517029896069708</c:v>
                </c:pt>
                <c:pt idx="139">
                  <c:v>16.663919046191616</c:v>
                </c:pt>
                <c:pt idx="140">
                  <c:v>16.663919046191616</c:v>
                </c:pt>
                <c:pt idx="141">
                  <c:v>57.400308298084212</c:v>
                </c:pt>
                <c:pt idx="142">
                  <c:v>52.563843954498431</c:v>
                </c:pt>
                <c:pt idx="143">
                  <c:v>52.116435083176512</c:v>
                </c:pt>
                <c:pt idx="144">
                  <c:v>52.116435083176512</c:v>
                </c:pt>
                <c:pt idx="145">
                  <c:v>52.158101749843176</c:v>
                </c:pt>
                <c:pt idx="146">
                  <c:v>60.854864309705434</c:v>
                </c:pt>
                <c:pt idx="147">
                  <c:v>54.875055772831686</c:v>
                </c:pt>
                <c:pt idx="148">
                  <c:v>51.806268196922673</c:v>
                </c:pt>
                <c:pt idx="149">
                  <c:v>49.936027326681803</c:v>
                </c:pt>
                <c:pt idx="150">
                  <c:v>41.908809584746315</c:v>
                </c:pt>
                <c:pt idx="151">
                  <c:v>60.137682035457942</c:v>
                </c:pt>
                <c:pt idx="152">
                  <c:v>48.517151064055547</c:v>
                </c:pt>
                <c:pt idx="153">
                  <c:v>41.908809584746315</c:v>
                </c:pt>
                <c:pt idx="154">
                  <c:v>48.517151064055547</c:v>
                </c:pt>
                <c:pt idx="155">
                  <c:v>51.806268196922673</c:v>
                </c:pt>
                <c:pt idx="156">
                  <c:v>41.151233827170564</c:v>
                </c:pt>
                <c:pt idx="157">
                  <c:v>48.773038745214961</c:v>
                </c:pt>
                <c:pt idx="158">
                  <c:v>40.320096365598317</c:v>
                </c:pt>
                <c:pt idx="159">
                  <c:v>40.320096365598317</c:v>
                </c:pt>
                <c:pt idx="160">
                  <c:v>35.9333759000735</c:v>
                </c:pt>
                <c:pt idx="161">
                  <c:v>41.105819943485287</c:v>
                </c:pt>
                <c:pt idx="162">
                  <c:v>30.698257154085191</c:v>
                </c:pt>
                <c:pt idx="163">
                  <c:v>44.69287621256295</c:v>
                </c:pt>
                <c:pt idx="164">
                  <c:v>52.266714293522469</c:v>
                </c:pt>
                <c:pt idx="165">
                  <c:v>46.564307410124925</c:v>
                </c:pt>
                <c:pt idx="166">
                  <c:v>32.447261621839658</c:v>
                </c:pt>
                <c:pt idx="167">
                  <c:v>32.372135359213395</c:v>
                </c:pt>
                <c:pt idx="168">
                  <c:v>48.773038745214961</c:v>
                </c:pt>
                <c:pt idx="169">
                  <c:v>48.517151064055547</c:v>
                </c:pt>
                <c:pt idx="170">
                  <c:v>46.702894366646667</c:v>
                </c:pt>
                <c:pt idx="171">
                  <c:v>53.529340556148725</c:v>
                </c:pt>
                <c:pt idx="172">
                  <c:v>45.743705365294282</c:v>
                </c:pt>
                <c:pt idx="173">
                  <c:v>56.137682035457942</c:v>
                </c:pt>
                <c:pt idx="174">
                  <c:v>53.379061345802775</c:v>
                </c:pt>
                <c:pt idx="175">
                  <c:v>53.436565301876094</c:v>
                </c:pt>
                <c:pt idx="176">
                  <c:v>53.436565301876094</c:v>
                </c:pt>
                <c:pt idx="177">
                  <c:v>66.490828562145737</c:v>
                </c:pt>
                <c:pt idx="178">
                  <c:v>37.953169361443045</c:v>
                </c:pt>
                <c:pt idx="179">
                  <c:v>34.614397022670708</c:v>
                </c:pt>
                <c:pt idx="180">
                  <c:v>33.281358013329225</c:v>
                </c:pt>
                <c:pt idx="181">
                  <c:v>33.281358013329225</c:v>
                </c:pt>
                <c:pt idx="182">
                  <c:v>27.19226706929075</c:v>
                </c:pt>
                <c:pt idx="183">
                  <c:v>30.735635536572268</c:v>
                </c:pt>
                <c:pt idx="184">
                  <c:v>30.8331755267753</c:v>
                </c:pt>
                <c:pt idx="185">
                  <c:v>31.765938566875292</c:v>
                </c:pt>
                <c:pt idx="186">
                  <c:v>33.281358013329225</c:v>
                </c:pt>
                <c:pt idx="187">
                  <c:v>28.472048580050526</c:v>
                </c:pt>
                <c:pt idx="188">
                  <c:v>37.117118636805365</c:v>
                </c:pt>
                <c:pt idx="189">
                  <c:v>36.224809036943292</c:v>
                </c:pt>
                <c:pt idx="190">
                  <c:v>35.734012184777228</c:v>
                </c:pt>
                <c:pt idx="191">
                  <c:v>35.734012184777228</c:v>
                </c:pt>
                <c:pt idx="192">
                  <c:v>27.929524277215855</c:v>
                </c:pt>
                <c:pt idx="193">
                  <c:v>22.187299455486933</c:v>
                </c:pt>
                <c:pt idx="194">
                  <c:v>20.682488159211992</c:v>
                </c:pt>
                <c:pt idx="195">
                  <c:v>26.55345590114748</c:v>
                </c:pt>
                <c:pt idx="196">
                  <c:v>22.187299455486933</c:v>
                </c:pt>
                <c:pt idx="197">
                  <c:v>20.682488159211992</c:v>
                </c:pt>
                <c:pt idx="198">
                  <c:v>26.55345590114748</c:v>
                </c:pt>
                <c:pt idx="199">
                  <c:v>22.187299455486933</c:v>
                </c:pt>
                <c:pt idx="200">
                  <c:v>21.146120088876533</c:v>
                </c:pt>
                <c:pt idx="201">
                  <c:v>27.017087830812017</c:v>
                </c:pt>
                <c:pt idx="202">
                  <c:v>28.409473223197409</c:v>
                </c:pt>
                <c:pt idx="203">
                  <c:v>20.578569583826027</c:v>
                </c:pt>
                <c:pt idx="204">
                  <c:v>20.578569583826027</c:v>
                </c:pt>
                <c:pt idx="205">
                  <c:v>24.257802228575912</c:v>
                </c:pt>
                <c:pt idx="206">
                  <c:v>17.419723598893089</c:v>
                </c:pt>
                <c:pt idx="207">
                  <c:v>17.149378002460534</c:v>
                </c:pt>
                <c:pt idx="208">
                  <c:v>16.948134801217332</c:v>
                </c:pt>
                <c:pt idx="209">
                  <c:v>16.948134801217332</c:v>
                </c:pt>
                <c:pt idx="210">
                  <c:v>16.948134801217332</c:v>
                </c:pt>
                <c:pt idx="211">
                  <c:v>22.066567681222548</c:v>
                </c:pt>
                <c:pt idx="212">
                  <c:v>27.937535423158035</c:v>
                </c:pt>
                <c:pt idx="213">
                  <c:v>24.005276976050659</c:v>
                </c:pt>
                <c:pt idx="214">
                  <c:v>24.005276976050659</c:v>
                </c:pt>
                <c:pt idx="215">
                  <c:v>64.625785300822784</c:v>
                </c:pt>
                <c:pt idx="216">
                  <c:v>55.10054435429852</c:v>
                </c:pt>
                <c:pt idx="217">
                  <c:v>56.241848702124614</c:v>
                </c:pt>
                <c:pt idx="218">
                  <c:v>51.811595078936207</c:v>
                </c:pt>
                <c:pt idx="219">
                  <c:v>64.343202235730772</c:v>
                </c:pt>
                <c:pt idx="220">
                  <c:v>76.085137719601732</c:v>
                </c:pt>
                <c:pt idx="221">
                  <c:v>46.905946615007409</c:v>
                </c:pt>
                <c:pt idx="222">
                  <c:v>52.776914356942896</c:v>
                </c:pt>
                <c:pt idx="223">
                  <c:v>57.525308298084212</c:v>
                </c:pt>
                <c:pt idx="224">
                  <c:v>69.267243781955173</c:v>
                </c:pt>
                <c:pt idx="225">
                  <c:v>57.483641631417541</c:v>
                </c:pt>
                <c:pt idx="226">
                  <c:v>69.225577115288502</c:v>
                </c:pt>
                <c:pt idx="227">
                  <c:v>56.262682035457942</c:v>
                </c:pt>
                <c:pt idx="228">
                  <c:v>68.004617519328917</c:v>
                </c:pt>
                <c:pt idx="229">
                  <c:v>55.853261745602865</c:v>
                </c:pt>
                <c:pt idx="230">
                  <c:v>67.59519722947384</c:v>
                </c:pt>
                <c:pt idx="231">
                  <c:v>54.875055772831686</c:v>
                </c:pt>
                <c:pt idx="232">
                  <c:v>66.616991256702647</c:v>
                </c:pt>
                <c:pt idx="233">
                  <c:v>49.130092553683681</c:v>
                </c:pt>
                <c:pt idx="234">
                  <c:v>50.34296859672277</c:v>
                </c:pt>
                <c:pt idx="235">
                  <c:v>62.084904080593731</c:v>
                </c:pt>
                <c:pt idx="236">
                  <c:v>55.014164248896677</c:v>
                </c:pt>
                <c:pt idx="237">
                  <c:v>58.932642509766239</c:v>
                </c:pt>
                <c:pt idx="238">
                  <c:v>58.890975843099582</c:v>
                </c:pt>
                <c:pt idx="239">
                  <c:v>51.883386361325321</c:v>
                </c:pt>
                <c:pt idx="240">
                  <c:v>51.378335856274816</c:v>
                </c:pt>
                <c:pt idx="241">
                  <c:v>63.372325237439561</c:v>
                </c:pt>
                <c:pt idx="242">
                  <c:v>55.054302797046844</c:v>
                </c:pt>
                <c:pt idx="243">
                  <c:v>36.986166883942786</c:v>
                </c:pt>
                <c:pt idx="244">
                  <c:v>36.986166883942786</c:v>
                </c:pt>
                <c:pt idx="245">
                  <c:v>56.955978959820783</c:v>
                </c:pt>
                <c:pt idx="246">
                  <c:v>40.268995166771077</c:v>
                </c:pt>
                <c:pt idx="247">
                  <c:v>40.986943884719793</c:v>
                </c:pt>
                <c:pt idx="248">
                  <c:v>56.955978959820783</c:v>
                </c:pt>
                <c:pt idx="249">
                  <c:v>40.908486027401366</c:v>
                </c:pt>
                <c:pt idx="250">
                  <c:v>52.650421511272334</c:v>
                </c:pt>
                <c:pt idx="251">
                  <c:v>28.188442349948794</c:v>
                </c:pt>
                <c:pt idx="252">
                  <c:v>32.059410091884274</c:v>
                </c:pt>
                <c:pt idx="253">
                  <c:v>42.823286203071106</c:v>
                </c:pt>
                <c:pt idx="254">
                  <c:v>54.565221686942074</c:v>
                </c:pt>
                <c:pt idx="255">
                  <c:v>37.115976142784305</c:v>
                </c:pt>
                <c:pt idx="256">
                  <c:v>40.986943884719793</c:v>
                </c:pt>
                <c:pt idx="257">
                  <c:v>40.986943884719793</c:v>
                </c:pt>
                <c:pt idx="258">
                  <c:v>52.728879368590754</c:v>
                </c:pt>
                <c:pt idx="259">
                  <c:v>39.174811781782992</c:v>
                </c:pt>
                <c:pt idx="260">
                  <c:v>43.04577952371848</c:v>
                </c:pt>
                <c:pt idx="261">
                  <c:v>49.638269847330641</c:v>
                </c:pt>
                <c:pt idx="262">
                  <c:v>57.509237589266121</c:v>
                </c:pt>
                <c:pt idx="263">
                  <c:v>37.115976142784305</c:v>
                </c:pt>
                <c:pt idx="264">
                  <c:v>40.986943884719793</c:v>
                </c:pt>
                <c:pt idx="265">
                  <c:v>46.647124284030625</c:v>
                </c:pt>
                <c:pt idx="266">
                  <c:v>39.331061781782992</c:v>
                </c:pt>
                <c:pt idx="267">
                  <c:v>47.20202952371848</c:v>
                </c:pt>
                <c:pt idx="268">
                  <c:v>51.74670706839602</c:v>
                </c:pt>
                <c:pt idx="269">
                  <c:v>33.250108013329225</c:v>
                </c:pt>
                <c:pt idx="270">
                  <c:v>41.121075755264712</c:v>
                </c:pt>
                <c:pt idx="271">
                  <c:v>47.74670706839602</c:v>
                </c:pt>
                <c:pt idx="272">
                  <c:v>47.74670706839602</c:v>
                </c:pt>
                <c:pt idx="273">
                  <c:v>30.937753700974909</c:v>
                </c:pt>
                <c:pt idx="274">
                  <c:v>38.808721442910397</c:v>
                </c:pt>
                <c:pt idx="275">
                  <c:v>40.772275250214207</c:v>
                </c:pt>
                <c:pt idx="276">
                  <c:v>30.642916744453171</c:v>
                </c:pt>
                <c:pt idx="277">
                  <c:v>38.513884486388648</c:v>
                </c:pt>
                <c:pt idx="278">
                  <c:v>33.619256226227435</c:v>
                </c:pt>
                <c:pt idx="279">
                  <c:v>41.490223968162923</c:v>
                </c:pt>
                <c:pt idx="280">
                  <c:v>36.703522805059237</c:v>
                </c:pt>
                <c:pt idx="281">
                  <c:v>44.574490546994724</c:v>
                </c:pt>
                <c:pt idx="282">
                  <c:v>31.859539493684618</c:v>
                </c:pt>
                <c:pt idx="283">
                  <c:v>39.730507235620095</c:v>
                </c:pt>
                <c:pt idx="284">
                  <c:v>35.393879549763803</c:v>
                </c:pt>
                <c:pt idx="285">
                  <c:v>39.264847291699283</c:v>
                </c:pt>
                <c:pt idx="286">
                  <c:v>43.389847291699297</c:v>
                </c:pt>
                <c:pt idx="287">
                  <c:v>30.668347684286289</c:v>
                </c:pt>
                <c:pt idx="288">
                  <c:v>38.539315426221776</c:v>
                </c:pt>
                <c:pt idx="289">
                  <c:v>43.378524827931173</c:v>
                </c:pt>
                <c:pt idx="290">
                  <c:v>22.408746351502796</c:v>
                </c:pt>
                <c:pt idx="291">
                  <c:v>34.614397022670708</c:v>
                </c:pt>
                <c:pt idx="292">
                  <c:v>42.485364764606196</c:v>
                </c:pt>
                <c:pt idx="293">
                  <c:v>30.222570099593781</c:v>
                </c:pt>
                <c:pt idx="294">
                  <c:v>36.093537841529269</c:v>
                </c:pt>
                <c:pt idx="295">
                  <c:v>39.040751917775601</c:v>
                </c:pt>
                <c:pt idx="296">
                  <c:v>26.340941311715</c:v>
                </c:pt>
                <c:pt idx="297">
                  <c:v>32.21190905365048</c:v>
                </c:pt>
                <c:pt idx="298">
                  <c:v>30.735635536572268</c:v>
                </c:pt>
                <c:pt idx="299">
                  <c:v>38.606603278507755</c:v>
                </c:pt>
                <c:pt idx="300">
                  <c:v>37.461098562634987</c:v>
                </c:pt>
                <c:pt idx="301">
                  <c:v>41.332066304570475</c:v>
                </c:pt>
                <c:pt idx="302">
                  <c:v>35.403390419329021</c:v>
                </c:pt>
                <c:pt idx="303">
                  <c:v>39.274358161264502</c:v>
                </c:pt>
                <c:pt idx="304">
                  <c:v>34.614397022670708</c:v>
                </c:pt>
                <c:pt idx="305">
                  <c:v>42.485364764606196</c:v>
                </c:pt>
                <c:pt idx="306">
                  <c:v>38.650284746058439</c:v>
                </c:pt>
                <c:pt idx="307">
                  <c:v>46.521252487993912</c:v>
                </c:pt>
                <c:pt idx="308">
                  <c:v>30.222570099593781</c:v>
                </c:pt>
                <c:pt idx="309">
                  <c:v>36.093537841529269</c:v>
                </c:pt>
                <c:pt idx="310">
                  <c:v>39.040751917775601</c:v>
                </c:pt>
                <c:pt idx="311">
                  <c:v>46.911719659711089</c:v>
                </c:pt>
                <c:pt idx="312">
                  <c:v>26.340941311715</c:v>
                </c:pt>
                <c:pt idx="313">
                  <c:v>32.21190905365048</c:v>
                </c:pt>
                <c:pt idx="314">
                  <c:v>30.735635536572268</c:v>
                </c:pt>
                <c:pt idx="315">
                  <c:v>38.606603278507755</c:v>
                </c:pt>
                <c:pt idx="316">
                  <c:v>37.461098562634987</c:v>
                </c:pt>
                <c:pt idx="317">
                  <c:v>41.332066304570475</c:v>
                </c:pt>
                <c:pt idx="318">
                  <c:v>35.403390419329021</c:v>
                </c:pt>
                <c:pt idx="319">
                  <c:v>20.60469279538928</c:v>
                </c:pt>
                <c:pt idx="320">
                  <c:v>18.437957507730079</c:v>
                </c:pt>
                <c:pt idx="321">
                  <c:v>25.005398382422065</c:v>
                </c:pt>
                <c:pt idx="322">
                  <c:v>21.052198445385923</c:v>
                </c:pt>
                <c:pt idx="323">
                  <c:v>21.983106498061218</c:v>
                </c:pt>
                <c:pt idx="324">
                  <c:v>17.61375393352651</c:v>
                </c:pt>
                <c:pt idx="325">
                  <c:v>22.778088814595257</c:v>
                </c:pt>
                <c:pt idx="326">
                  <c:v>16.508128715832324</c:v>
                </c:pt>
                <c:pt idx="327">
                  <c:v>40.607438271568405</c:v>
                </c:pt>
                <c:pt idx="328">
                  <c:v>39.99849769523653</c:v>
                </c:pt>
                <c:pt idx="329">
                  <c:v>40.786401820097176</c:v>
                </c:pt>
                <c:pt idx="330">
                  <c:v>45.132690796820931</c:v>
                </c:pt>
                <c:pt idx="331">
                  <c:v>50.258709043806924</c:v>
                </c:pt>
                <c:pt idx="332">
                  <c:v>44.884447494229811</c:v>
                </c:pt>
                <c:pt idx="333">
                  <c:v>53.272695057792937</c:v>
                </c:pt>
                <c:pt idx="334">
                  <c:v>26.812533004072819</c:v>
                </c:pt>
                <c:pt idx="335">
                  <c:v>33.276630190760322</c:v>
                </c:pt>
                <c:pt idx="336">
                  <c:v>32.456117370247497</c:v>
                </c:pt>
                <c:pt idx="337">
                  <c:v>29.906831188746182</c:v>
                </c:pt>
                <c:pt idx="338">
                  <c:v>28.97036050363419</c:v>
                </c:pt>
                <c:pt idx="339">
                  <c:v>23.727159260432948</c:v>
                </c:pt>
                <c:pt idx="340">
                  <c:v>32.562313689337373</c:v>
                </c:pt>
                <c:pt idx="341">
                  <c:v>36.619034746058432</c:v>
                </c:pt>
                <c:pt idx="342">
                  <c:v>28.968149233103951</c:v>
                </c:pt>
                <c:pt idx="343">
                  <c:v>37.612818739842425</c:v>
                </c:pt>
                <c:pt idx="344">
                  <c:v>36.619034746058432</c:v>
                </c:pt>
                <c:pt idx="345">
                  <c:v>47.961320442070495</c:v>
                </c:pt>
                <c:pt idx="346">
                  <c:v>37.881661008684695</c:v>
                </c:pt>
                <c:pt idx="347">
                  <c:v>50.85438148730546</c:v>
                </c:pt>
                <c:pt idx="348">
                  <c:v>29.650618458864031</c:v>
                </c:pt>
                <c:pt idx="349">
                  <c:v>44.388474654600664</c:v>
                </c:pt>
                <c:pt idx="350">
                  <c:v>48.259442396536151</c:v>
                </c:pt>
                <c:pt idx="351">
                  <c:v>24.969583502857191</c:v>
                </c:pt>
                <c:pt idx="352">
                  <c:v>30.840551244792671</c:v>
                </c:pt>
                <c:pt idx="353">
                  <c:v>24.969583502857191</c:v>
                </c:pt>
                <c:pt idx="354">
                  <c:v>30.840551244792671</c:v>
                </c:pt>
                <c:pt idx="355">
                  <c:v>24.865416836190519</c:v>
                </c:pt>
                <c:pt idx="356">
                  <c:v>22.845214815988498</c:v>
                </c:pt>
                <c:pt idx="357">
                  <c:v>25.95948249275618</c:v>
                </c:pt>
                <c:pt idx="358">
                  <c:v>21.065020632777077</c:v>
                </c:pt>
                <c:pt idx="359">
                  <c:v>26.935988374712561</c:v>
                </c:pt>
                <c:pt idx="360">
                  <c:v>17.445702450958894</c:v>
                </c:pt>
                <c:pt idx="361">
                  <c:v>21.570071137827583</c:v>
                </c:pt>
              </c:numCache>
            </c:numRef>
          </c:xVal>
          <c:yVal>
            <c:numRef>
              <c:f>'Mobile Dataset Cleaned (PQ)'!$O$263:$O$624</c:f>
              <c:numCache>
                <c:formatCode>General</c:formatCode>
                <c:ptCount val="362"/>
                <c:pt idx="0">
                  <c:v>199</c:v>
                </c:pt>
                <c:pt idx="1">
                  <c:v>159</c:v>
                </c:pt>
                <c:pt idx="2">
                  <c:v>159</c:v>
                </c:pt>
                <c:pt idx="3">
                  <c:v>179</c:v>
                </c:pt>
                <c:pt idx="4">
                  <c:v>179</c:v>
                </c:pt>
                <c:pt idx="5">
                  <c:v>159</c:v>
                </c:pt>
                <c:pt idx="6">
                  <c:v>199</c:v>
                </c:pt>
                <c:pt idx="7">
                  <c:v>139</c:v>
                </c:pt>
                <c:pt idx="8">
                  <c:v>199</c:v>
                </c:pt>
                <c:pt idx="9">
                  <c:v>159</c:v>
                </c:pt>
                <c:pt idx="10">
                  <c:v>219</c:v>
                </c:pt>
                <c:pt idx="11">
                  <c:v>139</c:v>
                </c:pt>
                <c:pt idx="12">
                  <c:v>149</c:v>
                </c:pt>
                <c:pt idx="13">
                  <c:v>169</c:v>
                </c:pt>
                <c:pt idx="14">
                  <c:v>179</c:v>
                </c:pt>
                <c:pt idx="15">
                  <c:v>109</c:v>
                </c:pt>
                <c:pt idx="16">
                  <c:v>139</c:v>
                </c:pt>
                <c:pt idx="17">
                  <c:v>159</c:v>
                </c:pt>
                <c:pt idx="18">
                  <c:v>169</c:v>
                </c:pt>
                <c:pt idx="19">
                  <c:v>189</c:v>
                </c:pt>
                <c:pt idx="20">
                  <c:v>79</c:v>
                </c:pt>
                <c:pt idx="21">
                  <c:v>199</c:v>
                </c:pt>
                <c:pt idx="22">
                  <c:v>109</c:v>
                </c:pt>
                <c:pt idx="23">
                  <c:v>229</c:v>
                </c:pt>
                <c:pt idx="24">
                  <c:v>249</c:v>
                </c:pt>
                <c:pt idx="25">
                  <c:v>159</c:v>
                </c:pt>
                <c:pt idx="26">
                  <c:v>279</c:v>
                </c:pt>
                <c:pt idx="27">
                  <c:v>99</c:v>
                </c:pt>
                <c:pt idx="28">
                  <c:v>549</c:v>
                </c:pt>
                <c:pt idx="29">
                  <c:v>379</c:v>
                </c:pt>
                <c:pt idx="30">
                  <c:v>399</c:v>
                </c:pt>
                <c:pt idx="31">
                  <c:v>449</c:v>
                </c:pt>
                <c:pt idx="32">
                  <c:v>399</c:v>
                </c:pt>
                <c:pt idx="33">
                  <c:v>289</c:v>
                </c:pt>
                <c:pt idx="34">
                  <c:v>449</c:v>
                </c:pt>
                <c:pt idx="35">
                  <c:v>349</c:v>
                </c:pt>
                <c:pt idx="36">
                  <c:v>319</c:v>
                </c:pt>
                <c:pt idx="37">
                  <c:v>349</c:v>
                </c:pt>
                <c:pt idx="38">
                  <c:v>379</c:v>
                </c:pt>
                <c:pt idx="39">
                  <c:v>399</c:v>
                </c:pt>
                <c:pt idx="40">
                  <c:v>329</c:v>
                </c:pt>
                <c:pt idx="41">
                  <c:v>239</c:v>
                </c:pt>
                <c:pt idx="42">
                  <c:v>349</c:v>
                </c:pt>
                <c:pt idx="43">
                  <c:v>379</c:v>
                </c:pt>
                <c:pt idx="44">
                  <c:v>399</c:v>
                </c:pt>
                <c:pt idx="45">
                  <c:v>239</c:v>
                </c:pt>
                <c:pt idx="46">
                  <c:v>349</c:v>
                </c:pt>
                <c:pt idx="47">
                  <c:v>399</c:v>
                </c:pt>
                <c:pt idx="48">
                  <c:v>449</c:v>
                </c:pt>
                <c:pt idx="49">
                  <c:v>199</c:v>
                </c:pt>
                <c:pt idx="50">
                  <c:v>229</c:v>
                </c:pt>
                <c:pt idx="51">
                  <c:v>249</c:v>
                </c:pt>
                <c:pt idx="52">
                  <c:v>149</c:v>
                </c:pt>
                <c:pt idx="53">
                  <c:v>199</c:v>
                </c:pt>
                <c:pt idx="54">
                  <c:v>179</c:v>
                </c:pt>
                <c:pt idx="55">
                  <c:v>149</c:v>
                </c:pt>
                <c:pt idx="56">
                  <c:v>219</c:v>
                </c:pt>
                <c:pt idx="57">
                  <c:v>249</c:v>
                </c:pt>
                <c:pt idx="58">
                  <c:v>299</c:v>
                </c:pt>
                <c:pt idx="59">
                  <c:v>499</c:v>
                </c:pt>
                <c:pt idx="60">
                  <c:v>549</c:v>
                </c:pt>
                <c:pt idx="61">
                  <c:v>599</c:v>
                </c:pt>
                <c:pt idx="62">
                  <c:v>429</c:v>
                </c:pt>
                <c:pt idx="63">
                  <c:v>479</c:v>
                </c:pt>
                <c:pt idx="64">
                  <c:v>199</c:v>
                </c:pt>
                <c:pt idx="65">
                  <c:v>249</c:v>
                </c:pt>
                <c:pt idx="66">
                  <c:v>199</c:v>
                </c:pt>
                <c:pt idx="67">
                  <c:v>229</c:v>
                </c:pt>
                <c:pt idx="68">
                  <c:v>249</c:v>
                </c:pt>
                <c:pt idx="69">
                  <c:v>279</c:v>
                </c:pt>
                <c:pt idx="70">
                  <c:v>149</c:v>
                </c:pt>
                <c:pt idx="71">
                  <c:v>179</c:v>
                </c:pt>
                <c:pt idx="72">
                  <c:v>320</c:v>
                </c:pt>
                <c:pt idx="73">
                  <c:v>370</c:v>
                </c:pt>
                <c:pt idx="74">
                  <c:v>200</c:v>
                </c:pt>
                <c:pt idx="75">
                  <c:v>250</c:v>
                </c:pt>
                <c:pt idx="76">
                  <c:v>250</c:v>
                </c:pt>
                <c:pt idx="77">
                  <c:v>300</c:v>
                </c:pt>
                <c:pt idx="78">
                  <c:v>320</c:v>
                </c:pt>
                <c:pt idx="79">
                  <c:v>370</c:v>
                </c:pt>
                <c:pt idx="80">
                  <c:v>150</c:v>
                </c:pt>
                <c:pt idx="81">
                  <c:v>180</c:v>
                </c:pt>
                <c:pt idx="82">
                  <c:v>300</c:v>
                </c:pt>
                <c:pt idx="83">
                  <c:v>350</c:v>
                </c:pt>
                <c:pt idx="84">
                  <c:v>349</c:v>
                </c:pt>
                <c:pt idx="85">
                  <c:v>399</c:v>
                </c:pt>
                <c:pt idx="86">
                  <c:v>199</c:v>
                </c:pt>
                <c:pt idx="87">
                  <c:v>179</c:v>
                </c:pt>
                <c:pt idx="88">
                  <c:v>199</c:v>
                </c:pt>
                <c:pt idx="89">
                  <c:v>249</c:v>
                </c:pt>
                <c:pt idx="90">
                  <c:v>999</c:v>
                </c:pt>
                <c:pt idx="91">
                  <c:v>1099</c:v>
                </c:pt>
                <c:pt idx="92">
                  <c:v>1199</c:v>
                </c:pt>
                <c:pt idx="93">
                  <c:v>1499</c:v>
                </c:pt>
                <c:pt idx="94">
                  <c:v>1499</c:v>
                </c:pt>
                <c:pt idx="95">
                  <c:v>699</c:v>
                </c:pt>
                <c:pt idx="96">
                  <c:v>749</c:v>
                </c:pt>
                <c:pt idx="97">
                  <c:v>499</c:v>
                </c:pt>
                <c:pt idx="98">
                  <c:v>549</c:v>
                </c:pt>
                <c:pt idx="99">
                  <c:v>549</c:v>
                </c:pt>
                <c:pt idx="100">
                  <c:v>599</c:v>
                </c:pt>
                <c:pt idx="101">
                  <c:v>299</c:v>
                </c:pt>
                <c:pt idx="102">
                  <c:v>349</c:v>
                </c:pt>
                <c:pt idx="103">
                  <c:v>299</c:v>
                </c:pt>
                <c:pt idx="104">
                  <c:v>349</c:v>
                </c:pt>
                <c:pt idx="105">
                  <c:v>399</c:v>
                </c:pt>
                <c:pt idx="106">
                  <c:v>449</c:v>
                </c:pt>
                <c:pt idx="107">
                  <c:v>300</c:v>
                </c:pt>
                <c:pt idx="108">
                  <c:v>350</c:v>
                </c:pt>
                <c:pt idx="109">
                  <c:v>400</c:v>
                </c:pt>
                <c:pt idx="110">
                  <c:v>450</c:v>
                </c:pt>
                <c:pt idx="111">
                  <c:v>270</c:v>
                </c:pt>
                <c:pt idx="112">
                  <c:v>320</c:v>
                </c:pt>
                <c:pt idx="113">
                  <c:v>450</c:v>
                </c:pt>
                <c:pt idx="114">
                  <c:v>500</c:v>
                </c:pt>
                <c:pt idx="115">
                  <c:v>999</c:v>
                </c:pt>
                <c:pt idx="116">
                  <c:v>300</c:v>
                </c:pt>
                <c:pt idx="117">
                  <c:v>350</c:v>
                </c:pt>
                <c:pt idx="118">
                  <c:v>450</c:v>
                </c:pt>
                <c:pt idx="119">
                  <c:v>500</c:v>
                </c:pt>
                <c:pt idx="120">
                  <c:v>499</c:v>
                </c:pt>
                <c:pt idx="121">
                  <c:v>549</c:v>
                </c:pt>
                <c:pt idx="122">
                  <c:v>399</c:v>
                </c:pt>
                <c:pt idx="123">
                  <c:v>449</c:v>
                </c:pt>
                <c:pt idx="124">
                  <c:v>299</c:v>
                </c:pt>
                <c:pt idx="125">
                  <c:v>279</c:v>
                </c:pt>
                <c:pt idx="126">
                  <c:v>229</c:v>
                </c:pt>
                <c:pt idx="127">
                  <c:v>169</c:v>
                </c:pt>
                <c:pt idx="128">
                  <c:v>189</c:v>
                </c:pt>
                <c:pt idx="129">
                  <c:v>139</c:v>
                </c:pt>
                <c:pt idx="130">
                  <c:v>159</c:v>
                </c:pt>
                <c:pt idx="131">
                  <c:v>169</c:v>
                </c:pt>
                <c:pt idx="132">
                  <c:v>189</c:v>
                </c:pt>
                <c:pt idx="133">
                  <c:v>119</c:v>
                </c:pt>
                <c:pt idx="134">
                  <c:v>139</c:v>
                </c:pt>
                <c:pt idx="135">
                  <c:v>239</c:v>
                </c:pt>
                <c:pt idx="136">
                  <c:v>396</c:v>
                </c:pt>
                <c:pt idx="137">
                  <c:v>249</c:v>
                </c:pt>
                <c:pt idx="138">
                  <c:v>199</c:v>
                </c:pt>
                <c:pt idx="139">
                  <c:v>179</c:v>
                </c:pt>
                <c:pt idx="140">
                  <c:v>179</c:v>
                </c:pt>
                <c:pt idx="141">
                  <c:v>799</c:v>
                </c:pt>
                <c:pt idx="142">
                  <c:v>699</c:v>
                </c:pt>
                <c:pt idx="143">
                  <c:v>699</c:v>
                </c:pt>
                <c:pt idx="144">
                  <c:v>599</c:v>
                </c:pt>
                <c:pt idx="145">
                  <c:v>499</c:v>
                </c:pt>
                <c:pt idx="146">
                  <c:v>1099</c:v>
                </c:pt>
                <c:pt idx="147">
                  <c:v>899</c:v>
                </c:pt>
                <c:pt idx="148">
                  <c:v>749</c:v>
                </c:pt>
                <c:pt idx="149">
                  <c:v>699</c:v>
                </c:pt>
                <c:pt idx="150">
                  <c:v>599</c:v>
                </c:pt>
                <c:pt idx="151">
                  <c:v>899</c:v>
                </c:pt>
                <c:pt idx="152">
                  <c:v>749</c:v>
                </c:pt>
                <c:pt idx="153">
                  <c:v>649</c:v>
                </c:pt>
                <c:pt idx="154">
                  <c:v>599</c:v>
                </c:pt>
                <c:pt idx="155">
                  <c:v>749</c:v>
                </c:pt>
                <c:pt idx="156">
                  <c:v>599</c:v>
                </c:pt>
                <c:pt idx="157">
                  <c:v>749</c:v>
                </c:pt>
                <c:pt idx="158">
                  <c:v>699</c:v>
                </c:pt>
                <c:pt idx="159">
                  <c:v>649</c:v>
                </c:pt>
                <c:pt idx="160">
                  <c:v>599</c:v>
                </c:pt>
                <c:pt idx="161">
                  <c:v>799</c:v>
                </c:pt>
                <c:pt idx="162">
                  <c:v>649</c:v>
                </c:pt>
                <c:pt idx="163">
                  <c:v>849</c:v>
                </c:pt>
                <c:pt idx="164">
                  <c:v>799</c:v>
                </c:pt>
                <c:pt idx="165">
                  <c:v>799</c:v>
                </c:pt>
                <c:pt idx="166">
                  <c:v>599</c:v>
                </c:pt>
                <c:pt idx="167">
                  <c:v>599</c:v>
                </c:pt>
                <c:pt idx="168">
                  <c:v>899</c:v>
                </c:pt>
                <c:pt idx="169">
                  <c:v>799</c:v>
                </c:pt>
                <c:pt idx="170">
                  <c:v>899</c:v>
                </c:pt>
                <c:pt idx="171">
                  <c:v>849</c:v>
                </c:pt>
                <c:pt idx="172">
                  <c:v>799</c:v>
                </c:pt>
                <c:pt idx="173">
                  <c:v>899</c:v>
                </c:pt>
                <c:pt idx="174">
                  <c:v>849</c:v>
                </c:pt>
                <c:pt idx="175">
                  <c:v>499</c:v>
                </c:pt>
                <c:pt idx="176">
                  <c:v>549</c:v>
                </c:pt>
                <c:pt idx="177">
                  <c:v>799</c:v>
                </c:pt>
                <c:pt idx="178">
                  <c:v>399</c:v>
                </c:pt>
                <c:pt idx="179">
                  <c:v>299</c:v>
                </c:pt>
                <c:pt idx="180">
                  <c:v>399</c:v>
                </c:pt>
                <c:pt idx="181">
                  <c:v>349</c:v>
                </c:pt>
                <c:pt idx="182">
                  <c:v>249</c:v>
                </c:pt>
                <c:pt idx="183">
                  <c:v>299</c:v>
                </c:pt>
                <c:pt idx="184">
                  <c:v>349</c:v>
                </c:pt>
                <c:pt idx="185">
                  <c:v>299</c:v>
                </c:pt>
                <c:pt idx="186">
                  <c:v>399</c:v>
                </c:pt>
                <c:pt idx="187">
                  <c:v>299</c:v>
                </c:pt>
                <c:pt idx="188">
                  <c:v>599</c:v>
                </c:pt>
                <c:pt idx="189">
                  <c:v>299</c:v>
                </c:pt>
                <c:pt idx="190">
                  <c:v>499</c:v>
                </c:pt>
                <c:pt idx="191">
                  <c:v>499</c:v>
                </c:pt>
                <c:pt idx="192">
                  <c:v>499</c:v>
                </c:pt>
                <c:pt idx="193">
                  <c:v>399</c:v>
                </c:pt>
                <c:pt idx="194">
                  <c:v>449</c:v>
                </c:pt>
                <c:pt idx="195">
                  <c:v>499</c:v>
                </c:pt>
                <c:pt idx="196">
                  <c:v>399</c:v>
                </c:pt>
                <c:pt idx="197">
                  <c:v>449</c:v>
                </c:pt>
                <c:pt idx="198">
                  <c:v>499</c:v>
                </c:pt>
                <c:pt idx="199">
                  <c:v>399</c:v>
                </c:pt>
                <c:pt idx="200">
                  <c:v>199</c:v>
                </c:pt>
                <c:pt idx="201">
                  <c:v>229</c:v>
                </c:pt>
                <c:pt idx="202">
                  <c:v>249</c:v>
                </c:pt>
                <c:pt idx="203">
                  <c:v>199</c:v>
                </c:pt>
                <c:pt idx="204">
                  <c:v>189</c:v>
                </c:pt>
                <c:pt idx="205">
                  <c:v>219</c:v>
                </c:pt>
                <c:pt idx="206">
                  <c:v>179</c:v>
                </c:pt>
                <c:pt idx="207">
                  <c:v>169</c:v>
                </c:pt>
                <c:pt idx="208">
                  <c:v>149</c:v>
                </c:pt>
                <c:pt idx="209">
                  <c:v>139</c:v>
                </c:pt>
                <c:pt idx="210">
                  <c:v>129</c:v>
                </c:pt>
                <c:pt idx="211">
                  <c:v>199</c:v>
                </c:pt>
                <c:pt idx="212">
                  <c:v>229</c:v>
                </c:pt>
                <c:pt idx="213">
                  <c:v>199</c:v>
                </c:pt>
                <c:pt idx="214">
                  <c:v>199</c:v>
                </c:pt>
                <c:pt idx="215">
                  <c:v>1399</c:v>
                </c:pt>
                <c:pt idx="216">
                  <c:v>999</c:v>
                </c:pt>
                <c:pt idx="217">
                  <c:v>1299</c:v>
                </c:pt>
                <c:pt idx="218">
                  <c:v>1099</c:v>
                </c:pt>
                <c:pt idx="219">
                  <c:v>899</c:v>
                </c:pt>
                <c:pt idx="220">
                  <c:v>999</c:v>
                </c:pt>
                <c:pt idx="221">
                  <c:v>499</c:v>
                </c:pt>
                <c:pt idx="222">
                  <c:v>599</c:v>
                </c:pt>
                <c:pt idx="223">
                  <c:v>1199</c:v>
                </c:pt>
                <c:pt idx="224">
                  <c:v>1299</c:v>
                </c:pt>
                <c:pt idx="225">
                  <c:v>1099</c:v>
                </c:pt>
                <c:pt idx="226">
                  <c:v>1199</c:v>
                </c:pt>
                <c:pt idx="227">
                  <c:v>999</c:v>
                </c:pt>
                <c:pt idx="228">
                  <c:v>1099</c:v>
                </c:pt>
                <c:pt idx="229">
                  <c:v>899</c:v>
                </c:pt>
                <c:pt idx="230">
                  <c:v>999</c:v>
                </c:pt>
                <c:pt idx="231">
                  <c:v>899</c:v>
                </c:pt>
                <c:pt idx="232">
                  <c:v>999</c:v>
                </c:pt>
                <c:pt idx="233">
                  <c:v>799</c:v>
                </c:pt>
                <c:pt idx="234">
                  <c:v>899</c:v>
                </c:pt>
                <c:pt idx="235">
                  <c:v>999</c:v>
                </c:pt>
                <c:pt idx="236">
                  <c:v>1099</c:v>
                </c:pt>
                <c:pt idx="237">
                  <c:v>699</c:v>
                </c:pt>
                <c:pt idx="238">
                  <c:v>649</c:v>
                </c:pt>
                <c:pt idx="239">
                  <c:v>599</c:v>
                </c:pt>
                <c:pt idx="240">
                  <c:v>599</c:v>
                </c:pt>
                <c:pt idx="241">
                  <c:v>799</c:v>
                </c:pt>
                <c:pt idx="242">
                  <c:v>699</c:v>
                </c:pt>
                <c:pt idx="243">
                  <c:v>449</c:v>
                </c:pt>
                <c:pt idx="244">
                  <c:v>449</c:v>
                </c:pt>
                <c:pt idx="245">
                  <c:v>749</c:v>
                </c:pt>
                <c:pt idx="246">
                  <c:v>599</c:v>
                </c:pt>
                <c:pt idx="247">
                  <c:v>499</c:v>
                </c:pt>
                <c:pt idx="248">
                  <c:v>699</c:v>
                </c:pt>
                <c:pt idx="249">
                  <c:v>599</c:v>
                </c:pt>
                <c:pt idx="250">
                  <c:v>699</c:v>
                </c:pt>
                <c:pt idx="251">
                  <c:v>449</c:v>
                </c:pt>
                <c:pt idx="252">
                  <c:v>499</c:v>
                </c:pt>
                <c:pt idx="253">
                  <c:v>699</c:v>
                </c:pt>
                <c:pt idx="254">
                  <c:v>799</c:v>
                </c:pt>
                <c:pt idx="255">
                  <c:v>499</c:v>
                </c:pt>
                <c:pt idx="256">
                  <c:v>549</c:v>
                </c:pt>
                <c:pt idx="257">
                  <c:v>599</c:v>
                </c:pt>
                <c:pt idx="258">
                  <c:v>699</c:v>
                </c:pt>
                <c:pt idx="259">
                  <c:v>549</c:v>
                </c:pt>
                <c:pt idx="260">
                  <c:v>599</c:v>
                </c:pt>
                <c:pt idx="261">
                  <c:v>699</c:v>
                </c:pt>
                <c:pt idx="262">
                  <c:v>799</c:v>
                </c:pt>
                <c:pt idx="263">
                  <c:v>499</c:v>
                </c:pt>
                <c:pt idx="264">
                  <c:v>549</c:v>
                </c:pt>
                <c:pt idx="265">
                  <c:v>599</c:v>
                </c:pt>
                <c:pt idx="266">
                  <c:v>449</c:v>
                </c:pt>
                <c:pt idx="267">
                  <c:v>499</c:v>
                </c:pt>
                <c:pt idx="268">
                  <c:v>599</c:v>
                </c:pt>
                <c:pt idx="269">
                  <c:v>399</c:v>
                </c:pt>
                <c:pt idx="270">
                  <c:v>449</c:v>
                </c:pt>
                <c:pt idx="271">
                  <c:v>549</c:v>
                </c:pt>
                <c:pt idx="272">
                  <c:v>599</c:v>
                </c:pt>
                <c:pt idx="273">
                  <c:v>349</c:v>
                </c:pt>
                <c:pt idx="274">
                  <c:v>399</c:v>
                </c:pt>
                <c:pt idx="275">
                  <c:v>499</c:v>
                </c:pt>
                <c:pt idx="276">
                  <c:v>349</c:v>
                </c:pt>
                <c:pt idx="277">
                  <c:v>399</c:v>
                </c:pt>
                <c:pt idx="278">
                  <c:v>449</c:v>
                </c:pt>
                <c:pt idx="279">
                  <c:v>499</c:v>
                </c:pt>
                <c:pt idx="280">
                  <c:v>299</c:v>
                </c:pt>
                <c:pt idx="281">
                  <c:v>349</c:v>
                </c:pt>
                <c:pt idx="282">
                  <c:v>399</c:v>
                </c:pt>
                <c:pt idx="283">
                  <c:v>449</c:v>
                </c:pt>
                <c:pt idx="284">
                  <c:v>299</c:v>
                </c:pt>
                <c:pt idx="285">
                  <c:v>349</c:v>
                </c:pt>
                <c:pt idx="286">
                  <c:v>499</c:v>
                </c:pt>
                <c:pt idx="287">
                  <c:v>249</c:v>
                </c:pt>
                <c:pt idx="288">
                  <c:v>299</c:v>
                </c:pt>
                <c:pt idx="289">
                  <c:v>499</c:v>
                </c:pt>
                <c:pt idx="290">
                  <c:v>219</c:v>
                </c:pt>
                <c:pt idx="291">
                  <c:v>199</c:v>
                </c:pt>
                <c:pt idx="292">
                  <c:v>229</c:v>
                </c:pt>
                <c:pt idx="293">
                  <c:v>199</c:v>
                </c:pt>
                <c:pt idx="294">
                  <c:v>229</c:v>
                </c:pt>
                <c:pt idx="295">
                  <c:v>249</c:v>
                </c:pt>
                <c:pt idx="296">
                  <c:v>199</c:v>
                </c:pt>
                <c:pt idx="297">
                  <c:v>229</c:v>
                </c:pt>
                <c:pt idx="298">
                  <c:v>299</c:v>
                </c:pt>
                <c:pt idx="299">
                  <c:v>329</c:v>
                </c:pt>
                <c:pt idx="300">
                  <c:v>279</c:v>
                </c:pt>
                <c:pt idx="301">
                  <c:v>299</c:v>
                </c:pt>
                <c:pt idx="302">
                  <c:v>279</c:v>
                </c:pt>
                <c:pt idx="303">
                  <c:v>299</c:v>
                </c:pt>
                <c:pt idx="304">
                  <c:v>199</c:v>
                </c:pt>
                <c:pt idx="305">
                  <c:v>229</c:v>
                </c:pt>
                <c:pt idx="306">
                  <c:v>259</c:v>
                </c:pt>
                <c:pt idx="307">
                  <c:v>299</c:v>
                </c:pt>
                <c:pt idx="308">
                  <c:v>199</c:v>
                </c:pt>
                <c:pt idx="309">
                  <c:v>229</c:v>
                </c:pt>
                <c:pt idx="310">
                  <c:v>249</c:v>
                </c:pt>
                <c:pt idx="311">
                  <c:v>279</c:v>
                </c:pt>
                <c:pt idx="312">
                  <c:v>199</c:v>
                </c:pt>
                <c:pt idx="313">
                  <c:v>229</c:v>
                </c:pt>
                <c:pt idx="314">
                  <c:v>299</c:v>
                </c:pt>
                <c:pt idx="315">
                  <c:v>329</c:v>
                </c:pt>
                <c:pt idx="316">
                  <c:v>279</c:v>
                </c:pt>
                <c:pt idx="317">
                  <c:v>299</c:v>
                </c:pt>
                <c:pt idx="318">
                  <c:v>279</c:v>
                </c:pt>
                <c:pt idx="319">
                  <c:v>149</c:v>
                </c:pt>
                <c:pt idx="320">
                  <c:v>199</c:v>
                </c:pt>
                <c:pt idx="321">
                  <c:v>219</c:v>
                </c:pt>
                <c:pt idx="322">
                  <c:v>199</c:v>
                </c:pt>
                <c:pt idx="323">
                  <c:v>229</c:v>
                </c:pt>
                <c:pt idx="324">
                  <c:v>199</c:v>
                </c:pt>
                <c:pt idx="325">
                  <c:v>219</c:v>
                </c:pt>
                <c:pt idx="326">
                  <c:v>149</c:v>
                </c:pt>
                <c:pt idx="327">
                  <c:v>499</c:v>
                </c:pt>
                <c:pt idx="328">
                  <c:v>349</c:v>
                </c:pt>
                <c:pt idx="329">
                  <c:v>349</c:v>
                </c:pt>
                <c:pt idx="330">
                  <c:v>499</c:v>
                </c:pt>
                <c:pt idx="331">
                  <c:v>499</c:v>
                </c:pt>
                <c:pt idx="332">
                  <c:v>449</c:v>
                </c:pt>
                <c:pt idx="333">
                  <c:v>549</c:v>
                </c:pt>
                <c:pt idx="334">
                  <c:v>199</c:v>
                </c:pt>
                <c:pt idx="335">
                  <c:v>229</c:v>
                </c:pt>
                <c:pt idx="336">
                  <c:v>249</c:v>
                </c:pt>
                <c:pt idx="337">
                  <c:v>399</c:v>
                </c:pt>
                <c:pt idx="338">
                  <c:v>279</c:v>
                </c:pt>
                <c:pt idx="339">
                  <c:v>219</c:v>
                </c:pt>
                <c:pt idx="340">
                  <c:v>299</c:v>
                </c:pt>
                <c:pt idx="341">
                  <c:v>349</c:v>
                </c:pt>
                <c:pt idx="342">
                  <c:v>279</c:v>
                </c:pt>
                <c:pt idx="343">
                  <c:v>329</c:v>
                </c:pt>
                <c:pt idx="344">
                  <c:v>349</c:v>
                </c:pt>
                <c:pt idx="345">
                  <c:v>399</c:v>
                </c:pt>
                <c:pt idx="346">
                  <c:v>329</c:v>
                </c:pt>
                <c:pt idx="347">
                  <c:v>399</c:v>
                </c:pt>
                <c:pt idx="348">
                  <c:v>229</c:v>
                </c:pt>
                <c:pt idx="349">
                  <c:v>280</c:v>
                </c:pt>
                <c:pt idx="350">
                  <c:v>300</c:v>
                </c:pt>
                <c:pt idx="351">
                  <c:v>220</c:v>
                </c:pt>
                <c:pt idx="352">
                  <c:v>240</c:v>
                </c:pt>
                <c:pt idx="353">
                  <c:v>200</c:v>
                </c:pt>
                <c:pt idx="354">
                  <c:v>220</c:v>
                </c:pt>
                <c:pt idx="355">
                  <c:v>180</c:v>
                </c:pt>
                <c:pt idx="356">
                  <c:v>160</c:v>
                </c:pt>
                <c:pt idx="357">
                  <c:v>210</c:v>
                </c:pt>
                <c:pt idx="358">
                  <c:v>160</c:v>
                </c:pt>
                <c:pt idx="359">
                  <c:v>180</c:v>
                </c:pt>
                <c:pt idx="360">
                  <c:v>130</c:v>
                </c:pt>
                <c:pt idx="361">
                  <c:v>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41-4E41-AB5F-B3A2E5C339E3}"/>
            </c:ext>
          </c:extLst>
        </c:ser>
        <c:ser>
          <c:idx val="2"/>
          <c:order val="2"/>
          <c:tx>
            <c:v>Mid-range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'Mobile Dataset Cleaned (PQ)'!$S$625:$S$931</c:f>
              <c:numCache>
                <c:formatCode>General</c:formatCode>
                <c:ptCount val="307"/>
                <c:pt idx="0">
                  <c:v>27.441038879763067</c:v>
                </c:pt>
                <c:pt idx="1">
                  <c:v>21.065020632777077</c:v>
                </c:pt>
                <c:pt idx="2">
                  <c:v>22.413019855776302</c:v>
                </c:pt>
                <c:pt idx="3">
                  <c:v>28.283987597711786</c:v>
                </c:pt>
                <c:pt idx="4">
                  <c:v>25.295670459378925</c:v>
                </c:pt>
                <c:pt idx="5">
                  <c:v>24.865416836190519</c:v>
                </c:pt>
                <c:pt idx="6">
                  <c:v>21.852886479724273</c:v>
                </c:pt>
                <c:pt idx="7">
                  <c:v>25.788370350692013</c:v>
                </c:pt>
                <c:pt idx="8">
                  <c:v>32.018854540415333</c:v>
                </c:pt>
                <c:pt idx="9">
                  <c:v>37.889822282350821</c:v>
                </c:pt>
                <c:pt idx="10">
                  <c:v>22.357936984774778</c:v>
                </c:pt>
                <c:pt idx="11">
                  <c:v>26.293420855742518</c:v>
                </c:pt>
                <c:pt idx="12">
                  <c:v>15.950714978720127</c:v>
                </c:pt>
                <c:pt idx="13">
                  <c:v>17.918456914203997</c:v>
                </c:pt>
                <c:pt idx="14">
                  <c:v>21.852886479724273</c:v>
                </c:pt>
                <c:pt idx="15">
                  <c:v>25.788370350692013</c:v>
                </c:pt>
                <c:pt idx="16">
                  <c:v>22.625147129702313</c:v>
                </c:pt>
                <c:pt idx="17">
                  <c:v>26.560631000670053</c:v>
                </c:pt>
                <c:pt idx="18">
                  <c:v>53.299705373739933</c:v>
                </c:pt>
                <c:pt idx="19">
                  <c:v>61.170673115675413</c:v>
                </c:pt>
                <c:pt idx="20">
                  <c:v>49.922840775735907</c:v>
                </c:pt>
                <c:pt idx="21">
                  <c:v>57.79380851767138</c:v>
                </c:pt>
                <c:pt idx="22">
                  <c:v>69.535744001542355</c:v>
                </c:pt>
                <c:pt idx="23">
                  <c:v>45.938347227055701</c:v>
                </c:pt>
                <c:pt idx="24">
                  <c:v>53.809314968991181</c:v>
                </c:pt>
                <c:pt idx="25">
                  <c:v>45.671137082128162</c:v>
                </c:pt>
                <c:pt idx="26">
                  <c:v>53.542104824063642</c:v>
                </c:pt>
                <c:pt idx="27">
                  <c:v>42.852133705028834</c:v>
                </c:pt>
                <c:pt idx="28">
                  <c:v>46.723101446964307</c:v>
                </c:pt>
                <c:pt idx="29">
                  <c:v>45.801478451643796</c:v>
                </c:pt>
                <c:pt idx="30">
                  <c:v>53.543413935514756</c:v>
                </c:pt>
                <c:pt idx="31">
                  <c:v>36.963956581469397</c:v>
                </c:pt>
                <c:pt idx="32">
                  <c:v>40.834924323404884</c:v>
                </c:pt>
                <c:pt idx="33">
                  <c:v>32.752943862304505</c:v>
                </c:pt>
                <c:pt idx="34">
                  <c:v>38.623911604239986</c:v>
                </c:pt>
                <c:pt idx="35">
                  <c:v>33.936123906897592</c:v>
                </c:pt>
                <c:pt idx="36">
                  <c:v>37.807091648833072</c:v>
                </c:pt>
                <c:pt idx="37">
                  <c:v>34.47054419675267</c:v>
                </c:pt>
                <c:pt idx="38">
                  <c:v>42.34151193868815</c:v>
                </c:pt>
                <c:pt idx="39">
                  <c:v>49.460475184338051</c:v>
                </c:pt>
                <c:pt idx="40">
                  <c:v>61.202410668209026</c:v>
                </c:pt>
                <c:pt idx="41">
                  <c:v>38.813328224319299</c:v>
                </c:pt>
                <c:pt idx="42">
                  <c:v>46.684295966254787</c:v>
                </c:pt>
                <c:pt idx="43">
                  <c:v>50.723101446964321</c:v>
                </c:pt>
                <c:pt idx="44">
                  <c:v>62.465036930835282</c:v>
                </c:pt>
                <c:pt idx="45">
                  <c:v>34.68344240965088</c:v>
                </c:pt>
                <c:pt idx="46">
                  <c:v>42.55441015158636</c:v>
                </c:pt>
                <c:pt idx="47">
                  <c:v>27.727159260432948</c:v>
                </c:pt>
                <c:pt idx="48">
                  <c:v>31.598127002368429</c:v>
                </c:pt>
                <c:pt idx="49">
                  <c:v>28.053246216954683</c:v>
                </c:pt>
                <c:pt idx="50">
                  <c:v>26.115525683282129</c:v>
                </c:pt>
                <c:pt idx="51">
                  <c:v>31.986493425217613</c:v>
                </c:pt>
                <c:pt idx="52">
                  <c:v>26.053246216954683</c:v>
                </c:pt>
                <c:pt idx="53">
                  <c:v>31.924213958890171</c:v>
                </c:pt>
                <c:pt idx="54">
                  <c:v>39.912911008684695</c:v>
                </c:pt>
                <c:pt idx="55">
                  <c:v>47.783878750620183</c:v>
                </c:pt>
                <c:pt idx="56">
                  <c:v>32.331793442326884</c:v>
                </c:pt>
                <c:pt idx="57">
                  <c:v>36.267277313294628</c:v>
                </c:pt>
                <c:pt idx="58">
                  <c:v>24.348175456880178</c:v>
                </c:pt>
                <c:pt idx="59">
                  <c:v>28.219143198815662</c:v>
                </c:pt>
                <c:pt idx="60">
                  <c:v>12.84301605071966</c:v>
                </c:pt>
                <c:pt idx="61">
                  <c:v>14.7784999216874</c:v>
                </c:pt>
                <c:pt idx="62">
                  <c:v>14.452180946709889</c:v>
                </c:pt>
                <c:pt idx="63">
                  <c:v>9.8980510332284037</c:v>
                </c:pt>
                <c:pt idx="64">
                  <c:v>10.825260723837646</c:v>
                </c:pt>
                <c:pt idx="65">
                  <c:v>4.5838164105592893</c:v>
                </c:pt>
                <c:pt idx="66">
                  <c:v>18.024974095589997</c:v>
                </c:pt>
                <c:pt idx="67">
                  <c:v>13.5610687376629</c:v>
                </c:pt>
                <c:pt idx="68">
                  <c:v>8.5417777660910144</c:v>
                </c:pt>
                <c:pt idx="69">
                  <c:v>18.817003852855883</c:v>
                </c:pt>
                <c:pt idx="70">
                  <c:v>21.341985680124072</c:v>
                </c:pt>
                <c:pt idx="71">
                  <c:v>12.303807371917468</c:v>
                </c:pt>
                <c:pt idx="72">
                  <c:v>10.703804347826086</c:v>
                </c:pt>
                <c:pt idx="73">
                  <c:v>8.7688296003513386</c:v>
                </c:pt>
                <c:pt idx="74">
                  <c:v>56.614912790427859</c:v>
                </c:pt>
                <c:pt idx="75">
                  <c:v>60.485880532363339</c:v>
                </c:pt>
                <c:pt idx="76">
                  <c:v>44.388184808265095</c:v>
                </c:pt>
                <c:pt idx="77">
                  <c:v>48.259152550200568</c:v>
                </c:pt>
                <c:pt idx="78">
                  <c:v>42.563003648844806</c:v>
                </c:pt>
                <c:pt idx="79">
                  <c:v>46.433971390780286</c:v>
                </c:pt>
                <c:pt idx="80">
                  <c:v>56.614912790427859</c:v>
                </c:pt>
                <c:pt idx="81">
                  <c:v>60.485880532363339</c:v>
                </c:pt>
                <c:pt idx="82">
                  <c:v>44.22514133000422</c:v>
                </c:pt>
                <c:pt idx="83">
                  <c:v>48.096109071939701</c:v>
                </c:pt>
                <c:pt idx="84">
                  <c:v>42.399960170583938</c:v>
                </c:pt>
                <c:pt idx="85">
                  <c:v>46.270927912519419</c:v>
                </c:pt>
                <c:pt idx="86">
                  <c:v>49.02688396101972</c:v>
                </c:pt>
                <c:pt idx="87">
                  <c:v>52.897851702955201</c:v>
                </c:pt>
                <c:pt idx="88">
                  <c:v>41.028974262023056</c:v>
                </c:pt>
                <c:pt idx="89">
                  <c:v>44.899942003958543</c:v>
                </c:pt>
                <c:pt idx="90">
                  <c:v>39.366836580863641</c:v>
                </c:pt>
                <c:pt idx="91">
                  <c:v>43.237804322799128</c:v>
                </c:pt>
                <c:pt idx="92">
                  <c:v>52.303817717616866</c:v>
                </c:pt>
                <c:pt idx="93">
                  <c:v>60.045753201487834</c:v>
                </c:pt>
                <c:pt idx="94">
                  <c:v>44.621123007279728</c:v>
                </c:pt>
                <c:pt idx="95">
                  <c:v>52.363058491150696</c:v>
                </c:pt>
                <c:pt idx="96">
                  <c:v>51.041191454990603</c:v>
                </c:pt>
                <c:pt idx="97">
                  <c:v>58.783126938861571</c:v>
                </c:pt>
                <c:pt idx="98">
                  <c:v>43.013669158446568</c:v>
                </c:pt>
                <c:pt idx="99">
                  <c:v>50.755604642317536</c:v>
                </c:pt>
                <c:pt idx="100">
                  <c:v>47.053206973755778</c:v>
                </c:pt>
                <c:pt idx="101">
                  <c:v>50.924174715691265</c:v>
                </c:pt>
                <c:pt idx="102">
                  <c:v>42.518786683900707</c:v>
                </c:pt>
                <c:pt idx="103">
                  <c:v>46.389754425836195</c:v>
                </c:pt>
                <c:pt idx="104">
                  <c:v>45.065793664375427</c:v>
                </c:pt>
                <c:pt idx="105">
                  <c:v>52.807729148246388</c:v>
                </c:pt>
                <c:pt idx="106">
                  <c:v>39.240612504955138</c:v>
                </c:pt>
                <c:pt idx="107">
                  <c:v>35.36964476301965</c:v>
                </c:pt>
                <c:pt idx="108">
                  <c:v>52.915967644984192</c:v>
                </c:pt>
                <c:pt idx="109">
                  <c:v>52.915967644984192</c:v>
                </c:pt>
                <c:pt idx="110">
                  <c:v>69.129832594793655</c:v>
                </c:pt>
                <c:pt idx="111">
                  <c:v>65.028383319431342</c:v>
                </c:pt>
                <c:pt idx="112">
                  <c:v>52.94364746155383</c:v>
                </c:pt>
                <c:pt idx="113">
                  <c:v>67.867206332167399</c:v>
                </c:pt>
                <c:pt idx="114">
                  <c:v>59.765757056805086</c:v>
                </c:pt>
                <c:pt idx="115">
                  <c:v>51.02884728588409</c:v>
                </c:pt>
                <c:pt idx="116">
                  <c:v>32.163805466617767</c:v>
                </c:pt>
                <c:pt idx="117">
                  <c:v>53.566443980243129</c:v>
                </c:pt>
                <c:pt idx="118">
                  <c:v>61.308379464114097</c:v>
                </c:pt>
                <c:pt idx="119">
                  <c:v>49.695476238307648</c:v>
                </c:pt>
                <c:pt idx="120">
                  <c:v>33.327951667259832</c:v>
                </c:pt>
                <c:pt idx="121">
                  <c:v>37.198919409195312</c:v>
                </c:pt>
                <c:pt idx="122">
                  <c:v>29.400283071487792</c:v>
                </c:pt>
                <c:pt idx="123">
                  <c:v>33.271250813423272</c:v>
                </c:pt>
                <c:pt idx="124">
                  <c:v>24.472544143748866</c:v>
                </c:pt>
                <c:pt idx="125">
                  <c:v>28.34351188568435</c:v>
                </c:pt>
                <c:pt idx="126">
                  <c:v>21.053583261286867</c:v>
                </c:pt>
                <c:pt idx="127">
                  <c:v>22.989067132254611</c:v>
                </c:pt>
                <c:pt idx="128">
                  <c:v>40.245245424227505</c:v>
                </c:pt>
                <c:pt idx="129">
                  <c:v>44.116213166162993</c:v>
                </c:pt>
                <c:pt idx="130">
                  <c:v>30.524064784943416</c:v>
                </c:pt>
                <c:pt idx="131">
                  <c:v>34.3950325268789</c:v>
                </c:pt>
                <c:pt idx="132">
                  <c:v>26.102978926357562</c:v>
                </c:pt>
                <c:pt idx="133">
                  <c:v>29.973946668293046</c:v>
                </c:pt>
                <c:pt idx="134">
                  <c:v>40.245245424227505</c:v>
                </c:pt>
                <c:pt idx="135">
                  <c:v>44.116213166162993</c:v>
                </c:pt>
                <c:pt idx="136">
                  <c:v>30.524064784943416</c:v>
                </c:pt>
                <c:pt idx="137">
                  <c:v>34.3950325268789</c:v>
                </c:pt>
                <c:pt idx="138">
                  <c:v>26.102978926357562</c:v>
                </c:pt>
                <c:pt idx="139">
                  <c:v>29.973946668293046</c:v>
                </c:pt>
                <c:pt idx="140">
                  <c:v>28.711509888149394</c:v>
                </c:pt>
                <c:pt idx="141">
                  <c:v>14.799123952479734</c:v>
                </c:pt>
                <c:pt idx="142">
                  <c:v>37.304633999170804</c:v>
                </c:pt>
                <c:pt idx="143">
                  <c:v>35.374060460182719</c:v>
                </c:pt>
                <c:pt idx="144">
                  <c:v>28.523531761827936</c:v>
                </c:pt>
                <c:pt idx="145">
                  <c:v>39.173760624669235</c:v>
                </c:pt>
                <c:pt idx="146">
                  <c:v>49.269728628711434</c:v>
                </c:pt>
                <c:pt idx="147">
                  <c:v>40.982094220109289</c:v>
                </c:pt>
                <c:pt idx="148">
                  <c:v>52.378508737491543</c:v>
                </c:pt>
                <c:pt idx="149">
                  <c:v>44.090874328889399</c:v>
                </c:pt>
                <c:pt idx="150">
                  <c:v>53.641135000117806</c:v>
                </c:pt>
                <c:pt idx="151">
                  <c:v>45.353500591515662</c:v>
                </c:pt>
                <c:pt idx="152">
                  <c:v>25.562009754766198</c:v>
                </c:pt>
                <c:pt idx="153">
                  <c:v>27.512330267586709</c:v>
                </c:pt>
                <c:pt idx="154">
                  <c:v>31.300209055465494</c:v>
                </c:pt>
                <c:pt idx="155">
                  <c:v>12.706848339120913</c:v>
                </c:pt>
                <c:pt idx="156">
                  <c:v>39.797947546641744</c:v>
                </c:pt>
                <c:pt idx="157">
                  <c:v>11.10238862259223</c:v>
                </c:pt>
                <c:pt idx="158">
                  <c:v>29.804878923328772</c:v>
                </c:pt>
                <c:pt idx="159">
                  <c:v>24.969583502857191</c:v>
                </c:pt>
                <c:pt idx="160">
                  <c:v>24.464532997806685</c:v>
                </c:pt>
                <c:pt idx="161">
                  <c:v>10.849863370066977</c:v>
                </c:pt>
                <c:pt idx="162">
                  <c:v>34.133592224302916</c:v>
                </c:pt>
                <c:pt idx="163">
                  <c:v>20.444330977604665</c:v>
                </c:pt>
                <c:pt idx="164">
                  <c:v>20.444330977604665</c:v>
                </c:pt>
                <c:pt idx="165">
                  <c:v>11.10238862259223</c:v>
                </c:pt>
                <c:pt idx="166">
                  <c:v>20.444330977604665</c:v>
                </c:pt>
                <c:pt idx="167">
                  <c:v>32.679319360734702</c:v>
                </c:pt>
                <c:pt idx="168">
                  <c:v>27.832370859179026</c:v>
                </c:pt>
                <c:pt idx="169">
                  <c:v>34.133592224302916</c:v>
                </c:pt>
                <c:pt idx="170">
                  <c:v>22.444330977604665</c:v>
                </c:pt>
                <c:pt idx="171">
                  <c:v>20.444330977604665</c:v>
                </c:pt>
                <c:pt idx="172">
                  <c:v>20.444330977604665</c:v>
                </c:pt>
                <c:pt idx="173">
                  <c:v>11.10238862259223</c:v>
                </c:pt>
                <c:pt idx="174">
                  <c:v>10.849863370066977</c:v>
                </c:pt>
                <c:pt idx="175">
                  <c:v>33.70333860111451</c:v>
                </c:pt>
                <c:pt idx="176">
                  <c:v>27.832370859179026</c:v>
                </c:pt>
                <c:pt idx="177">
                  <c:v>27.832370859179026</c:v>
                </c:pt>
                <c:pt idx="178">
                  <c:v>32.679319360734702</c:v>
                </c:pt>
                <c:pt idx="179">
                  <c:v>67.115750800299153</c:v>
                </c:pt>
                <c:pt idx="180">
                  <c:v>70.491845059405037</c:v>
                </c:pt>
                <c:pt idx="181">
                  <c:v>70.491845059405037</c:v>
                </c:pt>
                <c:pt idx="182">
                  <c:v>70.491845059405037</c:v>
                </c:pt>
                <c:pt idx="183">
                  <c:v>34.891167981878681</c:v>
                </c:pt>
                <c:pt idx="184">
                  <c:v>42.366327182581344</c:v>
                </c:pt>
                <c:pt idx="185">
                  <c:v>33.43689511831046</c:v>
                </c:pt>
                <c:pt idx="186">
                  <c:v>34.891167981878681</c:v>
                </c:pt>
                <c:pt idx="187">
                  <c:v>61.818136823196788</c:v>
                </c:pt>
                <c:pt idx="188">
                  <c:v>34.460914358690268</c:v>
                </c:pt>
                <c:pt idx="189">
                  <c:v>58.860576777462086</c:v>
                </c:pt>
                <c:pt idx="190">
                  <c:v>45.073141898766387</c:v>
                </c:pt>
                <c:pt idx="191">
                  <c:v>64.074547079607058</c:v>
                </c:pt>
                <c:pt idx="192">
                  <c:v>34.460914358690268</c:v>
                </c:pt>
                <c:pt idx="193">
                  <c:v>44.799193716079017</c:v>
                </c:pt>
                <c:pt idx="194">
                  <c:v>19.056223622341776</c:v>
                </c:pt>
                <c:pt idx="195">
                  <c:v>15.752686943711389</c:v>
                </c:pt>
                <c:pt idx="196">
                  <c:v>20.52511313897153</c:v>
                </c:pt>
                <c:pt idx="197">
                  <c:v>7.4941256743047377</c:v>
                </c:pt>
                <c:pt idx="198">
                  <c:v>4.7051383253594654</c:v>
                </c:pt>
                <c:pt idx="199">
                  <c:v>13.642934055004231</c:v>
                </c:pt>
                <c:pt idx="200">
                  <c:v>15.68268566812541</c:v>
                </c:pt>
                <c:pt idx="201">
                  <c:v>11.120282292965106</c:v>
                </c:pt>
                <c:pt idx="202">
                  <c:v>3.2002250622940278</c:v>
                </c:pt>
                <c:pt idx="203">
                  <c:v>9.7319158701159232</c:v>
                </c:pt>
                <c:pt idx="204">
                  <c:v>30.663958052179265</c:v>
                </c:pt>
                <c:pt idx="205">
                  <c:v>34.534925794114748</c:v>
                </c:pt>
                <c:pt idx="206">
                  <c:v>28.749157876509525</c:v>
                </c:pt>
                <c:pt idx="207">
                  <c:v>32.620125618445009</c:v>
                </c:pt>
                <c:pt idx="208">
                  <c:v>12.370674096696671</c:v>
                </c:pt>
                <c:pt idx="209">
                  <c:v>15.306157967664412</c:v>
                </c:pt>
                <c:pt idx="210">
                  <c:v>22.540851991573202</c:v>
                </c:pt>
                <c:pt idx="211">
                  <c:v>26.411819733508686</c:v>
                </c:pt>
                <c:pt idx="212">
                  <c:v>13.003942262222902</c:v>
                </c:pt>
                <c:pt idx="213">
                  <c:v>13.971684197706773</c:v>
                </c:pt>
                <c:pt idx="214">
                  <c:v>22.38693510531936</c:v>
                </c:pt>
                <c:pt idx="215">
                  <c:v>26.257902847254844</c:v>
                </c:pt>
                <c:pt idx="216">
                  <c:v>29.291606822491076</c:v>
                </c:pt>
                <c:pt idx="217">
                  <c:v>33.162574564426563</c:v>
                </c:pt>
                <c:pt idx="218">
                  <c:v>15.264491300997745</c:v>
                </c:pt>
                <c:pt idx="219">
                  <c:v>12.329007430030005</c:v>
                </c:pt>
                <c:pt idx="220">
                  <c:v>20.422577850530708</c:v>
                </c:pt>
                <c:pt idx="221">
                  <c:v>24.358061721498451</c:v>
                </c:pt>
                <c:pt idx="222">
                  <c:v>19.06309443969646</c:v>
                </c:pt>
                <c:pt idx="223">
                  <c:v>15.12761056872872</c:v>
                </c:pt>
                <c:pt idx="224">
                  <c:v>31.328970971127717</c:v>
                </c:pt>
                <c:pt idx="225">
                  <c:v>35.199938713063204</c:v>
                </c:pt>
                <c:pt idx="226">
                  <c:v>23.918447139220824</c:v>
                </c:pt>
                <c:pt idx="227">
                  <c:v>17.982963268253087</c:v>
                </c:pt>
                <c:pt idx="228">
                  <c:v>25.938649159422845</c:v>
                </c:pt>
                <c:pt idx="229">
                  <c:v>29.809616901358325</c:v>
                </c:pt>
                <c:pt idx="230">
                  <c:v>22.636395857169539</c:v>
                </c:pt>
                <c:pt idx="231">
                  <c:v>20.700911986201803</c:v>
                </c:pt>
                <c:pt idx="232">
                  <c:v>26.044900630132712</c:v>
                </c:pt>
                <c:pt idx="233">
                  <c:v>29.915868372068196</c:v>
                </c:pt>
                <c:pt idx="234">
                  <c:v>15.306157967664412</c:v>
                </c:pt>
                <c:pt idx="235">
                  <c:v>13.370674096696671</c:v>
                </c:pt>
                <c:pt idx="236">
                  <c:v>55.243108672090756</c:v>
                </c:pt>
                <c:pt idx="237">
                  <c:v>59.114076414026229</c:v>
                </c:pt>
                <c:pt idx="238">
                  <c:v>70.806384106333923</c:v>
                </c:pt>
                <c:pt idx="239">
                  <c:v>78.548319590204883</c:v>
                </c:pt>
                <c:pt idx="240">
                  <c:v>62.135362645910291</c:v>
                </c:pt>
                <c:pt idx="241">
                  <c:v>42.194015321039011</c:v>
                </c:pt>
                <c:pt idx="242">
                  <c:v>58.477077241700982</c:v>
                </c:pt>
                <c:pt idx="243">
                  <c:v>58.725020941762367</c:v>
                </c:pt>
                <c:pt idx="244">
                  <c:v>51.302108490645281</c:v>
                </c:pt>
                <c:pt idx="245">
                  <c:v>59.044043974516242</c:v>
                </c:pt>
                <c:pt idx="246">
                  <c:v>42.358976801545836</c:v>
                </c:pt>
                <c:pt idx="247">
                  <c:v>46.229944543481324</c:v>
                </c:pt>
                <c:pt idx="248">
                  <c:v>56.009058847052145</c:v>
                </c:pt>
                <c:pt idx="249">
                  <c:v>63.750994330923106</c:v>
                </c:pt>
                <c:pt idx="250">
                  <c:v>54.469258671382406</c:v>
                </c:pt>
                <c:pt idx="251">
                  <c:v>62.211194155253366</c:v>
                </c:pt>
                <c:pt idx="252">
                  <c:v>46.384207484572627</c:v>
                </c:pt>
                <c:pt idx="253">
                  <c:v>45.759207484572627</c:v>
                </c:pt>
                <c:pt idx="254">
                  <c:v>56.264353548186428</c:v>
                </c:pt>
                <c:pt idx="255">
                  <c:v>58.151979810812698</c:v>
                </c:pt>
                <c:pt idx="256">
                  <c:v>40.477020052647561</c:v>
                </c:pt>
                <c:pt idx="257">
                  <c:v>35.707102927876612</c:v>
                </c:pt>
                <c:pt idx="258">
                  <c:v>28.158299677986406</c:v>
                </c:pt>
                <c:pt idx="259">
                  <c:v>36.747097135318342</c:v>
                </c:pt>
                <c:pt idx="260">
                  <c:v>38.293774554184672</c:v>
                </c:pt>
                <c:pt idx="261">
                  <c:v>42.164742296120153</c:v>
                </c:pt>
                <c:pt idx="262">
                  <c:v>32.830202435814954</c:v>
                </c:pt>
                <c:pt idx="263">
                  <c:v>36.701170177750441</c:v>
                </c:pt>
                <c:pt idx="264">
                  <c:v>29.494204714978395</c:v>
                </c:pt>
                <c:pt idx="265">
                  <c:v>35.365172456913882</c:v>
                </c:pt>
                <c:pt idx="266">
                  <c:v>44.48819067654307</c:v>
                </c:pt>
                <c:pt idx="267">
                  <c:v>48.35915841847855</c:v>
                </c:pt>
                <c:pt idx="268">
                  <c:v>44.48819067654307</c:v>
                </c:pt>
                <c:pt idx="269">
                  <c:v>48.35915841847855</c:v>
                </c:pt>
                <c:pt idx="270">
                  <c:v>34.672766876205479</c:v>
                </c:pt>
                <c:pt idx="271">
                  <c:v>38.543734618140959</c:v>
                </c:pt>
                <c:pt idx="272">
                  <c:v>28.220799677986406</c:v>
                </c:pt>
                <c:pt idx="273">
                  <c:v>32.091767419921887</c:v>
                </c:pt>
                <c:pt idx="274">
                  <c:v>31.251102708289437</c:v>
                </c:pt>
                <c:pt idx="275">
                  <c:v>35.122070450224918</c:v>
                </c:pt>
                <c:pt idx="276">
                  <c:v>34.098788713771548</c:v>
                </c:pt>
                <c:pt idx="277">
                  <c:v>37.969756455707028</c:v>
                </c:pt>
                <c:pt idx="278">
                  <c:v>43.041500012832898</c:v>
                </c:pt>
                <c:pt idx="279">
                  <c:v>38.303399403764544</c:v>
                </c:pt>
                <c:pt idx="280">
                  <c:v>18.540521610294181</c:v>
                </c:pt>
                <c:pt idx="281">
                  <c:v>22.476005481261925</c:v>
                </c:pt>
                <c:pt idx="282">
                  <c:v>59.225036558953775</c:v>
                </c:pt>
                <c:pt idx="283">
                  <c:v>70.96697204282475</c:v>
                </c:pt>
                <c:pt idx="284">
                  <c:v>59.354068817018302</c:v>
                </c:pt>
                <c:pt idx="285">
                  <c:v>57.698315544461011</c:v>
                </c:pt>
                <c:pt idx="286">
                  <c:v>69.440251028331986</c:v>
                </c:pt>
                <c:pt idx="287">
                  <c:v>57.369058298084212</c:v>
                </c:pt>
                <c:pt idx="288">
                  <c:v>65.110993781955173</c:v>
                </c:pt>
                <c:pt idx="289">
                  <c:v>53.498090556148725</c:v>
                </c:pt>
                <c:pt idx="290">
                  <c:v>57.431558298084212</c:v>
                </c:pt>
                <c:pt idx="291">
                  <c:v>65.173493781955173</c:v>
                </c:pt>
                <c:pt idx="292">
                  <c:v>56.41027206620015</c:v>
                </c:pt>
                <c:pt idx="293">
                  <c:v>64.152207550071111</c:v>
                </c:pt>
                <c:pt idx="294">
                  <c:v>51.560977490003395</c:v>
                </c:pt>
                <c:pt idx="295">
                  <c:v>59.302912973874371</c:v>
                </c:pt>
                <c:pt idx="296">
                  <c:v>44.005064778827595</c:v>
                </c:pt>
                <c:pt idx="297">
                  <c:v>51.87603252076309</c:v>
                </c:pt>
                <c:pt idx="298">
                  <c:v>63.617968004634051</c:v>
                </c:pt>
                <c:pt idx="299">
                  <c:v>39.670460373571011</c:v>
                </c:pt>
                <c:pt idx="300">
                  <c:v>47.541428115506505</c:v>
                </c:pt>
                <c:pt idx="301">
                  <c:v>34.582515709539393</c:v>
                </c:pt>
                <c:pt idx="302">
                  <c:v>40.453483451474881</c:v>
                </c:pt>
                <c:pt idx="303">
                  <c:v>31.355631482655163</c:v>
                </c:pt>
                <c:pt idx="304">
                  <c:v>37.22659922459065</c:v>
                </c:pt>
                <c:pt idx="305">
                  <c:v>25.567752694776381</c:v>
                </c:pt>
                <c:pt idx="306">
                  <c:v>31.438720436711861</c:v>
                </c:pt>
              </c:numCache>
            </c:numRef>
          </c:xVal>
          <c:yVal>
            <c:numRef>
              <c:f>'Mobile Dataset Cleaned (PQ)'!$O$625:$O$931</c:f>
              <c:numCache>
                <c:formatCode>General</c:formatCode>
                <c:ptCount val="307"/>
                <c:pt idx="0">
                  <c:v>190</c:v>
                </c:pt>
                <c:pt idx="1">
                  <c:v>150</c:v>
                </c:pt>
                <c:pt idx="2">
                  <c:v>170</c:v>
                </c:pt>
                <c:pt idx="3">
                  <c:v>190</c:v>
                </c:pt>
                <c:pt idx="4">
                  <c:v>210</c:v>
                </c:pt>
                <c:pt idx="5">
                  <c:v>170</c:v>
                </c:pt>
                <c:pt idx="6">
                  <c:v>200</c:v>
                </c:pt>
                <c:pt idx="7">
                  <c:v>230</c:v>
                </c:pt>
                <c:pt idx="8">
                  <c:v>280</c:v>
                </c:pt>
                <c:pt idx="9">
                  <c:v>320</c:v>
                </c:pt>
                <c:pt idx="10">
                  <c:v>190</c:v>
                </c:pt>
                <c:pt idx="11">
                  <c:v>210</c:v>
                </c:pt>
                <c:pt idx="12">
                  <c:v>160</c:v>
                </c:pt>
                <c:pt idx="13">
                  <c:v>180</c:v>
                </c:pt>
                <c:pt idx="14">
                  <c:v>200</c:v>
                </c:pt>
                <c:pt idx="15">
                  <c:v>220</c:v>
                </c:pt>
                <c:pt idx="16">
                  <c:v>210</c:v>
                </c:pt>
                <c:pt idx="17">
                  <c:v>230</c:v>
                </c:pt>
                <c:pt idx="18">
                  <c:v>470</c:v>
                </c:pt>
                <c:pt idx="19">
                  <c:v>500</c:v>
                </c:pt>
                <c:pt idx="20">
                  <c:v>380</c:v>
                </c:pt>
                <c:pt idx="21">
                  <c:v>400</c:v>
                </c:pt>
                <c:pt idx="22">
                  <c:v>420</c:v>
                </c:pt>
                <c:pt idx="23">
                  <c:v>440</c:v>
                </c:pt>
                <c:pt idx="24">
                  <c:v>500</c:v>
                </c:pt>
                <c:pt idx="25">
                  <c:v>350</c:v>
                </c:pt>
                <c:pt idx="26">
                  <c:v>400</c:v>
                </c:pt>
                <c:pt idx="27">
                  <c:v>360</c:v>
                </c:pt>
                <c:pt idx="28">
                  <c:v>380</c:v>
                </c:pt>
                <c:pt idx="29">
                  <c:v>340</c:v>
                </c:pt>
                <c:pt idx="30">
                  <c:v>360</c:v>
                </c:pt>
                <c:pt idx="31">
                  <c:v>320</c:v>
                </c:pt>
                <c:pt idx="32">
                  <c:v>340</c:v>
                </c:pt>
                <c:pt idx="33">
                  <c:v>270</c:v>
                </c:pt>
                <c:pt idx="34">
                  <c:v>290</c:v>
                </c:pt>
                <c:pt idx="35">
                  <c:v>250</c:v>
                </c:pt>
                <c:pt idx="36">
                  <c:v>270</c:v>
                </c:pt>
                <c:pt idx="37">
                  <c:v>300</c:v>
                </c:pt>
                <c:pt idx="38">
                  <c:v>320</c:v>
                </c:pt>
                <c:pt idx="39">
                  <c:v>360</c:v>
                </c:pt>
                <c:pt idx="40">
                  <c:v>380</c:v>
                </c:pt>
                <c:pt idx="41">
                  <c:v>250</c:v>
                </c:pt>
                <c:pt idx="42">
                  <c:v>270</c:v>
                </c:pt>
                <c:pt idx="43">
                  <c:v>340</c:v>
                </c:pt>
                <c:pt idx="44">
                  <c:v>360</c:v>
                </c:pt>
                <c:pt idx="45">
                  <c:v>270</c:v>
                </c:pt>
                <c:pt idx="46">
                  <c:v>290</c:v>
                </c:pt>
                <c:pt idx="47">
                  <c:v>240</c:v>
                </c:pt>
                <c:pt idx="48">
                  <c:v>260</c:v>
                </c:pt>
                <c:pt idx="49">
                  <c:v>230</c:v>
                </c:pt>
                <c:pt idx="50">
                  <c:v>160</c:v>
                </c:pt>
                <c:pt idx="51">
                  <c:v>180</c:v>
                </c:pt>
                <c:pt idx="52">
                  <c:v>220</c:v>
                </c:pt>
                <c:pt idx="53">
                  <c:v>240</c:v>
                </c:pt>
                <c:pt idx="54">
                  <c:v>330</c:v>
                </c:pt>
                <c:pt idx="55">
                  <c:v>380</c:v>
                </c:pt>
                <c:pt idx="56">
                  <c:v>310</c:v>
                </c:pt>
                <c:pt idx="57">
                  <c:v>350</c:v>
                </c:pt>
                <c:pt idx="58">
                  <c:v>299</c:v>
                </c:pt>
                <c:pt idx="59">
                  <c:v>349</c:v>
                </c:pt>
                <c:pt idx="60">
                  <c:v>199</c:v>
                </c:pt>
                <c:pt idx="61">
                  <c:v>249</c:v>
                </c:pt>
                <c:pt idx="62">
                  <c:v>199</c:v>
                </c:pt>
                <c:pt idx="63">
                  <c:v>179</c:v>
                </c:pt>
                <c:pt idx="64">
                  <c:v>169</c:v>
                </c:pt>
                <c:pt idx="65">
                  <c:v>129</c:v>
                </c:pt>
                <c:pt idx="66">
                  <c:v>399</c:v>
                </c:pt>
                <c:pt idx="67">
                  <c:v>299</c:v>
                </c:pt>
                <c:pt idx="68">
                  <c:v>249</c:v>
                </c:pt>
                <c:pt idx="69">
                  <c:v>179</c:v>
                </c:pt>
                <c:pt idx="70">
                  <c:v>199</c:v>
                </c:pt>
                <c:pt idx="71">
                  <c:v>149</c:v>
                </c:pt>
                <c:pt idx="72">
                  <c:v>129</c:v>
                </c:pt>
                <c:pt idx="73">
                  <c:v>99</c:v>
                </c:pt>
                <c:pt idx="74">
                  <c:v>1199</c:v>
                </c:pt>
                <c:pt idx="75">
                  <c:v>1299</c:v>
                </c:pt>
                <c:pt idx="76">
                  <c:v>899</c:v>
                </c:pt>
                <c:pt idx="77">
                  <c:v>999</c:v>
                </c:pt>
                <c:pt idx="78">
                  <c:v>799</c:v>
                </c:pt>
                <c:pt idx="79">
                  <c:v>899</c:v>
                </c:pt>
                <c:pt idx="80">
                  <c:v>1199</c:v>
                </c:pt>
                <c:pt idx="81">
                  <c:v>1299</c:v>
                </c:pt>
                <c:pt idx="82">
                  <c:v>899</c:v>
                </c:pt>
                <c:pt idx="83">
                  <c:v>999</c:v>
                </c:pt>
                <c:pt idx="84">
                  <c:v>799</c:v>
                </c:pt>
                <c:pt idx="85">
                  <c:v>899</c:v>
                </c:pt>
                <c:pt idx="86">
                  <c:v>1099</c:v>
                </c:pt>
                <c:pt idx="87">
                  <c:v>1199</c:v>
                </c:pt>
                <c:pt idx="88">
                  <c:v>799</c:v>
                </c:pt>
                <c:pt idx="89">
                  <c:v>899</c:v>
                </c:pt>
                <c:pt idx="90">
                  <c:v>699</c:v>
                </c:pt>
                <c:pt idx="91">
                  <c:v>799</c:v>
                </c:pt>
                <c:pt idx="92">
                  <c:v>1799</c:v>
                </c:pt>
                <c:pt idx="93">
                  <c:v>1899</c:v>
                </c:pt>
                <c:pt idx="94">
                  <c:v>999</c:v>
                </c:pt>
                <c:pt idx="95">
                  <c:v>1099</c:v>
                </c:pt>
                <c:pt idx="96">
                  <c:v>1799</c:v>
                </c:pt>
                <c:pt idx="97">
                  <c:v>1899</c:v>
                </c:pt>
                <c:pt idx="98">
                  <c:v>999</c:v>
                </c:pt>
                <c:pt idx="99">
                  <c:v>1099</c:v>
                </c:pt>
                <c:pt idx="100">
                  <c:v>1299</c:v>
                </c:pt>
                <c:pt idx="101">
                  <c:v>1399</c:v>
                </c:pt>
                <c:pt idx="102">
                  <c:v>999</c:v>
                </c:pt>
                <c:pt idx="103">
                  <c:v>1099</c:v>
                </c:pt>
                <c:pt idx="104">
                  <c:v>1099</c:v>
                </c:pt>
                <c:pt idx="105">
                  <c:v>1199</c:v>
                </c:pt>
                <c:pt idx="106">
                  <c:v>949</c:v>
                </c:pt>
                <c:pt idx="107">
                  <c:v>899</c:v>
                </c:pt>
                <c:pt idx="108">
                  <c:v>1499</c:v>
                </c:pt>
                <c:pt idx="109">
                  <c:v>1399</c:v>
                </c:pt>
                <c:pt idx="110">
                  <c:v>1199</c:v>
                </c:pt>
                <c:pt idx="111">
                  <c:v>999</c:v>
                </c:pt>
                <c:pt idx="112">
                  <c:v>799</c:v>
                </c:pt>
                <c:pt idx="113">
                  <c:v>1099</c:v>
                </c:pt>
                <c:pt idx="114">
                  <c:v>899</c:v>
                </c:pt>
                <c:pt idx="115">
                  <c:v>699</c:v>
                </c:pt>
                <c:pt idx="116">
                  <c:v>499</c:v>
                </c:pt>
                <c:pt idx="117">
                  <c:v>1899</c:v>
                </c:pt>
                <c:pt idx="118">
                  <c:v>1719</c:v>
                </c:pt>
                <c:pt idx="119">
                  <c:v>2259</c:v>
                </c:pt>
                <c:pt idx="120">
                  <c:v>399</c:v>
                </c:pt>
                <c:pt idx="121">
                  <c:v>449</c:v>
                </c:pt>
                <c:pt idx="122">
                  <c:v>349</c:v>
                </c:pt>
                <c:pt idx="123">
                  <c:v>399</c:v>
                </c:pt>
                <c:pt idx="124">
                  <c:v>249</c:v>
                </c:pt>
                <c:pt idx="125">
                  <c:v>299</c:v>
                </c:pt>
                <c:pt idx="126">
                  <c:v>199</c:v>
                </c:pt>
                <c:pt idx="127">
                  <c:v>249</c:v>
                </c:pt>
                <c:pt idx="128">
                  <c:v>349</c:v>
                </c:pt>
                <c:pt idx="129">
                  <c:v>399</c:v>
                </c:pt>
                <c:pt idx="130">
                  <c:v>299</c:v>
                </c:pt>
                <c:pt idx="131">
                  <c:v>349</c:v>
                </c:pt>
                <c:pt idx="132">
                  <c:v>249</c:v>
                </c:pt>
                <c:pt idx="133">
                  <c:v>299</c:v>
                </c:pt>
                <c:pt idx="134">
                  <c:v>349</c:v>
                </c:pt>
                <c:pt idx="135">
                  <c:v>399</c:v>
                </c:pt>
                <c:pt idx="136">
                  <c:v>299</c:v>
                </c:pt>
                <c:pt idx="137">
                  <c:v>349</c:v>
                </c:pt>
                <c:pt idx="138">
                  <c:v>249</c:v>
                </c:pt>
                <c:pt idx="139">
                  <c:v>299</c:v>
                </c:pt>
                <c:pt idx="140">
                  <c:v>499</c:v>
                </c:pt>
                <c:pt idx="141">
                  <c:v>249</c:v>
                </c:pt>
                <c:pt idx="142">
                  <c:v>549</c:v>
                </c:pt>
                <c:pt idx="143">
                  <c:v>229</c:v>
                </c:pt>
                <c:pt idx="144">
                  <c:v>549</c:v>
                </c:pt>
                <c:pt idx="145">
                  <c:v>649</c:v>
                </c:pt>
                <c:pt idx="146">
                  <c:v>1599</c:v>
                </c:pt>
                <c:pt idx="147">
                  <c:v>999</c:v>
                </c:pt>
                <c:pt idx="148">
                  <c:v>1699</c:v>
                </c:pt>
                <c:pt idx="149">
                  <c:v>1099</c:v>
                </c:pt>
                <c:pt idx="150">
                  <c:v>1799</c:v>
                </c:pt>
                <c:pt idx="151">
                  <c:v>1199</c:v>
                </c:pt>
                <c:pt idx="152">
                  <c:v>499</c:v>
                </c:pt>
                <c:pt idx="153">
                  <c:v>599</c:v>
                </c:pt>
                <c:pt idx="154">
                  <c:v>699</c:v>
                </c:pt>
                <c:pt idx="155">
                  <c:v>129</c:v>
                </c:pt>
                <c:pt idx="156">
                  <c:v>349</c:v>
                </c:pt>
                <c:pt idx="157">
                  <c:v>99</c:v>
                </c:pt>
                <c:pt idx="158">
                  <c:v>299</c:v>
                </c:pt>
                <c:pt idx="159">
                  <c:v>199</c:v>
                </c:pt>
                <c:pt idx="160">
                  <c:v>229</c:v>
                </c:pt>
                <c:pt idx="161">
                  <c:v>89</c:v>
                </c:pt>
                <c:pt idx="162">
                  <c:v>269</c:v>
                </c:pt>
                <c:pt idx="163">
                  <c:v>179</c:v>
                </c:pt>
                <c:pt idx="164">
                  <c:v>149</c:v>
                </c:pt>
                <c:pt idx="165">
                  <c:v>99</c:v>
                </c:pt>
                <c:pt idx="166">
                  <c:v>179</c:v>
                </c:pt>
                <c:pt idx="167">
                  <c:v>299</c:v>
                </c:pt>
                <c:pt idx="168">
                  <c:v>349</c:v>
                </c:pt>
                <c:pt idx="169">
                  <c:v>269</c:v>
                </c:pt>
                <c:pt idx="170">
                  <c:v>199</c:v>
                </c:pt>
                <c:pt idx="171">
                  <c:v>179</c:v>
                </c:pt>
                <c:pt idx="172">
                  <c:v>149</c:v>
                </c:pt>
                <c:pt idx="173">
                  <c:v>99</c:v>
                </c:pt>
                <c:pt idx="174">
                  <c:v>89</c:v>
                </c:pt>
                <c:pt idx="175">
                  <c:v>449</c:v>
                </c:pt>
                <c:pt idx="176">
                  <c:v>349</c:v>
                </c:pt>
                <c:pt idx="177">
                  <c:v>349</c:v>
                </c:pt>
                <c:pt idx="178">
                  <c:v>329</c:v>
                </c:pt>
                <c:pt idx="179">
                  <c:v>1799</c:v>
                </c:pt>
                <c:pt idx="180">
                  <c:v>1099</c:v>
                </c:pt>
                <c:pt idx="181">
                  <c:v>1199</c:v>
                </c:pt>
                <c:pt idx="182">
                  <c:v>1099</c:v>
                </c:pt>
                <c:pt idx="183">
                  <c:v>499</c:v>
                </c:pt>
                <c:pt idx="184">
                  <c:v>999</c:v>
                </c:pt>
                <c:pt idx="185">
                  <c:v>349</c:v>
                </c:pt>
                <c:pt idx="186">
                  <c:v>329</c:v>
                </c:pt>
                <c:pt idx="187">
                  <c:v>899</c:v>
                </c:pt>
                <c:pt idx="188">
                  <c:v>499</c:v>
                </c:pt>
                <c:pt idx="189">
                  <c:v>1099</c:v>
                </c:pt>
                <c:pt idx="190">
                  <c:v>899</c:v>
                </c:pt>
                <c:pt idx="191">
                  <c:v>1049</c:v>
                </c:pt>
                <c:pt idx="192">
                  <c:v>499</c:v>
                </c:pt>
                <c:pt idx="193">
                  <c:v>699</c:v>
                </c:pt>
                <c:pt idx="194">
                  <c:v>249</c:v>
                </c:pt>
                <c:pt idx="195">
                  <c:v>219</c:v>
                </c:pt>
                <c:pt idx="196">
                  <c:v>299</c:v>
                </c:pt>
                <c:pt idx="197">
                  <c:v>149</c:v>
                </c:pt>
                <c:pt idx="198">
                  <c:v>199</c:v>
                </c:pt>
                <c:pt idx="199">
                  <c:v>249</c:v>
                </c:pt>
                <c:pt idx="200">
                  <c:v>199</c:v>
                </c:pt>
                <c:pt idx="201">
                  <c:v>179</c:v>
                </c:pt>
                <c:pt idx="202">
                  <c:v>139</c:v>
                </c:pt>
                <c:pt idx="203">
                  <c:v>179</c:v>
                </c:pt>
                <c:pt idx="204">
                  <c:v>399</c:v>
                </c:pt>
                <c:pt idx="205">
                  <c:v>429</c:v>
                </c:pt>
                <c:pt idx="206">
                  <c:v>399</c:v>
                </c:pt>
                <c:pt idx="207">
                  <c:v>429</c:v>
                </c:pt>
                <c:pt idx="208">
                  <c:v>159</c:v>
                </c:pt>
                <c:pt idx="209">
                  <c:v>179</c:v>
                </c:pt>
                <c:pt idx="210">
                  <c:v>249</c:v>
                </c:pt>
                <c:pt idx="211">
                  <c:v>269</c:v>
                </c:pt>
                <c:pt idx="212">
                  <c:v>149</c:v>
                </c:pt>
                <c:pt idx="213">
                  <c:v>169</c:v>
                </c:pt>
                <c:pt idx="214">
                  <c:v>299</c:v>
                </c:pt>
                <c:pt idx="215">
                  <c:v>319</c:v>
                </c:pt>
                <c:pt idx="216">
                  <c:v>499</c:v>
                </c:pt>
                <c:pt idx="217">
                  <c:v>549</c:v>
                </c:pt>
                <c:pt idx="218">
                  <c:v>199</c:v>
                </c:pt>
                <c:pt idx="219">
                  <c:v>169</c:v>
                </c:pt>
                <c:pt idx="220">
                  <c:v>249</c:v>
                </c:pt>
                <c:pt idx="221">
                  <c:v>299</c:v>
                </c:pt>
                <c:pt idx="222">
                  <c:v>349</c:v>
                </c:pt>
                <c:pt idx="223">
                  <c:v>299</c:v>
                </c:pt>
                <c:pt idx="224">
                  <c:v>299</c:v>
                </c:pt>
                <c:pt idx="225">
                  <c:v>349</c:v>
                </c:pt>
                <c:pt idx="226">
                  <c:v>239</c:v>
                </c:pt>
                <c:pt idx="227">
                  <c:v>179</c:v>
                </c:pt>
                <c:pt idx="228">
                  <c:v>349</c:v>
                </c:pt>
                <c:pt idx="229">
                  <c:v>399</c:v>
                </c:pt>
                <c:pt idx="230">
                  <c:v>229</c:v>
                </c:pt>
                <c:pt idx="231">
                  <c:v>179</c:v>
                </c:pt>
                <c:pt idx="232">
                  <c:v>399</c:v>
                </c:pt>
                <c:pt idx="233">
                  <c:v>449</c:v>
                </c:pt>
                <c:pt idx="234">
                  <c:v>199</c:v>
                </c:pt>
                <c:pt idx="235">
                  <c:v>179</c:v>
                </c:pt>
                <c:pt idx="236">
                  <c:v>999</c:v>
                </c:pt>
                <c:pt idx="237">
                  <c:v>1099</c:v>
                </c:pt>
                <c:pt idx="238">
                  <c:v>1199</c:v>
                </c:pt>
                <c:pt idx="239">
                  <c:v>1299</c:v>
                </c:pt>
                <c:pt idx="240">
                  <c:v>949</c:v>
                </c:pt>
                <c:pt idx="241">
                  <c:v>349</c:v>
                </c:pt>
                <c:pt idx="242">
                  <c:v>599</c:v>
                </c:pt>
                <c:pt idx="243">
                  <c:v>699</c:v>
                </c:pt>
                <c:pt idx="244">
                  <c:v>899</c:v>
                </c:pt>
                <c:pt idx="245">
                  <c:v>999</c:v>
                </c:pt>
                <c:pt idx="246">
                  <c:v>899</c:v>
                </c:pt>
                <c:pt idx="247">
                  <c:v>949</c:v>
                </c:pt>
                <c:pt idx="248">
                  <c:v>1099</c:v>
                </c:pt>
                <c:pt idx="249">
                  <c:v>1199</c:v>
                </c:pt>
                <c:pt idx="250">
                  <c:v>899</c:v>
                </c:pt>
                <c:pt idx="251">
                  <c:v>999</c:v>
                </c:pt>
                <c:pt idx="252">
                  <c:v>329</c:v>
                </c:pt>
                <c:pt idx="253">
                  <c:v>279</c:v>
                </c:pt>
                <c:pt idx="254">
                  <c:v>449</c:v>
                </c:pt>
                <c:pt idx="255">
                  <c:v>499</c:v>
                </c:pt>
                <c:pt idx="256">
                  <c:v>449</c:v>
                </c:pt>
                <c:pt idx="257">
                  <c:v>399</c:v>
                </c:pt>
                <c:pt idx="258">
                  <c:v>299</c:v>
                </c:pt>
                <c:pt idx="259">
                  <c:v>549</c:v>
                </c:pt>
                <c:pt idx="260">
                  <c:v>499</c:v>
                </c:pt>
                <c:pt idx="261">
                  <c:v>549</c:v>
                </c:pt>
                <c:pt idx="262">
                  <c:v>749</c:v>
                </c:pt>
                <c:pt idx="263">
                  <c:v>799</c:v>
                </c:pt>
                <c:pt idx="264">
                  <c:v>269</c:v>
                </c:pt>
                <c:pt idx="265">
                  <c:v>319</c:v>
                </c:pt>
                <c:pt idx="266">
                  <c:v>599</c:v>
                </c:pt>
                <c:pt idx="267">
                  <c:v>649</c:v>
                </c:pt>
                <c:pt idx="268">
                  <c:v>699</c:v>
                </c:pt>
                <c:pt idx="269">
                  <c:v>749</c:v>
                </c:pt>
                <c:pt idx="270">
                  <c:v>599</c:v>
                </c:pt>
                <c:pt idx="271">
                  <c:v>649</c:v>
                </c:pt>
                <c:pt idx="272">
                  <c:v>399</c:v>
                </c:pt>
                <c:pt idx="273">
                  <c:v>449</c:v>
                </c:pt>
                <c:pt idx="274">
                  <c:v>299</c:v>
                </c:pt>
                <c:pt idx="275">
                  <c:v>349</c:v>
                </c:pt>
                <c:pt idx="276">
                  <c:v>499</c:v>
                </c:pt>
                <c:pt idx="277">
                  <c:v>549</c:v>
                </c:pt>
                <c:pt idx="278">
                  <c:v>399</c:v>
                </c:pt>
                <c:pt idx="279">
                  <c:v>349</c:v>
                </c:pt>
                <c:pt idx="280">
                  <c:v>199</c:v>
                </c:pt>
                <c:pt idx="281">
                  <c:v>229</c:v>
                </c:pt>
                <c:pt idx="282">
                  <c:v>799</c:v>
                </c:pt>
                <c:pt idx="283">
                  <c:v>899</c:v>
                </c:pt>
                <c:pt idx="284">
                  <c:v>999</c:v>
                </c:pt>
                <c:pt idx="285">
                  <c:v>699</c:v>
                </c:pt>
                <c:pt idx="286">
                  <c:v>799</c:v>
                </c:pt>
                <c:pt idx="287">
                  <c:v>635</c:v>
                </c:pt>
                <c:pt idx="288">
                  <c:v>791</c:v>
                </c:pt>
                <c:pt idx="289">
                  <c:v>899</c:v>
                </c:pt>
                <c:pt idx="290">
                  <c:v>799</c:v>
                </c:pt>
                <c:pt idx="291">
                  <c:v>899</c:v>
                </c:pt>
                <c:pt idx="292">
                  <c:v>699</c:v>
                </c:pt>
                <c:pt idx="293">
                  <c:v>799</c:v>
                </c:pt>
                <c:pt idx="294">
                  <c:v>599</c:v>
                </c:pt>
                <c:pt idx="295">
                  <c:v>699</c:v>
                </c:pt>
                <c:pt idx="296">
                  <c:v>375</c:v>
                </c:pt>
                <c:pt idx="297">
                  <c:v>399</c:v>
                </c:pt>
                <c:pt idx="298">
                  <c:v>429</c:v>
                </c:pt>
                <c:pt idx="299">
                  <c:v>349</c:v>
                </c:pt>
                <c:pt idx="300">
                  <c:v>379</c:v>
                </c:pt>
                <c:pt idx="301">
                  <c:v>299</c:v>
                </c:pt>
                <c:pt idx="302">
                  <c:v>329</c:v>
                </c:pt>
                <c:pt idx="303">
                  <c:v>279</c:v>
                </c:pt>
                <c:pt idx="304">
                  <c:v>309</c:v>
                </c:pt>
                <c:pt idx="305">
                  <c:v>249</c:v>
                </c:pt>
                <c:pt idx="306">
                  <c:v>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41-4E41-AB5F-B3A2E5C33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005407"/>
        <c:axId val="1430003487"/>
      </c:scatterChart>
      <c:valAx>
        <c:axId val="143000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430003487"/>
        <c:crosses val="autoZero"/>
        <c:crossBetween val="midCat"/>
      </c:valAx>
      <c:valAx>
        <c:axId val="143000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430005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[smartphone hardware to price analysis latest.xlsx]Top 10 Phone by Value!PivotTable15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Price to Specs</a:t>
            </a:r>
          </a:p>
          <a:p>
            <a:pPr>
              <a:defRPr/>
            </a:pPr>
            <a:r>
              <a:rPr lang="en-US"/>
              <a:t>Top 10</a:t>
            </a:r>
          </a:p>
        </c:rich>
      </c:tx>
      <c:layout>
        <c:manualLayout>
          <c:xMode val="edge"/>
          <c:yMode val="edge"/>
          <c:x val="0.47305825904759657"/>
          <c:y val="3.04443357598576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223632131163462"/>
          <c:y val="0.19135737281690979"/>
          <c:w val="0.81497583667432227"/>
          <c:h val="0.69575919690874288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'Top 10 Phone by Value'!$B$6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10 Phone by Value'!$A$7:$A$17</c:f>
              <c:strCache>
                <c:ptCount val="10"/>
                <c:pt idx="0">
                  <c:v>13 Pro+ 5G 512GB</c:v>
                </c:pt>
                <c:pt idx="1">
                  <c:v>C65 128GB</c:v>
                </c:pt>
                <c:pt idx="2">
                  <c:v>Pad Air 128GB</c:v>
                </c:pt>
                <c:pt idx="3">
                  <c:v>GT 6 512GB</c:v>
                </c:pt>
                <c:pt idx="4">
                  <c:v>K10 5G 256GB</c:v>
                </c:pt>
                <c:pt idx="5">
                  <c:v>P1 Speed 5G 256GB</c:v>
                </c:pt>
                <c:pt idx="6">
                  <c:v>P2 Pro 5G 512GB</c:v>
                </c:pt>
                <c:pt idx="7">
                  <c:v>K11x 128GB</c:v>
                </c:pt>
                <c:pt idx="8">
                  <c:v>C65 256GB</c:v>
                </c:pt>
                <c:pt idx="9">
                  <c:v>K11x 256GB</c:v>
                </c:pt>
              </c:strCache>
            </c:strRef>
          </c:cat>
          <c:val>
            <c:numRef>
              <c:f>'Top 10 Phone by Value'!$B$7:$B$17</c:f>
              <c:numCache>
                <c:formatCode>[$$-409]#,##0.00</c:formatCode>
                <c:ptCount val="10"/>
                <c:pt idx="0">
                  <c:v>6.2089057579783722</c:v>
                </c:pt>
                <c:pt idx="1">
                  <c:v>6.1266237540232282</c:v>
                </c:pt>
                <c:pt idx="2">
                  <c:v>6.097133568016071</c:v>
                </c:pt>
                <c:pt idx="3">
                  <c:v>6.0400590520852715</c:v>
                </c:pt>
                <c:pt idx="4">
                  <c:v>5.9473411340239544</c:v>
                </c:pt>
                <c:pt idx="5">
                  <c:v>5.7835294377185518</c:v>
                </c:pt>
                <c:pt idx="6">
                  <c:v>5.7632239999891741</c:v>
                </c:pt>
                <c:pt idx="7">
                  <c:v>5.7490529119910683</c:v>
                </c:pt>
                <c:pt idx="8">
                  <c:v>5.6273752051261434</c:v>
                </c:pt>
                <c:pt idx="9">
                  <c:v>5.3900914178045571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1-47B7-AAD0-318ED598E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82064"/>
        <c:axId val="9482544"/>
        <c:axId val="0"/>
      </c:bar3DChart>
      <c:catAx>
        <c:axId val="9482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9482544"/>
        <c:crosses val="autoZero"/>
        <c:auto val="1"/>
        <c:lblAlgn val="ctr"/>
        <c:lblOffset val="100"/>
        <c:noMultiLvlLbl val="0"/>
      </c:catAx>
      <c:valAx>
        <c:axId val="948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948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[smartphone hardware to price analysis latest.xlsx]Best Value by Brand!PivotTable9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Best Value</a:t>
            </a:r>
            <a:r>
              <a:rPr lang="en-US" baseline="0"/>
              <a:t> by Brand </a:t>
            </a:r>
          </a:p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Lower = Better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[$$-409]#,##0.00" sourceLinked="0"/>
          <c:spPr>
            <a:noFill/>
            <a:ln>
              <a:noFill/>
            </a:ln>
            <a:effectLst/>
          </c:spPr>
          <c:txPr>
            <a:bodyPr rot="5400000" spcFirstLastPara="1" vertOverflow="ellipsis" vert="horz" wrap="square" lIns="38100" tIns="0" rIns="38100" bIns="180000" anchor="t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22"/>
      </c:pivotFmt>
      <c:pivotFmt>
        <c:idx val="23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'Best Value by Brand'!$B$3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[$$-409]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vert="horz" wrap="square" lIns="38100" tIns="0" rIns="38100" bIns="180000" anchor="t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'Best Value by Brand'!$A$4:$A$14</c:f>
              <c:strCache>
                <c:ptCount val="10"/>
                <c:pt idx="0">
                  <c:v>iQOO</c:v>
                </c:pt>
                <c:pt idx="1">
                  <c:v>Realme</c:v>
                </c:pt>
                <c:pt idx="2">
                  <c:v>Infinix</c:v>
                </c:pt>
                <c:pt idx="3">
                  <c:v>POCO</c:v>
                </c:pt>
                <c:pt idx="4">
                  <c:v>Xiaomi</c:v>
                </c:pt>
                <c:pt idx="5">
                  <c:v>Nokia</c:v>
                </c:pt>
                <c:pt idx="6">
                  <c:v>Lenovo</c:v>
                </c:pt>
                <c:pt idx="7">
                  <c:v>Oppo</c:v>
                </c:pt>
                <c:pt idx="8">
                  <c:v>Tecno</c:v>
                </c:pt>
                <c:pt idx="9">
                  <c:v>Motorola</c:v>
                </c:pt>
              </c:strCache>
            </c:strRef>
          </c:cat>
          <c:val>
            <c:numRef>
              <c:f>'Best Value by Brand'!$B$4:$B$14</c:f>
              <c:numCache>
                <c:formatCode>[$$-409]#,##0.00</c:formatCode>
                <c:ptCount val="10"/>
                <c:pt idx="0">
                  <c:v>7.4735565934866655</c:v>
                </c:pt>
                <c:pt idx="1">
                  <c:v>7.8464013099605783</c:v>
                </c:pt>
                <c:pt idx="2">
                  <c:v>9.0207529898953656</c:v>
                </c:pt>
                <c:pt idx="3">
                  <c:v>9.1672437300700285</c:v>
                </c:pt>
                <c:pt idx="4">
                  <c:v>10.95657088522165</c:v>
                </c:pt>
                <c:pt idx="5">
                  <c:v>10.978982738541401</c:v>
                </c:pt>
                <c:pt idx="6">
                  <c:v>11.884894131466865</c:v>
                </c:pt>
                <c:pt idx="7">
                  <c:v>11.968822096974673</c:v>
                </c:pt>
                <c:pt idx="8">
                  <c:v>12.100129624521564</c:v>
                </c:pt>
                <c:pt idx="9">
                  <c:v>12.387255556530729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3-4E22-B3E0-489D9BCD8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33821583"/>
        <c:axId val="1481850175"/>
      </c:barChart>
      <c:catAx>
        <c:axId val="73382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481850175"/>
        <c:crosses val="autoZero"/>
        <c:auto val="1"/>
        <c:lblAlgn val="ctr"/>
        <c:lblOffset val="100"/>
        <c:noMultiLvlLbl val="0"/>
      </c:catAx>
      <c:valAx>
        <c:axId val="148185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73382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[smartphone hardware to price analysis latest.xlsx]Trend Line!PivotTable2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001" sz="1600" b="1" i="0" u="none" strike="noStrike" baseline="0">
                <a:effectLst/>
              </a:rPr>
              <a:t>Smartphone Value Trend: Price per Spec Point by Tier</a:t>
            </a:r>
            <a:endParaRPr lang="en-US"/>
          </a:p>
        </c:rich>
      </c:tx>
      <c:layout>
        <c:manualLayout>
          <c:xMode val="edge"/>
          <c:yMode val="edge"/>
          <c:x val="0.24255877984008983"/>
          <c:y val="2.23941584787397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separator>.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separator>.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separator>.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separator>.</c:separator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separator>.</c:separator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separator>.</c:separator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separator>.</c:separator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separator>.</c:separator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27970713557335"/>
          <c:y val="8.8502919374803299E-2"/>
          <c:w val="0.72638399556211408"/>
          <c:h val="0.80092490462983623"/>
        </c:manualLayout>
      </c:layout>
      <c:lineChart>
        <c:grouping val="standard"/>
        <c:varyColors val="0"/>
        <c:ser>
          <c:idx val="0"/>
          <c:order val="0"/>
          <c:tx>
            <c:strRef>
              <c:f>'Trend Line'!$B$1:$B$2</c:f>
              <c:strCache>
                <c:ptCount val="1"/>
                <c:pt idx="0">
                  <c:v>Budget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Line'!$A$3:$A$14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Line'!$B$3:$B$14</c:f>
              <c:numCache>
                <c:formatCode>[$$-409]#,##0.00</c:formatCode>
                <c:ptCount val="11"/>
                <c:pt idx="0">
                  <c:v>42.864316064444964</c:v>
                </c:pt>
                <c:pt idx="1">
                  <c:v>18.145057626436888</c:v>
                </c:pt>
                <c:pt idx="2">
                  <c:v>18.26891874790066</c:v>
                </c:pt>
                <c:pt idx="3">
                  <c:v>17.01644811005994</c:v>
                </c:pt>
                <c:pt idx="4">
                  <c:v>14.956390111417111</c:v>
                </c:pt>
                <c:pt idx="5">
                  <c:v>10.011468784289438</c:v>
                </c:pt>
                <c:pt idx="6">
                  <c:v>10.565152688830938</c:v>
                </c:pt>
                <c:pt idx="7">
                  <c:v>11.677027103194082</c:v>
                </c:pt>
                <c:pt idx="8">
                  <c:v>9.5676451615487874</c:v>
                </c:pt>
                <c:pt idx="9">
                  <c:v>10.22107778002019</c:v>
                </c:pt>
                <c:pt idx="10">
                  <c:v>13.964286949355639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F-4857-8C2D-9A463AEAFFF2}"/>
            </c:ext>
          </c:extLst>
        </c:ser>
        <c:ser>
          <c:idx val="1"/>
          <c:order val="1"/>
          <c:tx>
            <c:strRef>
              <c:f>'Trend Line'!$C$1:$C$2</c:f>
              <c:strCache>
                <c:ptCount val="1"/>
                <c:pt idx="0">
                  <c:v>Flagship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.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Line'!$A$3:$A$14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Line'!$C$3:$C$14</c:f>
              <c:numCache>
                <c:formatCode>[$$-409]#,##0.00</c:formatCode>
                <c:ptCount val="11"/>
                <c:pt idx="2">
                  <c:v>29.46301197599746</c:v>
                </c:pt>
                <c:pt idx="3">
                  <c:v>30.798824560358977</c:v>
                </c:pt>
                <c:pt idx="4">
                  <c:v>23.806397021834563</c:v>
                </c:pt>
                <c:pt idx="5">
                  <c:v>21.0860251292047</c:v>
                </c:pt>
                <c:pt idx="6">
                  <c:v>22.864916995769189</c:v>
                </c:pt>
                <c:pt idx="7">
                  <c:v>20.298166168036477</c:v>
                </c:pt>
                <c:pt idx="8">
                  <c:v>18.967902024216215</c:v>
                </c:pt>
                <c:pt idx="9">
                  <c:v>18.459288771193794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F-4857-8C2D-9A463AEAFFF2}"/>
            </c:ext>
          </c:extLst>
        </c:ser>
        <c:ser>
          <c:idx val="2"/>
          <c:order val="2"/>
          <c:tx>
            <c:strRef>
              <c:f>'Trend Line'!$D$1:$D$2</c:f>
              <c:strCache>
                <c:ptCount val="1"/>
                <c:pt idx="0">
                  <c:v>Mid-range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Line'!$A$3:$A$14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Line'!$D$3:$D$14</c:f>
              <c:numCache>
                <c:formatCode>[$$-409]#,##0.00</c:formatCode>
                <c:ptCount val="11"/>
                <c:pt idx="4">
                  <c:v>9.1269397503199752</c:v>
                </c:pt>
                <c:pt idx="5">
                  <c:v>11.451613429819337</c:v>
                </c:pt>
                <c:pt idx="6">
                  <c:v>12.305169549461013</c:v>
                </c:pt>
                <c:pt idx="7">
                  <c:v>11.727259778387477</c:v>
                </c:pt>
                <c:pt idx="8">
                  <c:v>10.510952141115295</c:v>
                </c:pt>
                <c:pt idx="9">
                  <c:v>10.763587642214755</c:v>
                </c:pt>
                <c:pt idx="10">
                  <c:v>8.871743662025164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BF-4857-8C2D-9A463AEAF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81199"/>
        <c:axId val="2031382159"/>
      </c:lineChart>
      <c:catAx>
        <c:axId val="203138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31382159"/>
        <c:crosses val="autoZero"/>
        <c:auto val="1"/>
        <c:lblAlgn val="ctr"/>
        <c:lblOffset val="100"/>
        <c:noMultiLvlLbl val="0"/>
      </c:catAx>
      <c:valAx>
        <c:axId val="203138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3138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[smartphone hardware to price analysis latest.xlsx]Trend Line!PivotTable3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001" sz="1600" b="1" i="0" u="none" strike="noStrike" baseline="0">
                <a:effectLst/>
              </a:rPr>
              <a:t>Hardware Improvement: Average Specs Score by Tier</a:t>
            </a:r>
            <a:endParaRPr lang="en-US"/>
          </a:p>
        </c:rich>
      </c:tx>
      <c:layout>
        <c:manualLayout>
          <c:xMode val="edge"/>
          <c:yMode val="edge"/>
          <c:x val="0.24771649603888363"/>
          <c:y val="2.0152765304118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Line'!$B$15:$B$16</c:f>
              <c:strCache>
                <c:ptCount val="1"/>
                <c:pt idx="0">
                  <c:v>Budget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Line'!$A$17:$A$28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Line'!$B$17:$B$28</c:f>
              <c:numCache>
                <c:formatCode>0.00</c:formatCode>
                <c:ptCount val="11"/>
                <c:pt idx="0">
                  <c:v>3.9526816938267464</c:v>
                </c:pt>
                <c:pt idx="1">
                  <c:v>11.43193362056471</c:v>
                </c:pt>
                <c:pt idx="2">
                  <c:v>13.471816566996599</c:v>
                </c:pt>
                <c:pt idx="3">
                  <c:v>14.193437901016219</c:v>
                </c:pt>
                <c:pt idx="4">
                  <c:v>22.153198874811128</c:v>
                </c:pt>
                <c:pt idx="5">
                  <c:v>18.726236938569954</c:v>
                </c:pt>
                <c:pt idx="6">
                  <c:v>20.513184827160856</c:v>
                </c:pt>
                <c:pt idx="7">
                  <c:v>18.95872325058944</c:v>
                </c:pt>
                <c:pt idx="8">
                  <c:v>21.791150979882513</c:v>
                </c:pt>
                <c:pt idx="9">
                  <c:v>24.814512002828881</c:v>
                </c:pt>
                <c:pt idx="10">
                  <c:v>35.734012184777228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B-4A3E-A042-C41C49EEDF1C}"/>
            </c:ext>
          </c:extLst>
        </c:ser>
        <c:ser>
          <c:idx val="1"/>
          <c:order val="1"/>
          <c:tx>
            <c:strRef>
              <c:f>'Trend Line'!$C$15:$C$16</c:f>
              <c:strCache>
                <c:ptCount val="1"/>
                <c:pt idx="0">
                  <c:v>Flagship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Line'!$A$17:$A$28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Line'!$C$17:$C$28</c:f>
              <c:numCache>
                <c:formatCode>0.00</c:formatCode>
                <c:ptCount val="11"/>
                <c:pt idx="2">
                  <c:v>29.268022676370947</c:v>
                </c:pt>
                <c:pt idx="3">
                  <c:v>32.766717905517744</c:v>
                </c:pt>
                <c:pt idx="4">
                  <c:v>38.335210820640029</c:v>
                </c:pt>
                <c:pt idx="5">
                  <c:v>44.482958447028501</c:v>
                </c:pt>
                <c:pt idx="6">
                  <c:v>43.212380791598456</c:v>
                </c:pt>
                <c:pt idx="7">
                  <c:v>49.304247701057449</c:v>
                </c:pt>
                <c:pt idx="8">
                  <c:v>52.011510847613827</c:v>
                </c:pt>
                <c:pt idx="9">
                  <c:v>56.052173138626635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3B-4A3E-A042-C41C49EEDF1C}"/>
            </c:ext>
          </c:extLst>
        </c:ser>
        <c:ser>
          <c:idx val="2"/>
          <c:order val="2"/>
          <c:tx>
            <c:strRef>
              <c:f>'Trend Line'!$D$15:$D$16</c:f>
              <c:strCache>
                <c:ptCount val="1"/>
                <c:pt idx="0">
                  <c:v>Mid-range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Line'!$A$17:$A$28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Line'!$D$17:$D$28</c:f>
              <c:numCache>
                <c:formatCode>0.00</c:formatCode>
                <c:ptCount val="11"/>
                <c:pt idx="4">
                  <c:v>37.528729312813077</c:v>
                </c:pt>
                <c:pt idx="5">
                  <c:v>32.15130180568795</c:v>
                </c:pt>
                <c:pt idx="6">
                  <c:v>33.670102698138457</c:v>
                </c:pt>
                <c:pt idx="7">
                  <c:v>34.938036067522482</c:v>
                </c:pt>
                <c:pt idx="8">
                  <c:v>37.710270606759899</c:v>
                </c:pt>
                <c:pt idx="9">
                  <c:v>41.844516921103065</c:v>
                </c:pt>
                <c:pt idx="10">
                  <c:v>45.568329928905385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3B-4A3E-A042-C41C49EE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049983"/>
        <c:axId val="2029050943"/>
      </c:lineChart>
      <c:catAx>
        <c:axId val="202904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29050943"/>
        <c:crosses val="autoZero"/>
        <c:auto val="1"/>
        <c:lblAlgn val="ctr"/>
        <c:lblOffset val="100"/>
        <c:noMultiLvlLbl val="0"/>
      </c:catAx>
      <c:valAx>
        <c:axId val="20290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2904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[smartphone hardware to price analysis latest.xlsx]Trend Line!PivotTable5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001" sz="1600" b="1" i="0" u="none" strike="noStrike" baseline="0">
                <a:effectLst/>
              </a:rPr>
              <a:t>Price Inflation: Average Launch Price by Tier</a:t>
            </a:r>
            <a:endParaRPr lang="en-US"/>
          </a:p>
        </c:rich>
      </c:tx>
      <c:layout>
        <c:manualLayout>
          <c:xMode val="edge"/>
          <c:yMode val="edge"/>
          <c:x val="0.28072061612314581"/>
          <c:y val="2.28329971937137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Line'!$B$29:$B$30</c:f>
              <c:strCache>
                <c:ptCount val="1"/>
                <c:pt idx="0">
                  <c:v>Budget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Line'!$A$31:$A$42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Line'!$B$31:$B$42</c:f>
              <c:numCache>
                <c:formatCode>[$$-409]#,##0.00</c:formatCode>
                <c:ptCount val="11"/>
                <c:pt idx="0">
                  <c:v>169</c:v>
                </c:pt>
                <c:pt idx="1">
                  <c:v>211</c:v>
                </c:pt>
                <c:pt idx="2">
                  <c:v>241</c:v>
                </c:pt>
                <c:pt idx="3">
                  <c:v>226</c:v>
                </c:pt>
                <c:pt idx="4">
                  <c:v>320</c:v>
                </c:pt>
                <c:pt idx="5">
                  <c:v>187.88888888888889</c:v>
                </c:pt>
                <c:pt idx="6">
                  <c:v>213.30303030303031</c:v>
                </c:pt>
                <c:pt idx="7">
                  <c:v>214.27500000000001</c:v>
                </c:pt>
                <c:pt idx="8">
                  <c:v>205.18604651162789</c:v>
                </c:pt>
                <c:pt idx="9">
                  <c:v>252.77027027027026</c:v>
                </c:pt>
                <c:pt idx="10">
                  <c:v>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7-4474-A5C5-A3BBD07594E2}"/>
            </c:ext>
          </c:extLst>
        </c:ser>
        <c:ser>
          <c:idx val="1"/>
          <c:order val="1"/>
          <c:tx>
            <c:strRef>
              <c:f>'Trend Line'!$C$29:$C$30</c:f>
              <c:strCache>
                <c:ptCount val="1"/>
                <c:pt idx="0">
                  <c:v>Flagship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Line'!$A$31:$A$42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Line'!$C$31:$C$42</c:f>
              <c:numCache>
                <c:formatCode>[$$-409]#,##0.00</c:formatCode>
                <c:ptCount val="11"/>
                <c:pt idx="2">
                  <c:v>836.5</c:v>
                </c:pt>
                <c:pt idx="3">
                  <c:v>999</c:v>
                </c:pt>
                <c:pt idx="4">
                  <c:v>895.08695652173913</c:v>
                </c:pt>
                <c:pt idx="5">
                  <c:v>931.82608695652175</c:v>
                </c:pt>
                <c:pt idx="6">
                  <c:v>982.33333333333337</c:v>
                </c:pt>
                <c:pt idx="7">
                  <c:v>987.64406779661022</c:v>
                </c:pt>
                <c:pt idx="8">
                  <c:v>969.03797468354435</c:v>
                </c:pt>
                <c:pt idx="9">
                  <c:v>1019.3818181818182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E7-4474-A5C5-A3BBD07594E2}"/>
            </c:ext>
          </c:extLst>
        </c:ser>
        <c:ser>
          <c:idx val="2"/>
          <c:order val="2"/>
          <c:tx>
            <c:strRef>
              <c:f>'Trend Line'!$D$29:$D$30</c:f>
              <c:strCache>
                <c:ptCount val="1"/>
                <c:pt idx="0">
                  <c:v>Mid-range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Line'!$A$31:$A$42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Line'!$D$31:$D$42</c:f>
              <c:numCache>
                <c:formatCode>[$$-409]#,##0.00</c:formatCode>
                <c:ptCount val="11"/>
                <c:pt idx="4">
                  <c:v>349</c:v>
                </c:pt>
                <c:pt idx="5">
                  <c:v>357.57142857142856</c:v>
                </c:pt>
                <c:pt idx="6">
                  <c:v>412.26086956521738</c:v>
                </c:pt>
                <c:pt idx="7">
                  <c:v>410.64</c:v>
                </c:pt>
                <c:pt idx="8">
                  <c:v>395.32258064516128</c:v>
                </c:pt>
                <c:pt idx="9">
                  <c:v>450.12037037037038</c:v>
                </c:pt>
                <c:pt idx="10">
                  <c:v>414.6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E7-4474-A5C5-A3BBD0759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732127"/>
        <c:axId val="1197729247"/>
      </c:lineChart>
      <c:catAx>
        <c:axId val="11977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197729247"/>
        <c:crosses val="autoZero"/>
        <c:auto val="1"/>
        <c:lblAlgn val="ctr"/>
        <c:lblOffset val="100"/>
        <c:noMultiLvlLbl val="0"/>
      </c:catAx>
      <c:valAx>
        <c:axId val="119772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19773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[smartphone hardware to price analysis latest.xlsx]Chipset Value ranking!PivotTable1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Chipset Value Ranking</a:t>
            </a:r>
          </a:p>
        </c:rich>
      </c:tx>
      <c:layout>
        <c:manualLayout>
          <c:xMode val="edge"/>
          <c:yMode val="edge"/>
          <c:x val="0.41020082052093809"/>
          <c:y val="4.972033989458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chemeClr val="bg1">
              <a:lumMod val="6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chemeClr val="bg1">
              <a:lumMod val="6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solidFill>
            <a:schemeClr val="bg1">
              <a:lumMod val="6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'Chipset Value ranking'!$B$3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36-4260-96B3-148BA940981D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36-4260-96B3-148BA940981D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936-4260-96B3-148BA94098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'Chipset Value ranking'!$A$4:$A$7</c:f>
              <c:strCache>
                <c:ptCount val="3"/>
                <c:pt idx="0">
                  <c:v>Flagship</c:v>
                </c:pt>
                <c:pt idx="1">
                  <c:v>Mid-range</c:v>
                </c:pt>
                <c:pt idx="2">
                  <c:v>Budget</c:v>
                </c:pt>
              </c:strCache>
            </c:strRef>
          </c:cat>
          <c:val>
            <c:numRef>
              <c:f>'Chipset Value ranking'!$B$4:$B$7</c:f>
              <c:numCache>
                <c:formatCode>[$$-409]#,##0.00</c:formatCode>
                <c:ptCount val="3"/>
                <c:pt idx="0">
                  <c:v>18.459288771193805</c:v>
                </c:pt>
                <c:pt idx="1">
                  <c:v>10.763587642214757</c:v>
                </c:pt>
                <c:pt idx="2">
                  <c:v>10.221077780020197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36-4260-96B3-148BA940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[smartphone hardware to price analysis latest.xlsx]Best Value by Brand!PivotTable9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Best Value</a:t>
            </a:r>
            <a:r>
              <a:rPr lang="en-US" baseline="0"/>
              <a:t> by Brand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'Best Value by Brand'!$B$3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'Best Value by Brand'!$A$4:$A$14</c:f>
              <c:strCache>
                <c:ptCount val="10"/>
                <c:pt idx="0">
                  <c:v>iQOO</c:v>
                </c:pt>
                <c:pt idx="1">
                  <c:v>Realme</c:v>
                </c:pt>
                <c:pt idx="2">
                  <c:v>Infinix</c:v>
                </c:pt>
                <c:pt idx="3">
                  <c:v>POCO</c:v>
                </c:pt>
                <c:pt idx="4">
                  <c:v>Xiaomi</c:v>
                </c:pt>
                <c:pt idx="5">
                  <c:v>Nokia</c:v>
                </c:pt>
                <c:pt idx="6">
                  <c:v>Lenovo</c:v>
                </c:pt>
                <c:pt idx="7">
                  <c:v>Oppo</c:v>
                </c:pt>
                <c:pt idx="8">
                  <c:v>Tecno</c:v>
                </c:pt>
                <c:pt idx="9">
                  <c:v>Motorola</c:v>
                </c:pt>
              </c:strCache>
            </c:strRef>
          </c:cat>
          <c:val>
            <c:numRef>
              <c:f>'Best Value by Brand'!$B$4:$B$14</c:f>
              <c:numCache>
                <c:formatCode>[$$-409]#,##0.00</c:formatCode>
                <c:ptCount val="10"/>
                <c:pt idx="0">
                  <c:v>7.4735565934866655</c:v>
                </c:pt>
                <c:pt idx="1">
                  <c:v>7.8464013099605783</c:v>
                </c:pt>
                <c:pt idx="2">
                  <c:v>9.0207529898953656</c:v>
                </c:pt>
                <c:pt idx="3">
                  <c:v>9.1672437300700285</c:v>
                </c:pt>
                <c:pt idx="4">
                  <c:v>10.95657088522165</c:v>
                </c:pt>
                <c:pt idx="5">
                  <c:v>10.978982738541401</c:v>
                </c:pt>
                <c:pt idx="6">
                  <c:v>11.884894131466865</c:v>
                </c:pt>
                <c:pt idx="7">
                  <c:v>11.968822096974673</c:v>
                </c:pt>
                <c:pt idx="8">
                  <c:v>12.100129624521564</c:v>
                </c:pt>
                <c:pt idx="9">
                  <c:v>12.387255556530729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598D-46C0-816E-224272BC6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33821583"/>
        <c:axId val="1481850175"/>
      </c:barChart>
      <c:catAx>
        <c:axId val="73382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481850175"/>
        <c:crosses val="autoZero"/>
        <c:auto val="1"/>
        <c:lblAlgn val="ctr"/>
        <c:lblOffset val="100"/>
        <c:noMultiLvlLbl val="0"/>
      </c:catAx>
      <c:valAx>
        <c:axId val="148185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73382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[smartphone hardware to price analysis latest.xlsx]Top 10 Phone by Value!PivotTable15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to Specs</a:t>
            </a:r>
          </a:p>
          <a:p>
            <a:pPr>
              <a:defRPr/>
            </a:pPr>
            <a:r>
              <a:rPr lang="en-US"/>
              <a:t>Top 10</a:t>
            </a:r>
          </a:p>
        </c:rich>
      </c:tx>
      <c:layout>
        <c:manualLayout>
          <c:xMode val="edge"/>
          <c:yMode val="edge"/>
          <c:x val="0.51746935876134748"/>
          <c:y val="6.54095147069517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'Top 10 Phone by Value'!$B$6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'Top 10 Phone by Value'!$A$7:$A$17</c:f>
              <c:strCache>
                <c:ptCount val="10"/>
                <c:pt idx="0">
                  <c:v>13 Pro+ 5G 512GB</c:v>
                </c:pt>
                <c:pt idx="1">
                  <c:v>C65 128GB</c:v>
                </c:pt>
                <c:pt idx="2">
                  <c:v>Pad Air 128GB</c:v>
                </c:pt>
                <c:pt idx="3">
                  <c:v>GT 6 512GB</c:v>
                </c:pt>
                <c:pt idx="4">
                  <c:v>K10 5G 256GB</c:v>
                </c:pt>
                <c:pt idx="5">
                  <c:v>P1 Speed 5G 256GB</c:v>
                </c:pt>
                <c:pt idx="6">
                  <c:v>P2 Pro 5G 512GB</c:v>
                </c:pt>
                <c:pt idx="7">
                  <c:v>K11x 128GB</c:v>
                </c:pt>
                <c:pt idx="8">
                  <c:v>C65 256GB</c:v>
                </c:pt>
                <c:pt idx="9">
                  <c:v>K11x 256GB</c:v>
                </c:pt>
              </c:strCache>
            </c:strRef>
          </c:cat>
          <c:val>
            <c:numRef>
              <c:f>'Top 10 Phone by Value'!$B$7:$B$17</c:f>
              <c:numCache>
                <c:formatCode>[$$-409]#,##0.00</c:formatCode>
                <c:ptCount val="10"/>
                <c:pt idx="0">
                  <c:v>6.2089057579783722</c:v>
                </c:pt>
                <c:pt idx="1">
                  <c:v>6.1266237540232282</c:v>
                </c:pt>
                <c:pt idx="2">
                  <c:v>6.097133568016071</c:v>
                </c:pt>
                <c:pt idx="3">
                  <c:v>6.0400590520852715</c:v>
                </c:pt>
                <c:pt idx="4">
                  <c:v>5.9473411340239544</c:v>
                </c:pt>
                <c:pt idx="5">
                  <c:v>5.7835294377185518</c:v>
                </c:pt>
                <c:pt idx="6">
                  <c:v>5.7632239999891741</c:v>
                </c:pt>
                <c:pt idx="7">
                  <c:v>5.7490529119910683</c:v>
                </c:pt>
                <c:pt idx="8">
                  <c:v>5.6273752051261434</c:v>
                </c:pt>
                <c:pt idx="9">
                  <c:v>5.3900914178045571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8-4F7A-9074-48556C2E3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82064"/>
        <c:axId val="9482544"/>
        <c:axId val="0"/>
      </c:bar3DChart>
      <c:catAx>
        <c:axId val="9482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9482544"/>
        <c:crosses val="autoZero"/>
        <c:auto val="1"/>
        <c:lblAlgn val="ctr"/>
        <c:lblOffset val="100"/>
        <c:noMultiLvlLbl val="0"/>
      </c:catAx>
      <c:valAx>
        <c:axId val="948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948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[smartphone hardware to price analysis latest.xlsx]Chipset Value ranking!PivotTable1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Chipset Value Ranking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chemeClr val="bg1">
              <a:lumMod val="6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'Chipset Value ranking'!$B$3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742A-4509-AFEB-ABCA2077A195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42A-4509-AFEB-ABCA2077A195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2A-4509-AFEB-ABCA2077A1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'Chipset Value ranking'!$A$4:$A$7</c:f>
              <c:strCache>
                <c:ptCount val="3"/>
                <c:pt idx="0">
                  <c:v>Flagship</c:v>
                </c:pt>
                <c:pt idx="1">
                  <c:v>Mid-range</c:v>
                </c:pt>
                <c:pt idx="2">
                  <c:v>Budget</c:v>
                </c:pt>
              </c:strCache>
            </c:strRef>
          </c:cat>
          <c:val>
            <c:numRef>
              <c:f>'Chipset Value ranking'!$B$4:$B$7</c:f>
              <c:numCache>
                <c:formatCode>[$$-409]#,##0.00</c:formatCode>
                <c:ptCount val="3"/>
                <c:pt idx="0">
                  <c:v>18.459288771193805</c:v>
                </c:pt>
                <c:pt idx="1">
                  <c:v>10.763587642214757</c:v>
                </c:pt>
                <c:pt idx="2">
                  <c:v>10.221077780020197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1-4BA0-99C0-7D3951143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Budget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noFill/>
              </a:ln>
              <a:effectLst/>
            </c:spPr>
          </c:marker>
          <c:xVal>
            <c:numRef>
              <c:f>'Mobile Dataset Cleaned (PQ)'!$S$2:$S$262</c:f>
              <c:numCache>
                <c:formatCode>General</c:formatCode>
                <c:ptCount val="261"/>
                <c:pt idx="0">
                  <c:v>41.07089189586349</c:v>
                </c:pt>
                <c:pt idx="1">
                  <c:v>44.94185963779897</c:v>
                </c:pt>
                <c:pt idx="2">
                  <c:v>52.683795121669938</c:v>
                </c:pt>
                <c:pt idx="3">
                  <c:v>42.674152765428708</c:v>
                </c:pt>
                <c:pt idx="4">
                  <c:v>46.545120507364189</c:v>
                </c:pt>
                <c:pt idx="5">
                  <c:v>54.287055991235157</c:v>
                </c:pt>
                <c:pt idx="6">
                  <c:v>42.477803824514545</c:v>
                </c:pt>
                <c:pt idx="7">
                  <c:v>48.348771566450026</c:v>
                </c:pt>
                <c:pt idx="8">
                  <c:v>56.090707050320994</c:v>
                </c:pt>
                <c:pt idx="9">
                  <c:v>43.163283200211318</c:v>
                </c:pt>
                <c:pt idx="10">
                  <c:v>49.034250942146798</c:v>
                </c:pt>
                <c:pt idx="11">
                  <c:v>56.776186426017766</c:v>
                </c:pt>
                <c:pt idx="12">
                  <c:v>39.15609172019375</c:v>
                </c:pt>
                <c:pt idx="13">
                  <c:v>43.02705946212923</c:v>
                </c:pt>
                <c:pt idx="14">
                  <c:v>50.768994946000198</c:v>
                </c:pt>
                <c:pt idx="15">
                  <c:v>41.574569981063313</c:v>
                </c:pt>
                <c:pt idx="16">
                  <c:v>45.445537722998793</c:v>
                </c:pt>
                <c:pt idx="17">
                  <c:v>53.187473206869761</c:v>
                </c:pt>
                <c:pt idx="18">
                  <c:v>41.11261345932418</c:v>
                </c:pt>
                <c:pt idx="19">
                  <c:v>46.983581201259661</c:v>
                </c:pt>
                <c:pt idx="20">
                  <c:v>54.725516685130629</c:v>
                </c:pt>
                <c:pt idx="21">
                  <c:v>41.900656937585055</c:v>
                </c:pt>
                <c:pt idx="22">
                  <c:v>47.771624679520535</c:v>
                </c:pt>
                <c:pt idx="23">
                  <c:v>55.513560163391503</c:v>
                </c:pt>
                <c:pt idx="24">
                  <c:v>36.047311611413633</c:v>
                </c:pt>
                <c:pt idx="25">
                  <c:v>39.918279353349121</c:v>
                </c:pt>
                <c:pt idx="26">
                  <c:v>47.660214837220089</c:v>
                </c:pt>
                <c:pt idx="27">
                  <c:v>38.506550741848415</c:v>
                </c:pt>
                <c:pt idx="28">
                  <c:v>42.377518483783902</c:v>
                </c:pt>
                <c:pt idx="29">
                  <c:v>50.11945396765487</c:v>
                </c:pt>
                <c:pt idx="30">
                  <c:v>40.786526502802445</c:v>
                </c:pt>
                <c:pt idx="31">
                  <c:v>46.657494244737926</c:v>
                </c:pt>
                <c:pt idx="32">
                  <c:v>54.399429728608894</c:v>
                </c:pt>
                <c:pt idx="33">
                  <c:v>41.900656937585055</c:v>
                </c:pt>
                <c:pt idx="34">
                  <c:v>47.771624679520535</c:v>
                </c:pt>
                <c:pt idx="35">
                  <c:v>55.513560163391503</c:v>
                </c:pt>
                <c:pt idx="36">
                  <c:v>32.075753640399135</c:v>
                </c:pt>
                <c:pt idx="37">
                  <c:v>35.946721382334623</c:v>
                </c:pt>
                <c:pt idx="38">
                  <c:v>43.688656866205591</c:v>
                </c:pt>
                <c:pt idx="39">
                  <c:v>34.112529002717977</c:v>
                </c:pt>
                <c:pt idx="40">
                  <c:v>37.983496744653465</c:v>
                </c:pt>
                <c:pt idx="41">
                  <c:v>45.725432228524433</c:v>
                </c:pt>
                <c:pt idx="42">
                  <c:v>35.876115959239719</c:v>
                </c:pt>
                <c:pt idx="43">
                  <c:v>39.747083701175207</c:v>
                </c:pt>
                <c:pt idx="44">
                  <c:v>47.489019185046175</c:v>
                </c:pt>
                <c:pt idx="45">
                  <c:v>38.55057248097885</c:v>
                </c:pt>
                <c:pt idx="46">
                  <c:v>42.421540222914338</c:v>
                </c:pt>
                <c:pt idx="47">
                  <c:v>50.163475706785306</c:v>
                </c:pt>
                <c:pt idx="48">
                  <c:v>28.533621767674703</c:v>
                </c:pt>
                <c:pt idx="49">
                  <c:v>30.469105638642443</c:v>
                </c:pt>
                <c:pt idx="50">
                  <c:v>34.340073380577927</c:v>
                </c:pt>
                <c:pt idx="51">
                  <c:v>30.221484086515279</c:v>
                </c:pt>
                <c:pt idx="52">
                  <c:v>32.156967957483019</c:v>
                </c:pt>
                <c:pt idx="53">
                  <c:v>36.027935699418506</c:v>
                </c:pt>
                <c:pt idx="54">
                  <c:v>34.156967957483019</c:v>
                </c:pt>
                <c:pt idx="55">
                  <c:v>38.027935699418506</c:v>
                </c:pt>
                <c:pt idx="56">
                  <c:v>45.769871183289474</c:v>
                </c:pt>
                <c:pt idx="57">
                  <c:v>36.203707087917806</c:v>
                </c:pt>
                <c:pt idx="58">
                  <c:v>40.074674829853286</c:v>
                </c:pt>
                <c:pt idx="59">
                  <c:v>47.816610313724262</c:v>
                </c:pt>
                <c:pt idx="60">
                  <c:v>29.439836084758586</c:v>
                </c:pt>
                <c:pt idx="61">
                  <c:v>31.375319955726326</c:v>
                </c:pt>
                <c:pt idx="62">
                  <c:v>35.246287697661813</c:v>
                </c:pt>
                <c:pt idx="63">
                  <c:v>29.022988258671628</c:v>
                </c:pt>
                <c:pt idx="64">
                  <c:v>34.829439871574856</c:v>
                </c:pt>
                <c:pt idx="65">
                  <c:v>42.571375355445824</c:v>
                </c:pt>
                <c:pt idx="66">
                  <c:v>31.257046229686122</c:v>
                </c:pt>
                <c:pt idx="67">
                  <c:v>37.063497842589349</c:v>
                </c:pt>
                <c:pt idx="68">
                  <c:v>44.80543332646031</c:v>
                </c:pt>
                <c:pt idx="69">
                  <c:v>24.097623289640993</c:v>
                </c:pt>
                <c:pt idx="70">
                  <c:v>29.904074902544217</c:v>
                </c:pt>
                <c:pt idx="71">
                  <c:v>26.265684334875949</c:v>
                </c:pt>
                <c:pt idx="72">
                  <c:v>32.072135947779174</c:v>
                </c:pt>
                <c:pt idx="73">
                  <c:v>39.814071431650149</c:v>
                </c:pt>
                <c:pt idx="74">
                  <c:v>27.836155349368706</c:v>
                </c:pt>
                <c:pt idx="75">
                  <c:v>33.642606962271927</c:v>
                </c:pt>
                <c:pt idx="76">
                  <c:v>41.384542446142895</c:v>
                </c:pt>
                <c:pt idx="77">
                  <c:v>26.041227813136821</c:v>
                </c:pt>
                <c:pt idx="78">
                  <c:v>27.976711684104561</c:v>
                </c:pt>
                <c:pt idx="79">
                  <c:v>31.847679426040045</c:v>
                </c:pt>
                <c:pt idx="80">
                  <c:v>43.03615799955876</c:v>
                </c:pt>
                <c:pt idx="81">
                  <c:v>48.842609612461985</c:v>
                </c:pt>
                <c:pt idx="82">
                  <c:v>40.508451451392887</c:v>
                </c:pt>
                <c:pt idx="83">
                  <c:v>43.411677257844495</c:v>
                </c:pt>
                <c:pt idx="84">
                  <c:v>31.268708303660791</c:v>
                </c:pt>
                <c:pt idx="85">
                  <c:v>37.075159916564012</c:v>
                </c:pt>
                <c:pt idx="86">
                  <c:v>42.778671499651331</c:v>
                </c:pt>
                <c:pt idx="87">
                  <c:v>46.649639241586812</c:v>
                </c:pt>
                <c:pt idx="88">
                  <c:v>56.391574725457779</c:v>
                </c:pt>
                <c:pt idx="89">
                  <c:v>49.868707731535387</c:v>
                </c:pt>
                <c:pt idx="90">
                  <c:v>53.739675473470875</c:v>
                </c:pt>
                <c:pt idx="91">
                  <c:v>61.481610957341836</c:v>
                </c:pt>
                <c:pt idx="92">
                  <c:v>50.929939615593362</c:v>
                </c:pt>
                <c:pt idx="93">
                  <c:v>54.800907357528843</c:v>
                </c:pt>
                <c:pt idx="94">
                  <c:v>62.542842841399811</c:v>
                </c:pt>
                <c:pt idx="95">
                  <c:v>50.929939615593362</c:v>
                </c:pt>
                <c:pt idx="96">
                  <c:v>50.929939615593362</c:v>
                </c:pt>
                <c:pt idx="97">
                  <c:v>13.403535106459854</c:v>
                </c:pt>
                <c:pt idx="98">
                  <c:v>14.961506120952606</c:v>
                </c:pt>
                <c:pt idx="99">
                  <c:v>28.565453200443169</c:v>
                </c:pt>
                <c:pt idx="100">
                  <c:v>30.657844504790994</c:v>
                </c:pt>
                <c:pt idx="101">
                  <c:v>38.136430382447699</c:v>
                </c:pt>
                <c:pt idx="102">
                  <c:v>47.49903668010532</c:v>
                </c:pt>
                <c:pt idx="103">
                  <c:v>33.542603738077574</c:v>
                </c:pt>
                <c:pt idx="104">
                  <c:v>39.355365990401296</c:v>
                </c:pt>
                <c:pt idx="105">
                  <c:v>48.694630833786064</c:v>
                </c:pt>
                <c:pt idx="106">
                  <c:v>39.913894418494948</c:v>
                </c:pt>
                <c:pt idx="107">
                  <c:v>40.82079710060377</c:v>
                </c:pt>
                <c:pt idx="108">
                  <c:v>49.987054697611718</c:v>
                </c:pt>
                <c:pt idx="109">
                  <c:v>41.124796543190165</c:v>
                </c:pt>
                <c:pt idx="110">
                  <c:v>42.280075037392947</c:v>
                </c:pt>
                <c:pt idx="111">
                  <c:v>51.301405098169013</c:v>
                </c:pt>
                <c:pt idx="112">
                  <c:v>63.47359420522838</c:v>
                </c:pt>
                <c:pt idx="113">
                  <c:v>64.714536234213895</c:v>
                </c:pt>
                <c:pt idx="114">
                  <c:v>23.583693988406953</c:v>
                </c:pt>
                <c:pt idx="115">
                  <c:v>26.982711335793866</c:v>
                </c:pt>
                <c:pt idx="116">
                  <c:v>29.092312785069229</c:v>
                </c:pt>
                <c:pt idx="117">
                  <c:v>28.424740321301112</c:v>
                </c:pt>
                <c:pt idx="118">
                  <c:v>23.0469964280962</c:v>
                </c:pt>
                <c:pt idx="119">
                  <c:v>17.295741300997744</c:v>
                </c:pt>
                <c:pt idx="120">
                  <c:v>16.294282749970225</c:v>
                </c:pt>
                <c:pt idx="121">
                  <c:v>20.311328204515682</c:v>
                </c:pt>
                <c:pt idx="122">
                  <c:v>21.053904031986562</c:v>
                </c:pt>
                <c:pt idx="123">
                  <c:v>15.607112130734393</c:v>
                </c:pt>
                <c:pt idx="124">
                  <c:v>21.142465666087926</c:v>
                </c:pt>
                <c:pt idx="125">
                  <c:v>30.076681978677556</c:v>
                </c:pt>
                <c:pt idx="126">
                  <c:v>24.938274492443981</c:v>
                </c:pt>
                <c:pt idx="127">
                  <c:v>14.799333255020732</c:v>
                </c:pt>
                <c:pt idx="128">
                  <c:v>23.544952068574329</c:v>
                </c:pt>
                <c:pt idx="129">
                  <c:v>30.076681978677556</c:v>
                </c:pt>
                <c:pt idx="130">
                  <c:v>24.938274492443981</c:v>
                </c:pt>
                <c:pt idx="131">
                  <c:v>14.799333255020732</c:v>
                </c:pt>
                <c:pt idx="132">
                  <c:v>23.544952068574329</c:v>
                </c:pt>
                <c:pt idx="133">
                  <c:v>21.551924398260301</c:v>
                </c:pt>
                <c:pt idx="134">
                  <c:v>16.094853691189595</c:v>
                </c:pt>
                <c:pt idx="135">
                  <c:v>19.026671873007778</c:v>
                </c:pt>
                <c:pt idx="136">
                  <c:v>19.026671873007778</c:v>
                </c:pt>
                <c:pt idx="137">
                  <c:v>16.184335465453977</c:v>
                </c:pt>
                <c:pt idx="138">
                  <c:v>36.822640730071093</c:v>
                </c:pt>
                <c:pt idx="139">
                  <c:v>19.026671873007778</c:v>
                </c:pt>
                <c:pt idx="140">
                  <c:v>17.184335465453977</c:v>
                </c:pt>
                <c:pt idx="141">
                  <c:v>16.347378943714848</c:v>
                </c:pt>
                <c:pt idx="142">
                  <c:v>42.712984056368313</c:v>
                </c:pt>
                <c:pt idx="143">
                  <c:v>46.712984056368313</c:v>
                </c:pt>
                <c:pt idx="144">
                  <c:v>42.526250500069537</c:v>
                </c:pt>
                <c:pt idx="145">
                  <c:v>41.875925786260936</c:v>
                </c:pt>
                <c:pt idx="146">
                  <c:v>42.633501543836701</c:v>
                </c:pt>
                <c:pt idx="147">
                  <c:v>46.633501543836701</c:v>
                </c:pt>
                <c:pt idx="148">
                  <c:v>43.344308545638825</c:v>
                </c:pt>
                <c:pt idx="149">
                  <c:v>43.01822158911709</c:v>
                </c:pt>
                <c:pt idx="150">
                  <c:v>47.01822158911709</c:v>
                </c:pt>
                <c:pt idx="151">
                  <c:v>53.570617266278511</c:v>
                </c:pt>
                <c:pt idx="152">
                  <c:v>53.580780453915459</c:v>
                </c:pt>
                <c:pt idx="153">
                  <c:v>45.096065243047697</c:v>
                </c:pt>
                <c:pt idx="154">
                  <c:v>49.096065243047697</c:v>
                </c:pt>
                <c:pt idx="155">
                  <c:v>53.666717416960743</c:v>
                </c:pt>
                <c:pt idx="156">
                  <c:v>50.000517846291537</c:v>
                </c:pt>
                <c:pt idx="157">
                  <c:v>60.010858829646004</c:v>
                </c:pt>
                <c:pt idx="158">
                  <c:v>46.521734983934834</c:v>
                </c:pt>
                <c:pt idx="159">
                  <c:v>51.010865418717444</c:v>
                </c:pt>
                <c:pt idx="160">
                  <c:v>55.092387157847874</c:v>
                </c:pt>
                <c:pt idx="161">
                  <c:v>50.778926937200623</c:v>
                </c:pt>
                <c:pt idx="162">
                  <c:v>62.388227837449797</c:v>
                </c:pt>
                <c:pt idx="163">
                  <c:v>46.521734983934834</c:v>
                </c:pt>
                <c:pt idx="164">
                  <c:v>51.010865418717444</c:v>
                </c:pt>
                <c:pt idx="165">
                  <c:v>55.092387157847874</c:v>
                </c:pt>
                <c:pt idx="166">
                  <c:v>50.778926937200623</c:v>
                </c:pt>
                <c:pt idx="167">
                  <c:v>52.300242838107984</c:v>
                </c:pt>
                <c:pt idx="168">
                  <c:v>60.188445517071528</c:v>
                </c:pt>
                <c:pt idx="169">
                  <c:v>66.81307332554492</c:v>
                </c:pt>
                <c:pt idx="170">
                  <c:v>52.300242838107984</c:v>
                </c:pt>
                <c:pt idx="171">
                  <c:v>64.388199588171176</c:v>
                </c:pt>
                <c:pt idx="172">
                  <c:v>63.867366254837847</c:v>
                </c:pt>
                <c:pt idx="173">
                  <c:v>52.300242838107984</c:v>
                </c:pt>
                <c:pt idx="174">
                  <c:v>20.10307466811372</c:v>
                </c:pt>
                <c:pt idx="175">
                  <c:v>33.320113038497297</c:v>
                </c:pt>
                <c:pt idx="176">
                  <c:v>28.498385316985086</c:v>
                </c:pt>
                <c:pt idx="177">
                  <c:v>27.892163187665133</c:v>
                </c:pt>
                <c:pt idx="178">
                  <c:v>29.280954004960446</c:v>
                </c:pt>
                <c:pt idx="179">
                  <c:v>28.047806155808104</c:v>
                </c:pt>
                <c:pt idx="180">
                  <c:v>21.560625722132166</c:v>
                </c:pt>
                <c:pt idx="181">
                  <c:v>27.989401245501021</c:v>
                </c:pt>
                <c:pt idx="182">
                  <c:v>41.125968415004849</c:v>
                </c:pt>
                <c:pt idx="183">
                  <c:v>40.793087980222239</c:v>
                </c:pt>
                <c:pt idx="184">
                  <c:v>30.016159209758982</c:v>
                </c:pt>
                <c:pt idx="185">
                  <c:v>26.134296054798</c:v>
                </c:pt>
                <c:pt idx="186">
                  <c:v>29.193447350362341</c:v>
                </c:pt>
                <c:pt idx="187">
                  <c:v>42.04535247297585</c:v>
                </c:pt>
                <c:pt idx="188">
                  <c:v>45.768434587221762</c:v>
                </c:pt>
                <c:pt idx="189">
                  <c:v>28.134296054798</c:v>
                </c:pt>
                <c:pt idx="190">
                  <c:v>29.305136989225893</c:v>
                </c:pt>
                <c:pt idx="191">
                  <c:v>24.098327041926815</c:v>
                </c:pt>
                <c:pt idx="192">
                  <c:v>28.333790057796499</c:v>
                </c:pt>
                <c:pt idx="193">
                  <c:v>39.781172208795596</c:v>
                </c:pt>
                <c:pt idx="194">
                  <c:v>43.267649140784144</c:v>
                </c:pt>
                <c:pt idx="195">
                  <c:v>28.371687848411682</c:v>
                </c:pt>
                <c:pt idx="196">
                  <c:v>45.974645402268791</c:v>
                </c:pt>
                <c:pt idx="197">
                  <c:v>31.38204717923578</c:v>
                </c:pt>
                <c:pt idx="198">
                  <c:v>52.961460160682122</c:v>
                </c:pt>
                <c:pt idx="199">
                  <c:v>31.38204717923578</c:v>
                </c:pt>
                <c:pt idx="200">
                  <c:v>32.602477137624881</c:v>
                </c:pt>
                <c:pt idx="201">
                  <c:v>36.995153905301656</c:v>
                </c:pt>
                <c:pt idx="202">
                  <c:v>32.584070257149044</c:v>
                </c:pt>
                <c:pt idx="203">
                  <c:v>38.518316566395349</c:v>
                </c:pt>
                <c:pt idx="204">
                  <c:v>51.323162249614342</c:v>
                </c:pt>
                <c:pt idx="205">
                  <c:v>32.974658835237612</c:v>
                </c:pt>
                <c:pt idx="206">
                  <c:v>40.863182012460193</c:v>
                </c:pt>
                <c:pt idx="207">
                  <c:v>36.208354487411526</c:v>
                </c:pt>
                <c:pt idx="208">
                  <c:v>43.53528346173556</c:v>
                </c:pt>
                <c:pt idx="209">
                  <c:v>40.789875061623256</c:v>
                </c:pt>
                <c:pt idx="210">
                  <c:v>41.317954771768179</c:v>
                </c:pt>
                <c:pt idx="211">
                  <c:v>40.134126013070613</c:v>
                </c:pt>
                <c:pt idx="212">
                  <c:v>43.521790353977082</c:v>
                </c:pt>
                <c:pt idx="213">
                  <c:v>42.562707395456336</c:v>
                </c:pt>
                <c:pt idx="214">
                  <c:v>43.352841684372493</c:v>
                </c:pt>
                <c:pt idx="215">
                  <c:v>43.785812698865243</c:v>
                </c:pt>
                <c:pt idx="216">
                  <c:v>43.797831929634476</c:v>
                </c:pt>
                <c:pt idx="217">
                  <c:v>43.797831929634476</c:v>
                </c:pt>
                <c:pt idx="218">
                  <c:v>44.325005842677953</c:v>
                </c:pt>
                <c:pt idx="219">
                  <c:v>48.243037211608872</c:v>
                </c:pt>
                <c:pt idx="220">
                  <c:v>46.815566761228006</c:v>
                </c:pt>
                <c:pt idx="221">
                  <c:v>47.348175456880178</c:v>
                </c:pt>
                <c:pt idx="222">
                  <c:v>47.67426241340192</c:v>
                </c:pt>
                <c:pt idx="223">
                  <c:v>47.66934915033648</c:v>
                </c:pt>
                <c:pt idx="224">
                  <c:v>47.913914367727784</c:v>
                </c:pt>
                <c:pt idx="225">
                  <c:v>47.913914367727784</c:v>
                </c:pt>
                <c:pt idx="226">
                  <c:v>52.158479585119089</c:v>
                </c:pt>
                <c:pt idx="227">
                  <c:v>47.565182483669815</c:v>
                </c:pt>
                <c:pt idx="228">
                  <c:v>47.832392628597347</c:v>
                </c:pt>
                <c:pt idx="229">
                  <c:v>47.832392628597347</c:v>
                </c:pt>
                <c:pt idx="230">
                  <c:v>47.821320039891702</c:v>
                </c:pt>
                <c:pt idx="231">
                  <c:v>50.511406341437905</c:v>
                </c:pt>
                <c:pt idx="232">
                  <c:v>50.594739674771233</c:v>
                </c:pt>
                <c:pt idx="233">
                  <c:v>52.870027037199492</c:v>
                </c:pt>
                <c:pt idx="234">
                  <c:v>60.61196252107046</c:v>
                </c:pt>
                <c:pt idx="235">
                  <c:v>52.821279630599768</c:v>
                </c:pt>
                <c:pt idx="236">
                  <c:v>60.563215114470736</c:v>
                </c:pt>
                <c:pt idx="237">
                  <c:v>54.628750894967581</c:v>
                </c:pt>
                <c:pt idx="238">
                  <c:v>62.370686378838549</c:v>
                </c:pt>
                <c:pt idx="239">
                  <c:v>71.500268222532085</c:v>
                </c:pt>
                <c:pt idx="240">
                  <c:v>72.541934889198757</c:v>
                </c:pt>
                <c:pt idx="241">
                  <c:v>30.812281399246988</c:v>
                </c:pt>
                <c:pt idx="242">
                  <c:v>38.151609440645871</c:v>
                </c:pt>
                <c:pt idx="243">
                  <c:v>37.818729005863261</c:v>
                </c:pt>
                <c:pt idx="244">
                  <c:v>34.476743748491941</c:v>
                </c:pt>
                <c:pt idx="245">
                  <c:v>42.594231879426474</c:v>
                </c:pt>
                <c:pt idx="246">
                  <c:v>43.524032604064161</c:v>
                </c:pt>
                <c:pt idx="247">
                  <c:v>31.726894277831008</c:v>
                </c:pt>
                <c:pt idx="248">
                  <c:v>43.440699270730825</c:v>
                </c:pt>
                <c:pt idx="249">
                  <c:v>43.524032604064161</c:v>
                </c:pt>
                <c:pt idx="250">
                  <c:v>47.524032604064153</c:v>
                </c:pt>
                <c:pt idx="251">
                  <c:v>28.599540159144428</c:v>
                </c:pt>
                <c:pt idx="252">
                  <c:v>19.233332528693918</c:v>
                </c:pt>
                <c:pt idx="253">
                  <c:v>21.252520632777077</c:v>
                </c:pt>
                <c:pt idx="254">
                  <c:v>17.044818612575057</c:v>
                </c:pt>
                <c:pt idx="255">
                  <c:v>27.177916836190519</c:v>
                </c:pt>
                <c:pt idx="256">
                  <c:v>29.915704192512361</c:v>
                </c:pt>
                <c:pt idx="257">
                  <c:v>27.895502172310341</c:v>
                </c:pt>
                <c:pt idx="258">
                  <c:v>15.147382715139159</c:v>
                </c:pt>
                <c:pt idx="259">
                  <c:v>32.890063166871336</c:v>
                </c:pt>
                <c:pt idx="260">
                  <c:v>32.890063166871336</c:v>
                </c:pt>
              </c:numCache>
            </c:numRef>
          </c:xVal>
          <c:yVal>
            <c:numRef>
              <c:f>'Mobile Dataset Cleaned (PQ)'!$O$2:$O$262</c:f>
              <c:numCache>
                <c:formatCode>General</c:formatCode>
                <c:ptCount val="261"/>
                <c:pt idx="0">
                  <c:v>799</c:v>
                </c:pt>
                <c:pt idx="1">
                  <c:v>849</c:v>
                </c:pt>
                <c:pt idx="2">
                  <c:v>899</c:v>
                </c:pt>
                <c:pt idx="3">
                  <c:v>899</c:v>
                </c:pt>
                <c:pt idx="4">
                  <c:v>949</c:v>
                </c:pt>
                <c:pt idx="5">
                  <c:v>999</c:v>
                </c:pt>
                <c:pt idx="6">
                  <c:v>999</c:v>
                </c:pt>
                <c:pt idx="7">
                  <c:v>1049</c:v>
                </c:pt>
                <c:pt idx="8">
                  <c:v>1099</c:v>
                </c:pt>
                <c:pt idx="9">
                  <c:v>1099</c:v>
                </c:pt>
                <c:pt idx="10">
                  <c:v>1199</c:v>
                </c:pt>
                <c:pt idx="11">
                  <c:v>1299</c:v>
                </c:pt>
                <c:pt idx="12">
                  <c:v>799</c:v>
                </c:pt>
                <c:pt idx="13">
                  <c:v>849</c:v>
                </c:pt>
                <c:pt idx="14">
                  <c:v>949</c:v>
                </c:pt>
                <c:pt idx="15">
                  <c:v>899</c:v>
                </c:pt>
                <c:pt idx="16">
                  <c:v>999</c:v>
                </c:pt>
                <c:pt idx="17">
                  <c:v>1049</c:v>
                </c:pt>
                <c:pt idx="18">
                  <c:v>1099</c:v>
                </c:pt>
                <c:pt idx="19">
                  <c:v>1199</c:v>
                </c:pt>
                <c:pt idx="20">
                  <c:v>1299</c:v>
                </c:pt>
                <c:pt idx="21">
                  <c:v>1199</c:v>
                </c:pt>
                <c:pt idx="22">
                  <c:v>1299</c:v>
                </c:pt>
                <c:pt idx="23">
                  <c:v>1399</c:v>
                </c:pt>
                <c:pt idx="24">
                  <c:v>799</c:v>
                </c:pt>
                <c:pt idx="25">
                  <c:v>849</c:v>
                </c:pt>
                <c:pt idx="26">
                  <c:v>949</c:v>
                </c:pt>
                <c:pt idx="27">
                  <c:v>899</c:v>
                </c:pt>
                <c:pt idx="28">
                  <c:v>999</c:v>
                </c:pt>
                <c:pt idx="29">
                  <c:v>1049</c:v>
                </c:pt>
                <c:pt idx="30">
                  <c:v>1099</c:v>
                </c:pt>
                <c:pt idx="31">
                  <c:v>1199</c:v>
                </c:pt>
                <c:pt idx="32">
                  <c:v>1299</c:v>
                </c:pt>
                <c:pt idx="33">
                  <c:v>1199</c:v>
                </c:pt>
                <c:pt idx="34">
                  <c:v>1299</c:v>
                </c:pt>
                <c:pt idx="35">
                  <c:v>1399</c:v>
                </c:pt>
                <c:pt idx="36">
                  <c:v>699</c:v>
                </c:pt>
                <c:pt idx="37">
                  <c:v>799</c:v>
                </c:pt>
                <c:pt idx="38">
                  <c:v>899</c:v>
                </c:pt>
                <c:pt idx="39">
                  <c:v>799</c:v>
                </c:pt>
                <c:pt idx="40">
                  <c:v>899</c:v>
                </c:pt>
                <c:pt idx="41">
                  <c:v>999</c:v>
                </c:pt>
                <c:pt idx="42">
                  <c:v>999</c:v>
                </c:pt>
                <c:pt idx="43">
                  <c:v>1099</c:v>
                </c:pt>
                <c:pt idx="44">
                  <c:v>1199</c:v>
                </c:pt>
                <c:pt idx="45">
                  <c:v>1099</c:v>
                </c:pt>
                <c:pt idx="46">
                  <c:v>1199</c:v>
                </c:pt>
                <c:pt idx="47">
                  <c:v>1399</c:v>
                </c:pt>
                <c:pt idx="48">
                  <c:v>699</c:v>
                </c:pt>
                <c:pt idx="49">
                  <c:v>799</c:v>
                </c:pt>
                <c:pt idx="50">
                  <c:v>899</c:v>
                </c:pt>
                <c:pt idx="51">
                  <c:v>799</c:v>
                </c:pt>
                <c:pt idx="52">
                  <c:v>899</c:v>
                </c:pt>
                <c:pt idx="53">
                  <c:v>999</c:v>
                </c:pt>
                <c:pt idx="54">
                  <c:v>999</c:v>
                </c:pt>
                <c:pt idx="55">
                  <c:v>1099</c:v>
                </c:pt>
                <c:pt idx="56">
                  <c:v>1199</c:v>
                </c:pt>
                <c:pt idx="57">
                  <c:v>1099</c:v>
                </c:pt>
                <c:pt idx="58">
                  <c:v>1199</c:v>
                </c:pt>
                <c:pt idx="59">
                  <c:v>1399</c:v>
                </c:pt>
                <c:pt idx="60">
                  <c:v>699</c:v>
                </c:pt>
                <c:pt idx="61">
                  <c:v>799</c:v>
                </c:pt>
                <c:pt idx="62">
                  <c:v>899</c:v>
                </c:pt>
                <c:pt idx="63">
                  <c:v>999</c:v>
                </c:pt>
                <c:pt idx="64">
                  <c:v>1099</c:v>
                </c:pt>
                <c:pt idx="65">
                  <c:v>1199</c:v>
                </c:pt>
                <c:pt idx="66">
                  <c:v>1099</c:v>
                </c:pt>
                <c:pt idx="67">
                  <c:v>1199</c:v>
                </c:pt>
                <c:pt idx="68">
                  <c:v>1399</c:v>
                </c:pt>
                <c:pt idx="69">
                  <c:v>999</c:v>
                </c:pt>
                <c:pt idx="70">
                  <c:v>1099</c:v>
                </c:pt>
                <c:pt idx="71">
                  <c:v>999</c:v>
                </c:pt>
                <c:pt idx="72">
                  <c:v>1099</c:v>
                </c:pt>
                <c:pt idx="73">
                  <c:v>1299</c:v>
                </c:pt>
                <c:pt idx="74">
                  <c:v>1099</c:v>
                </c:pt>
                <c:pt idx="75">
                  <c:v>1249</c:v>
                </c:pt>
                <c:pt idx="76">
                  <c:v>1399</c:v>
                </c:pt>
                <c:pt idx="77">
                  <c:v>749</c:v>
                </c:pt>
                <c:pt idx="78">
                  <c:v>799</c:v>
                </c:pt>
                <c:pt idx="79">
                  <c:v>899</c:v>
                </c:pt>
                <c:pt idx="80">
                  <c:v>599</c:v>
                </c:pt>
                <c:pt idx="81">
                  <c:v>749</c:v>
                </c:pt>
                <c:pt idx="82">
                  <c:v>329</c:v>
                </c:pt>
                <c:pt idx="83">
                  <c:v>429</c:v>
                </c:pt>
                <c:pt idx="84">
                  <c:v>399</c:v>
                </c:pt>
                <c:pt idx="85">
                  <c:v>499</c:v>
                </c:pt>
                <c:pt idx="86">
                  <c:v>799</c:v>
                </c:pt>
                <c:pt idx="87">
                  <c:v>899</c:v>
                </c:pt>
                <c:pt idx="88">
                  <c:v>1099</c:v>
                </c:pt>
                <c:pt idx="89">
                  <c:v>999</c:v>
                </c:pt>
                <c:pt idx="90">
                  <c:v>1099</c:v>
                </c:pt>
                <c:pt idx="91">
                  <c:v>1299</c:v>
                </c:pt>
                <c:pt idx="92">
                  <c:v>1099</c:v>
                </c:pt>
                <c:pt idx="93">
                  <c:v>1199</c:v>
                </c:pt>
                <c:pt idx="94">
                  <c:v>1399</c:v>
                </c:pt>
                <c:pt idx="95">
                  <c:v>1599</c:v>
                </c:pt>
                <c:pt idx="96">
                  <c:v>1799</c:v>
                </c:pt>
                <c:pt idx="97">
                  <c:v>399</c:v>
                </c:pt>
                <c:pt idx="98">
                  <c:v>479</c:v>
                </c:pt>
                <c:pt idx="99">
                  <c:v>799</c:v>
                </c:pt>
                <c:pt idx="100">
                  <c:v>899</c:v>
                </c:pt>
                <c:pt idx="101">
                  <c:v>699</c:v>
                </c:pt>
                <c:pt idx="102">
                  <c:v>899</c:v>
                </c:pt>
                <c:pt idx="103">
                  <c:v>449</c:v>
                </c:pt>
                <c:pt idx="104">
                  <c:v>599</c:v>
                </c:pt>
                <c:pt idx="105">
                  <c:v>899</c:v>
                </c:pt>
                <c:pt idx="106">
                  <c:v>499</c:v>
                </c:pt>
                <c:pt idx="107">
                  <c:v>699</c:v>
                </c:pt>
                <c:pt idx="108">
                  <c:v>999</c:v>
                </c:pt>
                <c:pt idx="109">
                  <c:v>549</c:v>
                </c:pt>
                <c:pt idx="110">
                  <c:v>799</c:v>
                </c:pt>
                <c:pt idx="111">
                  <c:v>1099</c:v>
                </c:pt>
                <c:pt idx="112">
                  <c:v>1299</c:v>
                </c:pt>
                <c:pt idx="113">
                  <c:v>1799</c:v>
                </c:pt>
                <c:pt idx="114">
                  <c:v>349</c:v>
                </c:pt>
                <c:pt idx="115">
                  <c:v>499</c:v>
                </c:pt>
                <c:pt idx="116">
                  <c:v>699</c:v>
                </c:pt>
                <c:pt idx="117">
                  <c:v>449</c:v>
                </c:pt>
                <c:pt idx="118">
                  <c:v>299</c:v>
                </c:pt>
                <c:pt idx="119">
                  <c:v>219</c:v>
                </c:pt>
                <c:pt idx="120">
                  <c:v>179</c:v>
                </c:pt>
                <c:pt idx="121">
                  <c:v>229</c:v>
                </c:pt>
                <c:pt idx="122">
                  <c:v>279</c:v>
                </c:pt>
                <c:pt idx="123">
                  <c:v>159</c:v>
                </c:pt>
                <c:pt idx="124">
                  <c:v>199</c:v>
                </c:pt>
                <c:pt idx="125">
                  <c:v>299</c:v>
                </c:pt>
                <c:pt idx="126">
                  <c:v>249</c:v>
                </c:pt>
                <c:pt idx="127">
                  <c:v>149</c:v>
                </c:pt>
                <c:pt idx="128">
                  <c:v>189</c:v>
                </c:pt>
                <c:pt idx="129">
                  <c:v>299</c:v>
                </c:pt>
                <c:pt idx="130">
                  <c:v>249</c:v>
                </c:pt>
                <c:pt idx="131">
                  <c:v>149</c:v>
                </c:pt>
                <c:pt idx="132">
                  <c:v>189</c:v>
                </c:pt>
                <c:pt idx="133">
                  <c:v>199</c:v>
                </c:pt>
                <c:pt idx="134">
                  <c:v>159</c:v>
                </c:pt>
                <c:pt idx="135">
                  <c:v>229</c:v>
                </c:pt>
                <c:pt idx="136">
                  <c:v>189</c:v>
                </c:pt>
                <c:pt idx="137">
                  <c:v>149</c:v>
                </c:pt>
                <c:pt idx="138">
                  <c:v>399</c:v>
                </c:pt>
                <c:pt idx="139">
                  <c:v>189</c:v>
                </c:pt>
                <c:pt idx="140">
                  <c:v>149</c:v>
                </c:pt>
                <c:pt idx="141">
                  <c:v>129</c:v>
                </c:pt>
                <c:pt idx="142">
                  <c:v>599</c:v>
                </c:pt>
                <c:pt idx="143">
                  <c:v>699</c:v>
                </c:pt>
                <c:pt idx="144">
                  <c:v>549</c:v>
                </c:pt>
                <c:pt idx="145">
                  <c:v>899</c:v>
                </c:pt>
                <c:pt idx="146">
                  <c:v>1099</c:v>
                </c:pt>
                <c:pt idx="147">
                  <c:v>1299</c:v>
                </c:pt>
                <c:pt idx="148">
                  <c:v>899</c:v>
                </c:pt>
                <c:pt idx="149">
                  <c:v>1099</c:v>
                </c:pt>
                <c:pt idx="150">
                  <c:v>1299</c:v>
                </c:pt>
                <c:pt idx="151">
                  <c:v>1799</c:v>
                </c:pt>
                <c:pt idx="152">
                  <c:v>799</c:v>
                </c:pt>
                <c:pt idx="153">
                  <c:v>999</c:v>
                </c:pt>
                <c:pt idx="154">
                  <c:v>1199</c:v>
                </c:pt>
                <c:pt idx="155">
                  <c:v>1399</c:v>
                </c:pt>
                <c:pt idx="156">
                  <c:v>1699</c:v>
                </c:pt>
                <c:pt idx="157">
                  <c:v>799</c:v>
                </c:pt>
                <c:pt idx="158">
                  <c:v>1099</c:v>
                </c:pt>
                <c:pt idx="159">
                  <c:v>1299</c:v>
                </c:pt>
                <c:pt idx="160">
                  <c:v>1499</c:v>
                </c:pt>
                <c:pt idx="161">
                  <c:v>1899</c:v>
                </c:pt>
                <c:pt idx="162">
                  <c:v>699</c:v>
                </c:pt>
                <c:pt idx="163">
                  <c:v>1099</c:v>
                </c:pt>
                <c:pt idx="164">
                  <c:v>1299</c:v>
                </c:pt>
                <c:pt idx="165">
                  <c:v>1499</c:v>
                </c:pt>
                <c:pt idx="166">
                  <c:v>1899</c:v>
                </c:pt>
                <c:pt idx="167">
                  <c:v>649</c:v>
                </c:pt>
                <c:pt idx="168">
                  <c:v>799</c:v>
                </c:pt>
                <c:pt idx="169">
                  <c:v>899</c:v>
                </c:pt>
                <c:pt idx="170">
                  <c:v>649</c:v>
                </c:pt>
                <c:pt idx="171">
                  <c:v>999</c:v>
                </c:pt>
                <c:pt idx="172">
                  <c:v>799</c:v>
                </c:pt>
                <c:pt idx="173">
                  <c:v>649</c:v>
                </c:pt>
                <c:pt idx="174">
                  <c:v>219</c:v>
                </c:pt>
                <c:pt idx="175">
                  <c:v>449</c:v>
                </c:pt>
                <c:pt idx="176">
                  <c:v>349</c:v>
                </c:pt>
                <c:pt idx="177">
                  <c:v>319</c:v>
                </c:pt>
                <c:pt idx="178">
                  <c:v>379</c:v>
                </c:pt>
                <c:pt idx="179">
                  <c:v>349</c:v>
                </c:pt>
                <c:pt idx="180">
                  <c:v>229</c:v>
                </c:pt>
                <c:pt idx="181">
                  <c:v>599</c:v>
                </c:pt>
                <c:pt idx="182">
                  <c:v>549</c:v>
                </c:pt>
                <c:pt idx="183">
                  <c:v>649</c:v>
                </c:pt>
                <c:pt idx="184">
                  <c:v>449</c:v>
                </c:pt>
                <c:pt idx="185">
                  <c:v>379</c:v>
                </c:pt>
                <c:pt idx="186">
                  <c:v>319</c:v>
                </c:pt>
                <c:pt idx="187">
                  <c:v>549</c:v>
                </c:pt>
                <c:pt idx="188">
                  <c:v>649</c:v>
                </c:pt>
                <c:pt idx="189">
                  <c:v>449</c:v>
                </c:pt>
                <c:pt idx="190">
                  <c:v>379</c:v>
                </c:pt>
                <c:pt idx="191">
                  <c:v>299</c:v>
                </c:pt>
                <c:pt idx="192">
                  <c:v>499</c:v>
                </c:pt>
                <c:pt idx="193">
                  <c:v>549</c:v>
                </c:pt>
                <c:pt idx="194">
                  <c:v>699</c:v>
                </c:pt>
                <c:pt idx="195">
                  <c:v>299</c:v>
                </c:pt>
                <c:pt idx="196">
                  <c:v>549</c:v>
                </c:pt>
                <c:pt idx="197">
                  <c:v>399</c:v>
                </c:pt>
                <c:pt idx="198">
                  <c:v>599</c:v>
                </c:pt>
                <c:pt idx="199">
                  <c:v>399</c:v>
                </c:pt>
                <c:pt idx="200">
                  <c:v>399</c:v>
                </c:pt>
                <c:pt idx="201">
                  <c:v>499</c:v>
                </c:pt>
                <c:pt idx="202">
                  <c:v>299</c:v>
                </c:pt>
                <c:pt idx="203">
                  <c:v>449</c:v>
                </c:pt>
                <c:pt idx="204">
                  <c:v>499</c:v>
                </c:pt>
                <c:pt idx="205">
                  <c:v>299</c:v>
                </c:pt>
                <c:pt idx="206">
                  <c:v>399</c:v>
                </c:pt>
                <c:pt idx="207">
                  <c:v>399</c:v>
                </c:pt>
                <c:pt idx="208">
                  <c:v>499</c:v>
                </c:pt>
                <c:pt idx="209">
                  <c:v>699</c:v>
                </c:pt>
                <c:pt idx="210">
                  <c:v>899</c:v>
                </c:pt>
                <c:pt idx="211">
                  <c:v>1299</c:v>
                </c:pt>
                <c:pt idx="212">
                  <c:v>2699</c:v>
                </c:pt>
                <c:pt idx="213">
                  <c:v>2499</c:v>
                </c:pt>
                <c:pt idx="214">
                  <c:v>999</c:v>
                </c:pt>
                <c:pt idx="215">
                  <c:v>1199</c:v>
                </c:pt>
                <c:pt idx="216">
                  <c:v>999</c:v>
                </c:pt>
                <c:pt idx="217">
                  <c:v>1099</c:v>
                </c:pt>
                <c:pt idx="218">
                  <c:v>1299</c:v>
                </c:pt>
                <c:pt idx="219">
                  <c:v>2499</c:v>
                </c:pt>
                <c:pt idx="220">
                  <c:v>1099</c:v>
                </c:pt>
                <c:pt idx="221">
                  <c:v>1299</c:v>
                </c:pt>
                <c:pt idx="222">
                  <c:v>1499</c:v>
                </c:pt>
                <c:pt idx="223">
                  <c:v>999</c:v>
                </c:pt>
                <c:pt idx="224">
                  <c:v>1099</c:v>
                </c:pt>
                <c:pt idx="225">
                  <c:v>1199</c:v>
                </c:pt>
                <c:pt idx="226">
                  <c:v>1299</c:v>
                </c:pt>
                <c:pt idx="227">
                  <c:v>899</c:v>
                </c:pt>
                <c:pt idx="228">
                  <c:v>999</c:v>
                </c:pt>
                <c:pt idx="229">
                  <c:v>1099</c:v>
                </c:pt>
                <c:pt idx="230">
                  <c:v>2499</c:v>
                </c:pt>
                <c:pt idx="231">
                  <c:v>499</c:v>
                </c:pt>
                <c:pt idx="232">
                  <c:v>599</c:v>
                </c:pt>
                <c:pt idx="233">
                  <c:v>2599</c:v>
                </c:pt>
                <c:pt idx="234">
                  <c:v>2799</c:v>
                </c:pt>
                <c:pt idx="235">
                  <c:v>529</c:v>
                </c:pt>
                <c:pt idx="236">
                  <c:v>599</c:v>
                </c:pt>
                <c:pt idx="237">
                  <c:v>649</c:v>
                </c:pt>
                <c:pt idx="238">
                  <c:v>729</c:v>
                </c:pt>
                <c:pt idx="239">
                  <c:v>999</c:v>
                </c:pt>
                <c:pt idx="240">
                  <c:v>877</c:v>
                </c:pt>
                <c:pt idx="241">
                  <c:v>799</c:v>
                </c:pt>
                <c:pt idx="242">
                  <c:v>499</c:v>
                </c:pt>
                <c:pt idx="243">
                  <c:v>599</c:v>
                </c:pt>
                <c:pt idx="244">
                  <c:v>649</c:v>
                </c:pt>
                <c:pt idx="245">
                  <c:v>499</c:v>
                </c:pt>
                <c:pt idx="246">
                  <c:v>599</c:v>
                </c:pt>
                <c:pt idx="247">
                  <c:v>399</c:v>
                </c:pt>
                <c:pt idx="248">
                  <c:v>499</c:v>
                </c:pt>
                <c:pt idx="249">
                  <c:v>599</c:v>
                </c:pt>
                <c:pt idx="250">
                  <c:v>699</c:v>
                </c:pt>
                <c:pt idx="251">
                  <c:v>299</c:v>
                </c:pt>
                <c:pt idx="252">
                  <c:v>219</c:v>
                </c:pt>
                <c:pt idx="253">
                  <c:v>219</c:v>
                </c:pt>
                <c:pt idx="254">
                  <c:v>179</c:v>
                </c:pt>
                <c:pt idx="255">
                  <c:v>269</c:v>
                </c:pt>
                <c:pt idx="256">
                  <c:v>279</c:v>
                </c:pt>
                <c:pt idx="257">
                  <c:v>199</c:v>
                </c:pt>
                <c:pt idx="258">
                  <c:v>159</c:v>
                </c:pt>
                <c:pt idx="259">
                  <c:v>229</c:v>
                </c:pt>
                <c:pt idx="260">
                  <c:v>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77-4C22-AC38-60EF82B8F897}"/>
            </c:ext>
          </c:extLst>
        </c:ser>
        <c:ser>
          <c:idx val="1"/>
          <c:order val="1"/>
          <c:tx>
            <c:v>Flagship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'Mobile Dataset Cleaned (PQ)'!$S$263:$S$624</c:f>
              <c:numCache>
                <c:formatCode>General</c:formatCode>
                <c:ptCount val="362"/>
                <c:pt idx="0">
                  <c:v>23.757571137827583</c:v>
                </c:pt>
                <c:pt idx="1">
                  <c:v>15.147382715139159</c:v>
                </c:pt>
                <c:pt idx="2">
                  <c:v>15.147382715139159</c:v>
                </c:pt>
                <c:pt idx="3">
                  <c:v>17.665880823311181</c:v>
                </c:pt>
                <c:pt idx="4">
                  <c:v>19.396751402007844</c:v>
                </c:pt>
                <c:pt idx="5">
                  <c:v>17.259509416939775</c:v>
                </c:pt>
                <c:pt idx="6">
                  <c:v>22.054919622676067</c:v>
                </c:pt>
                <c:pt idx="7">
                  <c:v>12.706848339120913</c:v>
                </c:pt>
                <c:pt idx="8">
                  <c:v>21.294187299443742</c:v>
                </c:pt>
                <c:pt idx="9">
                  <c:v>17.512034669465024</c:v>
                </c:pt>
                <c:pt idx="10">
                  <c:v>25.272722652979098</c:v>
                </c:pt>
                <c:pt idx="11">
                  <c:v>12.959373591646166</c:v>
                </c:pt>
                <c:pt idx="12">
                  <c:v>18.181522186778633</c:v>
                </c:pt>
                <c:pt idx="13">
                  <c:v>22.822057979488335</c:v>
                </c:pt>
                <c:pt idx="14">
                  <c:v>22.822057979488335</c:v>
                </c:pt>
                <c:pt idx="15">
                  <c:v>11.959373591646166</c:v>
                </c:pt>
                <c:pt idx="16">
                  <c:v>14.818975040921529</c:v>
                </c:pt>
                <c:pt idx="17">
                  <c:v>16.483570681761908</c:v>
                </c:pt>
                <c:pt idx="18">
                  <c:v>17.006984164414522</c:v>
                </c:pt>
                <c:pt idx="19">
                  <c:v>21.757571137827583</c:v>
                </c:pt>
                <c:pt idx="20">
                  <c:v>8.1920961820578544</c:v>
                </c:pt>
                <c:pt idx="21">
                  <c:v>20.970992981684208</c:v>
                </c:pt>
                <c:pt idx="22">
                  <c:v>11.959373591646166</c:v>
                </c:pt>
                <c:pt idx="23">
                  <c:v>23.347899480357952</c:v>
                </c:pt>
                <c:pt idx="24">
                  <c:v>24.544541907978633</c:v>
                </c:pt>
                <c:pt idx="25">
                  <c:v>16.824916835608061</c:v>
                </c:pt>
                <c:pt idx="26">
                  <c:v>30.8822961078018</c:v>
                </c:pt>
                <c:pt idx="27">
                  <c:v>11.454323086595661</c:v>
                </c:pt>
                <c:pt idx="28">
                  <c:v>63.267620090623907</c:v>
                </c:pt>
                <c:pt idx="29">
                  <c:v>55.938537035997385</c:v>
                </c:pt>
                <c:pt idx="30">
                  <c:v>54.571744106704458</c:v>
                </c:pt>
                <c:pt idx="31">
                  <c:v>56.26462399251912</c:v>
                </c:pt>
                <c:pt idx="32">
                  <c:v>36.57679694159237</c:v>
                </c:pt>
                <c:pt idx="33">
                  <c:v>28.240746216954683</c:v>
                </c:pt>
                <c:pt idx="34">
                  <c:v>49.951492679387812</c:v>
                </c:pt>
                <c:pt idx="35">
                  <c:v>40.307690527433479</c:v>
                </c:pt>
                <c:pt idx="36">
                  <c:v>44.095569315312275</c:v>
                </c:pt>
                <c:pt idx="37">
                  <c:v>52.114723563945525</c:v>
                </c:pt>
                <c:pt idx="38">
                  <c:v>52.114723563945525</c:v>
                </c:pt>
                <c:pt idx="39">
                  <c:v>41.587472038193241</c:v>
                </c:pt>
                <c:pt idx="40">
                  <c:v>47.748649025457198</c:v>
                </c:pt>
                <c:pt idx="41">
                  <c:v>26.535348915605361</c:v>
                </c:pt>
                <c:pt idx="42">
                  <c:v>48.955388275577981</c:v>
                </c:pt>
                <c:pt idx="43">
                  <c:v>52.955388275577981</c:v>
                </c:pt>
                <c:pt idx="44">
                  <c:v>46.242407171433086</c:v>
                </c:pt>
                <c:pt idx="45">
                  <c:v>24.347848915605361</c:v>
                </c:pt>
                <c:pt idx="46">
                  <c:v>46.384207484572627</c:v>
                </c:pt>
                <c:pt idx="47">
                  <c:v>56.264353548186428</c:v>
                </c:pt>
                <c:pt idx="48">
                  <c:v>57.526979810812698</c:v>
                </c:pt>
                <c:pt idx="49">
                  <c:v>16.922805992578567</c:v>
                </c:pt>
                <c:pt idx="50">
                  <c:v>20.858289863546307</c:v>
                </c:pt>
                <c:pt idx="51">
                  <c:v>25.390815049088737</c:v>
                </c:pt>
                <c:pt idx="52">
                  <c:v>9.3910569435186151</c:v>
                </c:pt>
                <c:pt idx="53">
                  <c:v>18.437957507730079</c:v>
                </c:pt>
                <c:pt idx="54">
                  <c:v>15.171715337439936</c:v>
                </c:pt>
                <c:pt idx="55">
                  <c:v>8.5652307467685063</c:v>
                </c:pt>
                <c:pt idx="56">
                  <c:v>18.944248359972953</c:v>
                </c:pt>
                <c:pt idx="57">
                  <c:v>22.879732230940704</c:v>
                </c:pt>
                <c:pt idx="58">
                  <c:v>19.896694012146874</c:v>
                </c:pt>
                <c:pt idx="59">
                  <c:v>44.882311324552404</c:v>
                </c:pt>
                <c:pt idx="60">
                  <c:v>52.753279066487885</c:v>
                </c:pt>
                <c:pt idx="61">
                  <c:v>64.495214550358853</c:v>
                </c:pt>
                <c:pt idx="62">
                  <c:v>39.160293691177955</c:v>
                </c:pt>
                <c:pt idx="63">
                  <c:v>45.031261433113428</c:v>
                </c:pt>
                <c:pt idx="64">
                  <c:v>19.222230945020762</c:v>
                </c:pt>
                <c:pt idx="65">
                  <c:v>23.157714815988498</c:v>
                </c:pt>
                <c:pt idx="66">
                  <c:v>16.922805992578567</c:v>
                </c:pt>
                <c:pt idx="67">
                  <c:v>20.858289863546307</c:v>
                </c:pt>
                <c:pt idx="68">
                  <c:v>20.529049126838942</c:v>
                </c:pt>
                <c:pt idx="69">
                  <c:v>24.464532997806685</c:v>
                </c:pt>
                <c:pt idx="70">
                  <c:v>10.370223610185283</c:v>
                </c:pt>
                <c:pt idx="71">
                  <c:v>12.337965545669155</c:v>
                </c:pt>
                <c:pt idx="72">
                  <c:v>30.439911785685467</c:v>
                </c:pt>
                <c:pt idx="73">
                  <c:v>34.310879527620955</c:v>
                </c:pt>
                <c:pt idx="74">
                  <c:v>21.326906735180422</c:v>
                </c:pt>
                <c:pt idx="75">
                  <c:v>29.197874477115903</c:v>
                </c:pt>
                <c:pt idx="76">
                  <c:v>26.380568351342035</c:v>
                </c:pt>
                <c:pt idx="77">
                  <c:v>32.251536093277515</c:v>
                </c:pt>
                <c:pt idx="78">
                  <c:v>31.316272374330538</c:v>
                </c:pt>
                <c:pt idx="79">
                  <c:v>39.187240116266025</c:v>
                </c:pt>
                <c:pt idx="80">
                  <c:v>13.107732177504753</c:v>
                </c:pt>
                <c:pt idx="81">
                  <c:v>15.043216048472493</c:v>
                </c:pt>
                <c:pt idx="82">
                  <c:v>31.069086598328028</c:v>
                </c:pt>
                <c:pt idx="83">
                  <c:v>40.811022082198996</c:v>
                </c:pt>
                <c:pt idx="84">
                  <c:v>22.865416836190519</c:v>
                </c:pt>
                <c:pt idx="85">
                  <c:v>28.736384578126007</c:v>
                </c:pt>
                <c:pt idx="86">
                  <c:v>12.766628836401411</c:v>
                </c:pt>
                <c:pt idx="87">
                  <c:v>8.6838194346506725</c:v>
                </c:pt>
                <c:pt idx="88">
                  <c:v>11.651561370134543</c:v>
                </c:pt>
                <c:pt idx="89">
                  <c:v>16.889528924818741</c:v>
                </c:pt>
                <c:pt idx="90">
                  <c:v>45.063486362033672</c:v>
                </c:pt>
                <c:pt idx="91">
                  <c:v>52.934454103969145</c:v>
                </c:pt>
                <c:pt idx="92">
                  <c:v>61.699940312477793</c:v>
                </c:pt>
                <c:pt idx="93">
                  <c:v>77.87047101449275</c:v>
                </c:pt>
                <c:pt idx="94">
                  <c:v>77.87047101449275</c:v>
                </c:pt>
                <c:pt idx="95">
                  <c:v>45.364526656280475</c:v>
                </c:pt>
                <c:pt idx="96">
                  <c:v>53.235494398215963</c:v>
                </c:pt>
                <c:pt idx="97">
                  <c:v>38.165704192512351</c:v>
                </c:pt>
                <c:pt idx="98">
                  <c:v>46.036671934447838</c:v>
                </c:pt>
                <c:pt idx="99">
                  <c:v>41.716561339696341</c:v>
                </c:pt>
                <c:pt idx="100">
                  <c:v>49.587529081631828</c:v>
                </c:pt>
                <c:pt idx="101">
                  <c:v>31.410871381645066</c:v>
                </c:pt>
                <c:pt idx="102">
                  <c:v>39.281839123580554</c:v>
                </c:pt>
                <c:pt idx="103">
                  <c:v>26.943419647139358</c:v>
                </c:pt>
                <c:pt idx="104">
                  <c:v>32.814387389074845</c:v>
                </c:pt>
                <c:pt idx="105">
                  <c:v>33.095774122582284</c:v>
                </c:pt>
                <c:pt idx="106">
                  <c:v>38.966741864517772</c:v>
                </c:pt>
                <c:pt idx="107">
                  <c:v>40.593688044409248</c:v>
                </c:pt>
                <c:pt idx="108">
                  <c:v>48.464655786344736</c:v>
                </c:pt>
                <c:pt idx="109">
                  <c:v>40.599171934447838</c:v>
                </c:pt>
                <c:pt idx="110">
                  <c:v>52.341107418318813</c:v>
                </c:pt>
                <c:pt idx="111">
                  <c:v>32.663080977604658</c:v>
                </c:pt>
                <c:pt idx="112">
                  <c:v>36.534048719540145</c:v>
                </c:pt>
                <c:pt idx="113">
                  <c:v>40.284915237038973</c:v>
                </c:pt>
                <c:pt idx="114">
                  <c:v>52.026850720909934</c:v>
                </c:pt>
                <c:pt idx="115">
                  <c:v>40.080150195317401</c:v>
                </c:pt>
                <c:pt idx="116">
                  <c:v>39.424407990662161</c:v>
                </c:pt>
                <c:pt idx="117">
                  <c:v>51.166343474533122</c:v>
                </c:pt>
                <c:pt idx="118">
                  <c:v>40.284915237038973</c:v>
                </c:pt>
                <c:pt idx="119">
                  <c:v>52.026850720909934</c:v>
                </c:pt>
                <c:pt idx="120">
                  <c:v>31.060448035625768</c:v>
                </c:pt>
                <c:pt idx="121">
                  <c:v>36.931415777561256</c:v>
                </c:pt>
                <c:pt idx="122">
                  <c:v>29.51503804831173</c:v>
                </c:pt>
                <c:pt idx="123">
                  <c:v>35.386005790247218</c:v>
                </c:pt>
                <c:pt idx="124">
                  <c:v>25.286502694776381</c:v>
                </c:pt>
                <c:pt idx="125">
                  <c:v>25.390669361443045</c:v>
                </c:pt>
                <c:pt idx="126">
                  <c:v>21.548606491362936</c:v>
                </c:pt>
                <c:pt idx="127">
                  <c:v>15.004959044840312</c:v>
                </c:pt>
                <c:pt idx="128">
                  <c:v>16.940442915808056</c:v>
                </c:pt>
                <c:pt idx="129">
                  <c:v>13.77347615574873</c:v>
                </c:pt>
                <c:pt idx="130">
                  <c:v>16.708960026716468</c:v>
                </c:pt>
                <c:pt idx="131">
                  <c:v>15.086689814071084</c:v>
                </c:pt>
                <c:pt idx="132">
                  <c:v>19.022173685038826</c:v>
                </c:pt>
                <c:pt idx="133">
                  <c:v>10.8552069249795</c:v>
                </c:pt>
                <c:pt idx="134">
                  <c:v>13.79069079594724</c:v>
                </c:pt>
                <c:pt idx="135">
                  <c:v>24.341135561909248</c:v>
                </c:pt>
                <c:pt idx="136">
                  <c:v>24.571747601460565</c:v>
                </c:pt>
                <c:pt idx="137">
                  <c:v>27.307481715755401</c:v>
                </c:pt>
                <c:pt idx="138">
                  <c:v>18.517029896069708</c:v>
                </c:pt>
                <c:pt idx="139">
                  <c:v>16.663919046191616</c:v>
                </c:pt>
                <c:pt idx="140">
                  <c:v>16.663919046191616</c:v>
                </c:pt>
                <c:pt idx="141">
                  <c:v>57.400308298084212</c:v>
                </c:pt>
                <c:pt idx="142">
                  <c:v>52.563843954498431</c:v>
                </c:pt>
                <c:pt idx="143">
                  <c:v>52.116435083176512</c:v>
                </c:pt>
                <c:pt idx="144">
                  <c:v>52.116435083176512</c:v>
                </c:pt>
                <c:pt idx="145">
                  <c:v>52.158101749843176</c:v>
                </c:pt>
                <c:pt idx="146">
                  <c:v>60.854864309705434</c:v>
                </c:pt>
                <c:pt idx="147">
                  <c:v>54.875055772831686</c:v>
                </c:pt>
                <c:pt idx="148">
                  <c:v>51.806268196922673</c:v>
                </c:pt>
                <c:pt idx="149">
                  <c:v>49.936027326681803</c:v>
                </c:pt>
                <c:pt idx="150">
                  <c:v>41.908809584746315</c:v>
                </c:pt>
                <c:pt idx="151">
                  <c:v>60.137682035457942</c:v>
                </c:pt>
                <c:pt idx="152">
                  <c:v>48.517151064055547</c:v>
                </c:pt>
                <c:pt idx="153">
                  <c:v>41.908809584746315</c:v>
                </c:pt>
                <c:pt idx="154">
                  <c:v>48.517151064055547</c:v>
                </c:pt>
                <c:pt idx="155">
                  <c:v>51.806268196922673</c:v>
                </c:pt>
                <c:pt idx="156">
                  <c:v>41.151233827170564</c:v>
                </c:pt>
                <c:pt idx="157">
                  <c:v>48.773038745214961</c:v>
                </c:pt>
                <c:pt idx="158">
                  <c:v>40.320096365598317</c:v>
                </c:pt>
                <c:pt idx="159">
                  <c:v>40.320096365598317</c:v>
                </c:pt>
                <c:pt idx="160">
                  <c:v>35.9333759000735</c:v>
                </c:pt>
                <c:pt idx="161">
                  <c:v>41.105819943485287</c:v>
                </c:pt>
                <c:pt idx="162">
                  <c:v>30.698257154085191</c:v>
                </c:pt>
                <c:pt idx="163">
                  <c:v>44.69287621256295</c:v>
                </c:pt>
                <c:pt idx="164">
                  <c:v>52.266714293522469</c:v>
                </c:pt>
                <c:pt idx="165">
                  <c:v>46.564307410124925</c:v>
                </c:pt>
                <c:pt idx="166">
                  <c:v>32.447261621839658</c:v>
                </c:pt>
                <c:pt idx="167">
                  <c:v>32.372135359213395</c:v>
                </c:pt>
                <c:pt idx="168">
                  <c:v>48.773038745214961</c:v>
                </c:pt>
                <c:pt idx="169">
                  <c:v>48.517151064055547</c:v>
                </c:pt>
                <c:pt idx="170">
                  <c:v>46.702894366646667</c:v>
                </c:pt>
                <c:pt idx="171">
                  <c:v>53.529340556148725</c:v>
                </c:pt>
                <c:pt idx="172">
                  <c:v>45.743705365294282</c:v>
                </c:pt>
                <c:pt idx="173">
                  <c:v>56.137682035457942</c:v>
                </c:pt>
                <c:pt idx="174">
                  <c:v>53.379061345802775</c:v>
                </c:pt>
                <c:pt idx="175">
                  <c:v>53.436565301876094</c:v>
                </c:pt>
                <c:pt idx="176">
                  <c:v>53.436565301876094</c:v>
                </c:pt>
                <c:pt idx="177">
                  <c:v>66.490828562145737</c:v>
                </c:pt>
                <c:pt idx="178">
                  <c:v>37.953169361443045</c:v>
                </c:pt>
                <c:pt idx="179">
                  <c:v>34.614397022670708</c:v>
                </c:pt>
                <c:pt idx="180">
                  <c:v>33.281358013329225</c:v>
                </c:pt>
                <c:pt idx="181">
                  <c:v>33.281358013329225</c:v>
                </c:pt>
                <c:pt idx="182">
                  <c:v>27.19226706929075</c:v>
                </c:pt>
                <c:pt idx="183">
                  <c:v>30.735635536572268</c:v>
                </c:pt>
                <c:pt idx="184">
                  <c:v>30.8331755267753</c:v>
                </c:pt>
                <c:pt idx="185">
                  <c:v>31.765938566875292</c:v>
                </c:pt>
                <c:pt idx="186">
                  <c:v>33.281358013329225</c:v>
                </c:pt>
                <c:pt idx="187">
                  <c:v>28.472048580050526</c:v>
                </c:pt>
                <c:pt idx="188">
                  <c:v>37.117118636805365</c:v>
                </c:pt>
                <c:pt idx="189">
                  <c:v>36.224809036943292</c:v>
                </c:pt>
                <c:pt idx="190">
                  <c:v>35.734012184777228</c:v>
                </c:pt>
                <c:pt idx="191">
                  <c:v>35.734012184777228</c:v>
                </c:pt>
                <c:pt idx="192">
                  <c:v>27.929524277215855</c:v>
                </c:pt>
                <c:pt idx="193">
                  <c:v>22.187299455486933</c:v>
                </c:pt>
                <c:pt idx="194">
                  <c:v>20.682488159211992</c:v>
                </c:pt>
                <c:pt idx="195">
                  <c:v>26.55345590114748</c:v>
                </c:pt>
                <c:pt idx="196">
                  <c:v>22.187299455486933</c:v>
                </c:pt>
                <c:pt idx="197">
                  <c:v>20.682488159211992</c:v>
                </c:pt>
                <c:pt idx="198">
                  <c:v>26.55345590114748</c:v>
                </c:pt>
                <c:pt idx="199">
                  <c:v>22.187299455486933</c:v>
                </c:pt>
                <c:pt idx="200">
                  <c:v>21.146120088876533</c:v>
                </c:pt>
                <c:pt idx="201">
                  <c:v>27.017087830812017</c:v>
                </c:pt>
                <c:pt idx="202">
                  <c:v>28.409473223197409</c:v>
                </c:pt>
                <c:pt idx="203">
                  <c:v>20.578569583826027</c:v>
                </c:pt>
                <c:pt idx="204">
                  <c:v>20.578569583826027</c:v>
                </c:pt>
                <c:pt idx="205">
                  <c:v>24.257802228575912</c:v>
                </c:pt>
                <c:pt idx="206">
                  <c:v>17.419723598893089</c:v>
                </c:pt>
                <c:pt idx="207">
                  <c:v>17.149378002460534</c:v>
                </c:pt>
                <c:pt idx="208">
                  <c:v>16.948134801217332</c:v>
                </c:pt>
                <c:pt idx="209">
                  <c:v>16.948134801217332</c:v>
                </c:pt>
                <c:pt idx="210">
                  <c:v>16.948134801217332</c:v>
                </c:pt>
                <c:pt idx="211">
                  <c:v>22.066567681222548</c:v>
                </c:pt>
                <c:pt idx="212">
                  <c:v>27.937535423158035</c:v>
                </c:pt>
                <c:pt idx="213">
                  <c:v>24.005276976050659</c:v>
                </c:pt>
                <c:pt idx="214">
                  <c:v>24.005276976050659</c:v>
                </c:pt>
                <c:pt idx="215">
                  <c:v>64.625785300822784</c:v>
                </c:pt>
                <c:pt idx="216">
                  <c:v>55.10054435429852</c:v>
                </c:pt>
                <c:pt idx="217">
                  <c:v>56.241848702124614</c:v>
                </c:pt>
                <c:pt idx="218">
                  <c:v>51.811595078936207</c:v>
                </c:pt>
                <c:pt idx="219">
                  <c:v>64.343202235730772</c:v>
                </c:pt>
                <c:pt idx="220">
                  <c:v>76.085137719601732</c:v>
                </c:pt>
                <c:pt idx="221">
                  <c:v>46.905946615007409</c:v>
                </c:pt>
                <c:pt idx="222">
                  <c:v>52.776914356942896</c:v>
                </c:pt>
                <c:pt idx="223">
                  <c:v>57.525308298084212</c:v>
                </c:pt>
                <c:pt idx="224">
                  <c:v>69.267243781955173</c:v>
                </c:pt>
                <c:pt idx="225">
                  <c:v>57.483641631417541</c:v>
                </c:pt>
                <c:pt idx="226">
                  <c:v>69.225577115288502</c:v>
                </c:pt>
                <c:pt idx="227">
                  <c:v>56.262682035457942</c:v>
                </c:pt>
                <c:pt idx="228">
                  <c:v>68.004617519328917</c:v>
                </c:pt>
                <c:pt idx="229">
                  <c:v>55.853261745602865</c:v>
                </c:pt>
                <c:pt idx="230">
                  <c:v>67.59519722947384</c:v>
                </c:pt>
                <c:pt idx="231">
                  <c:v>54.875055772831686</c:v>
                </c:pt>
                <c:pt idx="232">
                  <c:v>66.616991256702647</c:v>
                </c:pt>
                <c:pt idx="233">
                  <c:v>49.130092553683681</c:v>
                </c:pt>
                <c:pt idx="234">
                  <c:v>50.34296859672277</c:v>
                </c:pt>
                <c:pt idx="235">
                  <c:v>62.084904080593731</c:v>
                </c:pt>
                <c:pt idx="236">
                  <c:v>55.014164248896677</c:v>
                </c:pt>
                <c:pt idx="237">
                  <c:v>58.932642509766239</c:v>
                </c:pt>
                <c:pt idx="238">
                  <c:v>58.890975843099582</c:v>
                </c:pt>
                <c:pt idx="239">
                  <c:v>51.883386361325321</c:v>
                </c:pt>
                <c:pt idx="240">
                  <c:v>51.378335856274816</c:v>
                </c:pt>
                <c:pt idx="241">
                  <c:v>63.372325237439561</c:v>
                </c:pt>
                <c:pt idx="242">
                  <c:v>55.054302797046844</c:v>
                </c:pt>
                <c:pt idx="243">
                  <c:v>36.986166883942786</c:v>
                </c:pt>
                <c:pt idx="244">
                  <c:v>36.986166883942786</c:v>
                </c:pt>
                <c:pt idx="245">
                  <c:v>56.955978959820783</c:v>
                </c:pt>
                <c:pt idx="246">
                  <c:v>40.268995166771077</c:v>
                </c:pt>
                <c:pt idx="247">
                  <c:v>40.986943884719793</c:v>
                </c:pt>
                <c:pt idx="248">
                  <c:v>56.955978959820783</c:v>
                </c:pt>
                <c:pt idx="249">
                  <c:v>40.908486027401366</c:v>
                </c:pt>
                <c:pt idx="250">
                  <c:v>52.650421511272334</c:v>
                </c:pt>
                <c:pt idx="251">
                  <c:v>28.188442349948794</c:v>
                </c:pt>
                <c:pt idx="252">
                  <c:v>32.059410091884274</c:v>
                </c:pt>
                <c:pt idx="253">
                  <c:v>42.823286203071106</c:v>
                </c:pt>
                <c:pt idx="254">
                  <c:v>54.565221686942074</c:v>
                </c:pt>
                <c:pt idx="255">
                  <c:v>37.115976142784305</c:v>
                </c:pt>
                <c:pt idx="256">
                  <c:v>40.986943884719793</c:v>
                </c:pt>
                <c:pt idx="257">
                  <c:v>40.986943884719793</c:v>
                </c:pt>
                <c:pt idx="258">
                  <c:v>52.728879368590754</c:v>
                </c:pt>
                <c:pt idx="259">
                  <c:v>39.174811781782992</c:v>
                </c:pt>
                <c:pt idx="260">
                  <c:v>43.04577952371848</c:v>
                </c:pt>
                <c:pt idx="261">
                  <c:v>49.638269847330641</c:v>
                </c:pt>
                <c:pt idx="262">
                  <c:v>57.509237589266121</c:v>
                </c:pt>
                <c:pt idx="263">
                  <c:v>37.115976142784305</c:v>
                </c:pt>
                <c:pt idx="264">
                  <c:v>40.986943884719793</c:v>
                </c:pt>
                <c:pt idx="265">
                  <c:v>46.647124284030625</c:v>
                </c:pt>
                <c:pt idx="266">
                  <c:v>39.331061781782992</c:v>
                </c:pt>
                <c:pt idx="267">
                  <c:v>47.20202952371848</c:v>
                </c:pt>
                <c:pt idx="268">
                  <c:v>51.74670706839602</c:v>
                </c:pt>
                <c:pt idx="269">
                  <c:v>33.250108013329225</c:v>
                </c:pt>
                <c:pt idx="270">
                  <c:v>41.121075755264712</c:v>
                </c:pt>
                <c:pt idx="271">
                  <c:v>47.74670706839602</c:v>
                </c:pt>
                <c:pt idx="272">
                  <c:v>47.74670706839602</c:v>
                </c:pt>
                <c:pt idx="273">
                  <c:v>30.937753700974909</c:v>
                </c:pt>
                <c:pt idx="274">
                  <c:v>38.808721442910397</c:v>
                </c:pt>
                <c:pt idx="275">
                  <c:v>40.772275250214207</c:v>
                </c:pt>
                <c:pt idx="276">
                  <c:v>30.642916744453171</c:v>
                </c:pt>
                <c:pt idx="277">
                  <c:v>38.513884486388648</c:v>
                </c:pt>
                <c:pt idx="278">
                  <c:v>33.619256226227435</c:v>
                </c:pt>
                <c:pt idx="279">
                  <c:v>41.490223968162923</c:v>
                </c:pt>
                <c:pt idx="280">
                  <c:v>36.703522805059237</c:v>
                </c:pt>
                <c:pt idx="281">
                  <c:v>44.574490546994724</c:v>
                </c:pt>
                <c:pt idx="282">
                  <c:v>31.859539493684618</c:v>
                </c:pt>
                <c:pt idx="283">
                  <c:v>39.730507235620095</c:v>
                </c:pt>
                <c:pt idx="284">
                  <c:v>35.393879549763803</c:v>
                </c:pt>
                <c:pt idx="285">
                  <c:v>39.264847291699283</c:v>
                </c:pt>
                <c:pt idx="286">
                  <c:v>43.389847291699297</c:v>
                </c:pt>
                <c:pt idx="287">
                  <c:v>30.668347684286289</c:v>
                </c:pt>
                <c:pt idx="288">
                  <c:v>38.539315426221776</c:v>
                </c:pt>
                <c:pt idx="289">
                  <c:v>43.378524827931173</c:v>
                </c:pt>
                <c:pt idx="290">
                  <c:v>22.408746351502796</c:v>
                </c:pt>
                <c:pt idx="291">
                  <c:v>34.614397022670708</c:v>
                </c:pt>
                <c:pt idx="292">
                  <c:v>42.485364764606196</c:v>
                </c:pt>
                <c:pt idx="293">
                  <c:v>30.222570099593781</c:v>
                </c:pt>
                <c:pt idx="294">
                  <c:v>36.093537841529269</c:v>
                </c:pt>
                <c:pt idx="295">
                  <c:v>39.040751917775601</c:v>
                </c:pt>
                <c:pt idx="296">
                  <c:v>26.340941311715</c:v>
                </c:pt>
                <c:pt idx="297">
                  <c:v>32.21190905365048</c:v>
                </c:pt>
                <c:pt idx="298">
                  <c:v>30.735635536572268</c:v>
                </c:pt>
                <c:pt idx="299">
                  <c:v>38.606603278507755</c:v>
                </c:pt>
                <c:pt idx="300">
                  <c:v>37.461098562634987</c:v>
                </c:pt>
                <c:pt idx="301">
                  <c:v>41.332066304570475</c:v>
                </c:pt>
                <c:pt idx="302">
                  <c:v>35.403390419329021</c:v>
                </c:pt>
                <c:pt idx="303">
                  <c:v>39.274358161264502</c:v>
                </c:pt>
                <c:pt idx="304">
                  <c:v>34.614397022670708</c:v>
                </c:pt>
                <c:pt idx="305">
                  <c:v>42.485364764606196</c:v>
                </c:pt>
                <c:pt idx="306">
                  <c:v>38.650284746058439</c:v>
                </c:pt>
                <c:pt idx="307">
                  <c:v>46.521252487993912</c:v>
                </c:pt>
                <c:pt idx="308">
                  <c:v>30.222570099593781</c:v>
                </c:pt>
                <c:pt idx="309">
                  <c:v>36.093537841529269</c:v>
                </c:pt>
                <c:pt idx="310">
                  <c:v>39.040751917775601</c:v>
                </c:pt>
                <c:pt idx="311">
                  <c:v>46.911719659711089</c:v>
                </c:pt>
                <c:pt idx="312">
                  <c:v>26.340941311715</c:v>
                </c:pt>
                <c:pt idx="313">
                  <c:v>32.21190905365048</c:v>
                </c:pt>
                <c:pt idx="314">
                  <c:v>30.735635536572268</c:v>
                </c:pt>
                <c:pt idx="315">
                  <c:v>38.606603278507755</c:v>
                </c:pt>
                <c:pt idx="316">
                  <c:v>37.461098562634987</c:v>
                </c:pt>
                <c:pt idx="317">
                  <c:v>41.332066304570475</c:v>
                </c:pt>
                <c:pt idx="318">
                  <c:v>35.403390419329021</c:v>
                </c:pt>
                <c:pt idx="319">
                  <c:v>20.60469279538928</c:v>
                </c:pt>
                <c:pt idx="320">
                  <c:v>18.437957507730079</c:v>
                </c:pt>
                <c:pt idx="321">
                  <c:v>25.005398382422065</c:v>
                </c:pt>
                <c:pt idx="322">
                  <c:v>21.052198445385923</c:v>
                </c:pt>
                <c:pt idx="323">
                  <c:v>21.983106498061218</c:v>
                </c:pt>
                <c:pt idx="324">
                  <c:v>17.61375393352651</c:v>
                </c:pt>
                <c:pt idx="325">
                  <c:v>22.778088814595257</c:v>
                </c:pt>
                <c:pt idx="326">
                  <c:v>16.508128715832324</c:v>
                </c:pt>
                <c:pt idx="327">
                  <c:v>40.607438271568405</c:v>
                </c:pt>
                <c:pt idx="328">
                  <c:v>39.99849769523653</c:v>
                </c:pt>
                <c:pt idx="329">
                  <c:v>40.786401820097176</c:v>
                </c:pt>
                <c:pt idx="330">
                  <c:v>45.132690796820931</c:v>
                </c:pt>
                <c:pt idx="331">
                  <c:v>50.258709043806924</c:v>
                </c:pt>
                <c:pt idx="332">
                  <c:v>44.884447494229811</c:v>
                </c:pt>
                <c:pt idx="333">
                  <c:v>53.272695057792937</c:v>
                </c:pt>
                <c:pt idx="334">
                  <c:v>26.812533004072819</c:v>
                </c:pt>
                <c:pt idx="335">
                  <c:v>33.276630190760322</c:v>
                </c:pt>
                <c:pt idx="336">
                  <c:v>32.456117370247497</c:v>
                </c:pt>
                <c:pt idx="337">
                  <c:v>29.906831188746182</c:v>
                </c:pt>
                <c:pt idx="338">
                  <c:v>28.97036050363419</c:v>
                </c:pt>
                <c:pt idx="339">
                  <c:v>23.727159260432948</c:v>
                </c:pt>
                <c:pt idx="340">
                  <c:v>32.562313689337373</c:v>
                </c:pt>
                <c:pt idx="341">
                  <c:v>36.619034746058432</c:v>
                </c:pt>
                <c:pt idx="342">
                  <c:v>28.968149233103951</c:v>
                </c:pt>
                <c:pt idx="343">
                  <c:v>37.612818739842425</c:v>
                </c:pt>
                <c:pt idx="344">
                  <c:v>36.619034746058432</c:v>
                </c:pt>
                <c:pt idx="345">
                  <c:v>47.961320442070495</c:v>
                </c:pt>
                <c:pt idx="346">
                  <c:v>37.881661008684695</c:v>
                </c:pt>
                <c:pt idx="347">
                  <c:v>50.85438148730546</c:v>
                </c:pt>
                <c:pt idx="348">
                  <c:v>29.650618458864031</c:v>
                </c:pt>
                <c:pt idx="349">
                  <c:v>44.388474654600664</c:v>
                </c:pt>
                <c:pt idx="350">
                  <c:v>48.259442396536151</c:v>
                </c:pt>
                <c:pt idx="351">
                  <c:v>24.969583502857191</c:v>
                </c:pt>
                <c:pt idx="352">
                  <c:v>30.840551244792671</c:v>
                </c:pt>
                <c:pt idx="353">
                  <c:v>24.969583502857191</c:v>
                </c:pt>
                <c:pt idx="354">
                  <c:v>30.840551244792671</c:v>
                </c:pt>
                <c:pt idx="355">
                  <c:v>24.865416836190519</c:v>
                </c:pt>
                <c:pt idx="356">
                  <c:v>22.845214815988498</c:v>
                </c:pt>
                <c:pt idx="357">
                  <c:v>25.95948249275618</c:v>
                </c:pt>
                <c:pt idx="358">
                  <c:v>21.065020632777077</c:v>
                </c:pt>
                <c:pt idx="359">
                  <c:v>26.935988374712561</c:v>
                </c:pt>
                <c:pt idx="360">
                  <c:v>17.445702450958894</c:v>
                </c:pt>
                <c:pt idx="361">
                  <c:v>21.570071137827583</c:v>
                </c:pt>
              </c:numCache>
            </c:numRef>
          </c:xVal>
          <c:yVal>
            <c:numRef>
              <c:f>'Mobile Dataset Cleaned (PQ)'!$O$263:$O$624</c:f>
              <c:numCache>
                <c:formatCode>General</c:formatCode>
                <c:ptCount val="362"/>
                <c:pt idx="0">
                  <c:v>199</c:v>
                </c:pt>
                <c:pt idx="1">
                  <c:v>159</c:v>
                </c:pt>
                <c:pt idx="2">
                  <c:v>159</c:v>
                </c:pt>
                <c:pt idx="3">
                  <c:v>179</c:v>
                </c:pt>
                <c:pt idx="4">
                  <c:v>179</c:v>
                </c:pt>
                <c:pt idx="5">
                  <c:v>159</c:v>
                </c:pt>
                <c:pt idx="6">
                  <c:v>199</c:v>
                </c:pt>
                <c:pt idx="7">
                  <c:v>139</c:v>
                </c:pt>
                <c:pt idx="8">
                  <c:v>199</c:v>
                </c:pt>
                <c:pt idx="9">
                  <c:v>159</c:v>
                </c:pt>
                <c:pt idx="10">
                  <c:v>219</c:v>
                </c:pt>
                <c:pt idx="11">
                  <c:v>139</c:v>
                </c:pt>
                <c:pt idx="12">
                  <c:v>149</c:v>
                </c:pt>
                <c:pt idx="13">
                  <c:v>169</c:v>
                </c:pt>
                <c:pt idx="14">
                  <c:v>179</c:v>
                </c:pt>
                <c:pt idx="15">
                  <c:v>109</c:v>
                </c:pt>
                <c:pt idx="16">
                  <c:v>139</c:v>
                </c:pt>
                <c:pt idx="17">
                  <c:v>159</c:v>
                </c:pt>
                <c:pt idx="18">
                  <c:v>169</c:v>
                </c:pt>
                <c:pt idx="19">
                  <c:v>189</c:v>
                </c:pt>
                <c:pt idx="20">
                  <c:v>79</c:v>
                </c:pt>
                <c:pt idx="21">
                  <c:v>199</c:v>
                </c:pt>
                <c:pt idx="22">
                  <c:v>109</c:v>
                </c:pt>
                <c:pt idx="23">
                  <c:v>229</c:v>
                </c:pt>
                <c:pt idx="24">
                  <c:v>249</c:v>
                </c:pt>
                <c:pt idx="25">
                  <c:v>159</c:v>
                </c:pt>
                <c:pt idx="26">
                  <c:v>279</c:v>
                </c:pt>
                <c:pt idx="27">
                  <c:v>99</c:v>
                </c:pt>
                <c:pt idx="28">
                  <c:v>549</c:v>
                </c:pt>
                <c:pt idx="29">
                  <c:v>379</c:v>
                </c:pt>
                <c:pt idx="30">
                  <c:v>399</c:v>
                </c:pt>
                <c:pt idx="31">
                  <c:v>449</c:v>
                </c:pt>
                <c:pt idx="32">
                  <c:v>399</c:v>
                </c:pt>
                <c:pt idx="33">
                  <c:v>289</c:v>
                </c:pt>
                <c:pt idx="34">
                  <c:v>449</c:v>
                </c:pt>
                <c:pt idx="35">
                  <c:v>349</c:v>
                </c:pt>
                <c:pt idx="36">
                  <c:v>319</c:v>
                </c:pt>
                <c:pt idx="37">
                  <c:v>349</c:v>
                </c:pt>
                <c:pt idx="38">
                  <c:v>379</c:v>
                </c:pt>
                <c:pt idx="39">
                  <c:v>399</c:v>
                </c:pt>
                <c:pt idx="40">
                  <c:v>329</c:v>
                </c:pt>
                <c:pt idx="41">
                  <c:v>239</c:v>
                </c:pt>
                <c:pt idx="42">
                  <c:v>349</c:v>
                </c:pt>
                <c:pt idx="43">
                  <c:v>379</c:v>
                </c:pt>
                <c:pt idx="44">
                  <c:v>399</c:v>
                </c:pt>
                <c:pt idx="45">
                  <c:v>239</c:v>
                </c:pt>
                <c:pt idx="46">
                  <c:v>349</c:v>
                </c:pt>
                <c:pt idx="47">
                  <c:v>399</c:v>
                </c:pt>
                <c:pt idx="48">
                  <c:v>449</c:v>
                </c:pt>
                <c:pt idx="49">
                  <c:v>199</c:v>
                </c:pt>
                <c:pt idx="50">
                  <c:v>229</c:v>
                </c:pt>
                <c:pt idx="51">
                  <c:v>249</c:v>
                </c:pt>
                <c:pt idx="52">
                  <c:v>149</c:v>
                </c:pt>
                <c:pt idx="53">
                  <c:v>199</c:v>
                </c:pt>
                <c:pt idx="54">
                  <c:v>179</c:v>
                </c:pt>
                <c:pt idx="55">
                  <c:v>149</c:v>
                </c:pt>
                <c:pt idx="56">
                  <c:v>219</c:v>
                </c:pt>
                <c:pt idx="57">
                  <c:v>249</c:v>
                </c:pt>
                <c:pt idx="58">
                  <c:v>299</c:v>
                </c:pt>
                <c:pt idx="59">
                  <c:v>499</c:v>
                </c:pt>
                <c:pt idx="60">
                  <c:v>549</c:v>
                </c:pt>
                <c:pt idx="61">
                  <c:v>599</c:v>
                </c:pt>
                <c:pt idx="62">
                  <c:v>429</c:v>
                </c:pt>
                <c:pt idx="63">
                  <c:v>479</c:v>
                </c:pt>
                <c:pt idx="64">
                  <c:v>199</c:v>
                </c:pt>
                <c:pt idx="65">
                  <c:v>249</c:v>
                </c:pt>
                <c:pt idx="66">
                  <c:v>199</c:v>
                </c:pt>
                <c:pt idx="67">
                  <c:v>229</c:v>
                </c:pt>
                <c:pt idx="68">
                  <c:v>249</c:v>
                </c:pt>
                <c:pt idx="69">
                  <c:v>279</c:v>
                </c:pt>
                <c:pt idx="70">
                  <c:v>149</c:v>
                </c:pt>
                <c:pt idx="71">
                  <c:v>179</c:v>
                </c:pt>
                <c:pt idx="72">
                  <c:v>320</c:v>
                </c:pt>
                <c:pt idx="73">
                  <c:v>370</c:v>
                </c:pt>
                <c:pt idx="74">
                  <c:v>200</c:v>
                </c:pt>
                <c:pt idx="75">
                  <c:v>250</c:v>
                </c:pt>
                <c:pt idx="76">
                  <c:v>250</c:v>
                </c:pt>
                <c:pt idx="77">
                  <c:v>300</c:v>
                </c:pt>
                <c:pt idx="78">
                  <c:v>320</c:v>
                </c:pt>
                <c:pt idx="79">
                  <c:v>370</c:v>
                </c:pt>
                <c:pt idx="80">
                  <c:v>150</c:v>
                </c:pt>
                <c:pt idx="81">
                  <c:v>180</c:v>
                </c:pt>
                <c:pt idx="82">
                  <c:v>300</c:v>
                </c:pt>
                <c:pt idx="83">
                  <c:v>350</c:v>
                </c:pt>
                <c:pt idx="84">
                  <c:v>349</c:v>
                </c:pt>
                <c:pt idx="85">
                  <c:v>399</c:v>
                </c:pt>
                <c:pt idx="86">
                  <c:v>199</c:v>
                </c:pt>
                <c:pt idx="87">
                  <c:v>179</c:v>
                </c:pt>
                <c:pt idx="88">
                  <c:v>199</c:v>
                </c:pt>
                <c:pt idx="89">
                  <c:v>249</c:v>
                </c:pt>
                <c:pt idx="90">
                  <c:v>999</c:v>
                </c:pt>
                <c:pt idx="91">
                  <c:v>1099</c:v>
                </c:pt>
                <c:pt idx="92">
                  <c:v>1199</c:v>
                </c:pt>
                <c:pt idx="93">
                  <c:v>1499</c:v>
                </c:pt>
                <c:pt idx="94">
                  <c:v>1499</c:v>
                </c:pt>
                <c:pt idx="95">
                  <c:v>699</c:v>
                </c:pt>
                <c:pt idx="96">
                  <c:v>749</c:v>
                </c:pt>
                <c:pt idx="97">
                  <c:v>499</c:v>
                </c:pt>
                <c:pt idx="98">
                  <c:v>549</c:v>
                </c:pt>
                <c:pt idx="99">
                  <c:v>549</c:v>
                </c:pt>
                <c:pt idx="100">
                  <c:v>599</c:v>
                </c:pt>
                <c:pt idx="101">
                  <c:v>299</c:v>
                </c:pt>
                <c:pt idx="102">
                  <c:v>349</c:v>
                </c:pt>
                <c:pt idx="103">
                  <c:v>299</c:v>
                </c:pt>
                <c:pt idx="104">
                  <c:v>349</c:v>
                </c:pt>
                <c:pt idx="105">
                  <c:v>399</c:v>
                </c:pt>
                <c:pt idx="106">
                  <c:v>449</c:v>
                </c:pt>
                <c:pt idx="107">
                  <c:v>300</c:v>
                </c:pt>
                <c:pt idx="108">
                  <c:v>350</c:v>
                </c:pt>
                <c:pt idx="109">
                  <c:v>400</c:v>
                </c:pt>
                <c:pt idx="110">
                  <c:v>450</c:v>
                </c:pt>
                <c:pt idx="111">
                  <c:v>270</c:v>
                </c:pt>
                <c:pt idx="112">
                  <c:v>320</c:v>
                </c:pt>
                <c:pt idx="113">
                  <c:v>450</c:v>
                </c:pt>
                <c:pt idx="114">
                  <c:v>500</c:v>
                </c:pt>
                <c:pt idx="115">
                  <c:v>999</c:v>
                </c:pt>
                <c:pt idx="116">
                  <c:v>300</c:v>
                </c:pt>
                <c:pt idx="117">
                  <c:v>350</c:v>
                </c:pt>
                <c:pt idx="118">
                  <c:v>450</c:v>
                </c:pt>
                <c:pt idx="119">
                  <c:v>500</c:v>
                </c:pt>
                <c:pt idx="120">
                  <c:v>499</c:v>
                </c:pt>
                <c:pt idx="121">
                  <c:v>549</c:v>
                </c:pt>
                <c:pt idx="122">
                  <c:v>399</c:v>
                </c:pt>
                <c:pt idx="123">
                  <c:v>449</c:v>
                </c:pt>
                <c:pt idx="124">
                  <c:v>299</c:v>
                </c:pt>
                <c:pt idx="125">
                  <c:v>279</c:v>
                </c:pt>
                <c:pt idx="126">
                  <c:v>229</c:v>
                </c:pt>
                <c:pt idx="127">
                  <c:v>169</c:v>
                </c:pt>
                <c:pt idx="128">
                  <c:v>189</c:v>
                </c:pt>
                <c:pt idx="129">
                  <c:v>139</c:v>
                </c:pt>
                <c:pt idx="130">
                  <c:v>159</c:v>
                </c:pt>
                <c:pt idx="131">
                  <c:v>169</c:v>
                </c:pt>
                <c:pt idx="132">
                  <c:v>189</c:v>
                </c:pt>
                <c:pt idx="133">
                  <c:v>119</c:v>
                </c:pt>
                <c:pt idx="134">
                  <c:v>139</c:v>
                </c:pt>
                <c:pt idx="135">
                  <c:v>239</c:v>
                </c:pt>
                <c:pt idx="136">
                  <c:v>396</c:v>
                </c:pt>
                <c:pt idx="137">
                  <c:v>249</c:v>
                </c:pt>
                <c:pt idx="138">
                  <c:v>199</c:v>
                </c:pt>
                <c:pt idx="139">
                  <c:v>179</c:v>
                </c:pt>
                <c:pt idx="140">
                  <c:v>179</c:v>
                </c:pt>
                <c:pt idx="141">
                  <c:v>799</c:v>
                </c:pt>
                <c:pt idx="142">
                  <c:v>699</c:v>
                </c:pt>
                <c:pt idx="143">
                  <c:v>699</c:v>
                </c:pt>
                <c:pt idx="144">
                  <c:v>599</c:v>
                </c:pt>
                <c:pt idx="145">
                  <c:v>499</c:v>
                </c:pt>
                <c:pt idx="146">
                  <c:v>1099</c:v>
                </c:pt>
                <c:pt idx="147">
                  <c:v>899</c:v>
                </c:pt>
                <c:pt idx="148">
                  <c:v>749</c:v>
                </c:pt>
                <c:pt idx="149">
                  <c:v>699</c:v>
                </c:pt>
                <c:pt idx="150">
                  <c:v>599</c:v>
                </c:pt>
                <c:pt idx="151">
                  <c:v>899</c:v>
                </c:pt>
                <c:pt idx="152">
                  <c:v>749</c:v>
                </c:pt>
                <c:pt idx="153">
                  <c:v>649</c:v>
                </c:pt>
                <c:pt idx="154">
                  <c:v>599</c:v>
                </c:pt>
                <c:pt idx="155">
                  <c:v>749</c:v>
                </c:pt>
                <c:pt idx="156">
                  <c:v>599</c:v>
                </c:pt>
                <c:pt idx="157">
                  <c:v>749</c:v>
                </c:pt>
                <c:pt idx="158">
                  <c:v>699</c:v>
                </c:pt>
                <c:pt idx="159">
                  <c:v>649</c:v>
                </c:pt>
                <c:pt idx="160">
                  <c:v>599</c:v>
                </c:pt>
                <c:pt idx="161">
                  <c:v>799</c:v>
                </c:pt>
                <c:pt idx="162">
                  <c:v>649</c:v>
                </c:pt>
                <c:pt idx="163">
                  <c:v>849</c:v>
                </c:pt>
                <c:pt idx="164">
                  <c:v>799</c:v>
                </c:pt>
                <c:pt idx="165">
                  <c:v>799</c:v>
                </c:pt>
                <c:pt idx="166">
                  <c:v>599</c:v>
                </c:pt>
                <c:pt idx="167">
                  <c:v>599</c:v>
                </c:pt>
                <c:pt idx="168">
                  <c:v>899</c:v>
                </c:pt>
                <c:pt idx="169">
                  <c:v>799</c:v>
                </c:pt>
                <c:pt idx="170">
                  <c:v>899</c:v>
                </c:pt>
                <c:pt idx="171">
                  <c:v>849</c:v>
                </c:pt>
                <c:pt idx="172">
                  <c:v>799</c:v>
                </c:pt>
                <c:pt idx="173">
                  <c:v>899</c:v>
                </c:pt>
                <c:pt idx="174">
                  <c:v>849</c:v>
                </c:pt>
                <c:pt idx="175">
                  <c:v>499</c:v>
                </c:pt>
                <c:pt idx="176">
                  <c:v>549</c:v>
                </c:pt>
                <c:pt idx="177">
                  <c:v>799</c:v>
                </c:pt>
                <c:pt idx="178">
                  <c:v>399</c:v>
                </c:pt>
                <c:pt idx="179">
                  <c:v>299</c:v>
                </c:pt>
                <c:pt idx="180">
                  <c:v>399</c:v>
                </c:pt>
                <c:pt idx="181">
                  <c:v>349</c:v>
                </c:pt>
                <c:pt idx="182">
                  <c:v>249</c:v>
                </c:pt>
                <c:pt idx="183">
                  <c:v>299</c:v>
                </c:pt>
                <c:pt idx="184">
                  <c:v>349</c:v>
                </c:pt>
                <c:pt idx="185">
                  <c:v>299</c:v>
                </c:pt>
                <c:pt idx="186">
                  <c:v>399</c:v>
                </c:pt>
                <c:pt idx="187">
                  <c:v>299</c:v>
                </c:pt>
                <c:pt idx="188">
                  <c:v>599</c:v>
                </c:pt>
                <c:pt idx="189">
                  <c:v>299</c:v>
                </c:pt>
                <c:pt idx="190">
                  <c:v>499</c:v>
                </c:pt>
                <c:pt idx="191">
                  <c:v>499</c:v>
                </c:pt>
                <c:pt idx="192">
                  <c:v>499</c:v>
                </c:pt>
                <c:pt idx="193">
                  <c:v>399</c:v>
                </c:pt>
                <c:pt idx="194">
                  <c:v>449</c:v>
                </c:pt>
                <c:pt idx="195">
                  <c:v>499</c:v>
                </c:pt>
                <c:pt idx="196">
                  <c:v>399</c:v>
                </c:pt>
                <c:pt idx="197">
                  <c:v>449</c:v>
                </c:pt>
                <c:pt idx="198">
                  <c:v>499</c:v>
                </c:pt>
                <c:pt idx="199">
                  <c:v>399</c:v>
                </c:pt>
                <c:pt idx="200">
                  <c:v>199</c:v>
                </c:pt>
                <c:pt idx="201">
                  <c:v>229</c:v>
                </c:pt>
                <c:pt idx="202">
                  <c:v>249</c:v>
                </c:pt>
                <c:pt idx="203">
                  <c:v>199</c:v>
                </c:pt>
                <c:pt idx="204">
                  <c:v>189</c:v>
                </c:pt>
                <c:pt idx="205">
                  <c:v>219</c:v>
                </c:pt>
                <c:pt idx="206">
                  <c:v>179</c:v>
                </c:pt>
                <c:pt idx="207">
                  <c:v>169</c:v>
                </c:pt>
                <c:pt idx="208">
                  <c:v>149</c:v>
                </c:pt>
                <c:pt idx="209">
                  <c:v>139</c:v>
                </c:pt>
                <c:pt idx="210">
                  <c:v>129</c:v>
                </c:pt>
                <c:pt idx="211">
                  <c:v>199</c:v>
                </c:pt>
                <c:pt idx="212">
                  <c:v>229</c:v>
                </c:pt>
                <c:pt idx="213">
                  <c:v>199</c:v>
                </c:pt>
                <c:pt idx="214">
                  <c:v>199</c:v>
                </c:pt>
                <c:pt idx="215">
                  <c:v>1399</c:v>
                </c:pt>
                <c:pt idx="216">
                  <c:v>999</c:v>
                </c:pt>
                <c:pt idx="217">
                  <c:v>1299</c:v>
                </c:pt>
                <c:pt idx="218">
                  <c:v>1099</c:v>
                </c:pt>
                <c:pt idx="219">
                  <c:v>899</c:v>
                </c:pt>
                <c:pt idx="220">
                  <c:v>999</c:v>
                </c:pt>
                <c:pt idx="221">
                  <c:v>499</c:v>
                </c:pt>
                <c:pt idx="222">
                  <c:v>599</c:v>
                </c:pt>
                <c:pt idx="223">
                  <c:v>1199</c:v>
                </c:pt>
                <c:pt idx="224">
                  <c:v>1299</c:v>
                </c:pt>
                <c:pt idx="225">
                  <c:v>1099</c:v>
                </c:pt>
                <c:pt idx="226">
                  <c:v>1199</c:v>
                </c:pt>
                <c:pt idx="227">
                  <c:v>999</c:v>
                </c:pt>
                <c:pt idx="228">
                  <c:v>1099</c:v>
                </c:pt>
                <c:pt idx="229">
                  <c:v>899</c:v>
                </c:pt>
                <c:pt idx="230">
                  <c:v>999</c:v>
                </c:pt>
                <c:pt idx="231">
                  <c:v>899</c:v>
                </c:pt>
                <c:pt idx="232">
                  <c:v>999</c:v>
                </c:pt>
                <c:pt idx="233">
                  <c:v>799</c:v>
                </c:pt>
                <c:pt idx="234">
                  <c:v>899</c:v>
                </c:pt>
                <c:pt idx="235">
                  <c:v>999</c:v>
                </c:pt>
                <c:pt idx="236">
                  <c:v>1099</c:v>
                </c:pt>
                <c:pt idx="237">
                  <c:v>699</c:v>
                </c:pt>
                <c:pt idx="238">
                  <c:v>649</c:v>
                </c:pt>
                <c:pt idx="239">
                  <c:v>599</c:v>
                </c:pt>
                <c:pt idx="240">
                  <c:v>599</c:v>
                </c:pt>
                <c:pt idx="241">
                  <c:v>799</c:v>
                </c:pt>
                <c:pt idx="242">
                  <c:v>699</c:v>
                </c:pt>
                <c:pt idx="243">
                  <c:v>449</c:v>
                </c:pt>
                <c:pt idx="244">
                  <c:v>449</c:v>
                </c:pt>
                <c:pt idx="245">
                  <c:v>749</c:v>
                </c:pt>
                <c:pt idx="246">
                  <c:v>599</c:v>
                </c:pt>
                <c:pt idx="247">
                  <c:v>499</c:v>
                </c:pt>
                <c:pt idx="248">
                  <c:v>699</c:v>
                </c:pt>
                <c:pt idx="249">
                  <c:v>599</c:v>
                </c:pt>
                <c:pt idx="250">
                  <c:v>699</c:v>
                </c:pt>
                <c:pt idx="251">
                  <c:v>449</c:v>
                </c:pt>
                <c:pt idx="252">
                  <c:v>499</c:v>
                </c:pt>
                <c:pt idx="253">
                  <c:v>699</c:v>
                </c:pt>
                <c:pt idx="254">
                  <c:v>799</c:v>
                </c:pt>
                <c:pt idx="255">
                  <c:v>499</c:v>
                </c:pt>
                <c:pt idx="256">
                  <c:v>549</c:v>
                </c:pt>
                <c:pt idx="257">
                  <c:v>599</c:v>
                </c:pt>
                <c:pt idx="258">
                  <c:v>699</c:v>
                </c:pt>
                <c:pt idx="259">
                  <c:v>549</c:v>
                </c:pt>
                <c:pt idx="260">
                  <c:v>599</c:v>
                </c:pt>
                <c:pt idx="261">
                  <c:v>699</c:v>
                </c:pt>
                <c:pt idx="262">
                  <c:v>799</c:v>
                </c:pt>
                <c:pt idx="263">
                  <c:v>499</c:v>
                </c:pt>
                <c:pt idx="264">
                  <c:v>549</c:v>
                </c:pt>
                <c:pt idx="265">
                  <c:v>599</c:v>
                </c:pt>
                <c:pt idx="266">
                  <c:v>449</c:v>
                </c:pt>
                <c:pt idx="267">
                  <c:v>499</c:v>
                </c:pt>
                <c:pt idx="268">
                  <c:v>599</c:v>
                </c:pt>
                <c:pt idx="269">
                  <c:v>399</c:v>
                </c:pt>
                <c:pt idx="270">
                  <c:v>449</c:v>
                </c:pt>
                <c:pt idx="271">
                  <c:v>549</c:v>
                </c:pt>
                <c:pt idx="272">
                  <c:v>599</c:v>
                </c:pt>
                <c:pt idx="273">
                  <c:v>349</c:v>
                </c:pt>
                <c:pt idx="274">
                  <c:v>399</c:v>
                </c:pt>
                <c:pt idx="275">
                  <c:v>499</c:v>
                </c:pt>
                <c:pt idx="276">
                  <c:v>349</c:v>
                </c:pt>
                <c:pt idx="277">
                  <c:v>399</c:v>
                </c:pt>
                <c:pt idx="278">
                  <c:v>449</c:v>
                </c:pt>
                <c:pt idx="279">
                  <c:v>499</c:v>
                </c:pt>
                <c:pt idx="280">
                  <c:v>299</c:v>
                </c:pt>
                <c:pt idx="281">
                  <c:v>349</c:v>
                </c:pt>
                <c:pt idx="282">
                  <c:v>399</c:v>
                </c:pt>
                <c:pt idx="283">
                  <c:v>449</c:v>
                </c:pt>
                <c:pt idx="284">
                  <c:v>299</c:v>
                </c:pt>
                <c:pt idx="285">
                  <c:v>349</c:v>
                </c:pt>
                <c:pt idx="286">
                  <c:v>499</c:v>
                </c:pt>
                <c:pt idx="287">
                  <c:v>249</c:v>
                </c:pt>
                <c:pt idx="288">
                  <c:v>299</c:v>
                </c:pt>
                <c:pt idx="289">
                  <c:v>499</c:v>
                </c:pt>
                <c:pt idx="290">
                  <c:v>219</c:v>
                </c:pt>
                <c:pt idx="291">
                  <c:v>199</c:v>
                </c:pt>
                <c:pt idx="292">
                  <c:v>229</c:v>
                </c:pt>
                <c:pt idx="293">
                  <c:v>199</c:v>
                </c:pt>
                <c:pt idx="294">
                  <c:v>229</c:v>
                </c:pt>
                <c:pt idx="295">
                  <c:v>249</c:v>
                </c:pt>
                <c:pt idx="296">
                  <c:v>199</c:v>
                </c:pt>
                <c:pt idx="297">
                  <c:v>229</c:v>
                </c:pt>
                <c:pt idx="298">
                  <c:v>299</c:v>
                </c:pt>
                <c:pt idx="299">
                  <c:v>329</c:v>
                </c:pt>
                <c:pt idx="300">
                  <c:v>279</c:v>
                </c:pt>
                <c:pt idx="301">
                  <c:v>299</c:v>
                </c:pt>
                <c:pt idx="302">
                  <c:v>279</c:v>
                </c:pt>
                <c:pt idx="303">
                  <c:v>299</c:v>
                </c:pt>
                <c:pt idx="304">
                  <c:v>199</c:v>
                </c:pt>
                <c:pt idx="305">
                  <c:v>229</c:v>
                </c:pt>
                <c:pt idx="306">
                  <c:v>259</c:v>
                </c:pt>
                <c:pt idx="307">
                  <c:v>299</c:v>
                </c:pt>
                <c:pt idx="308">
                  <c:v>199</c:v>
                </c:pt>
                <c:pt idx="309">
                  <c:v>229</c:v>
                </c:pt>
                <c:pt idx="310">
                  <c:v>249</c:v>
                </c:pt>
                <c:pt idx="311">
                  <c:v>279</c:v>
                </c:pt>
                <c:pt idx="312">
                  <c:v>199</c:v>
                </c:pt>
                <c:pt idx="313">
                  <c:v>229</c:v>
                </c:pt>
                <c:pt idx="314">
                  <c:v>299</c:v>
                </c:pt>
                <c:pt idx="315">
                  <c:v>329</c:v>
                </c:pt>
                <c:pt idx="316">
                  <c:v>279</c:v>
                </c:pt>
                <c:pt idx="317">
                  <c:v>299</c:v>
                </c:pt>
                <c:pt idx="318">
                  <c:v>279</c:v>
                </c:pt>
                <c:pt idx="319">
                  <c:v>149</c:v>
                </c:pt>
                <c:pt idx="320">
                  <c:v>199</c:v>
                </c:pt>
                <c:pt idx="321">
                  <c:v>219</c:v>
                </c:pt>
                <c:pt idx="322">
                  <c:v>199</c:v>
                </c:pt>
                <c:pt idx="323">
                  <c:v>229</c:v>
                </c:pt>
                <c:pt idx="324">
                  <c:v>199</c:v>
                </c:pt>
                <c:pt idx="325">
                  <c:v>219</c:v>
                </c:pt>
                <c:pt idx="326">
                  <c:v>149</c:v>
                </c:pt>
                <c:pt idx="327">
                  <c:v>499</c:v>
                </c:pt>
                <c:pt idx="328">
                  <c:v>349</c:v>
                </c:pt>
                <c:pt idx="329">
                  <c:v>349</c:v>
                </c:pt>
                <c:pt idx="330">
                  <c:v>499</c:v>
                </c:pt>
                <c:pt idx="331">
                  <c:v>499</c:v>
                </c:pt>
                <c:pt idx="332">
                  <c:v>449</c:v>
                </c:pt>
                <c:pt idx="333">
                  <c:v>549</c:v>
                </c:pt>
                <c:pt idx="334">
                  <c:v>199</c:v>
                </c:pt>
                <c:pt idx="335">
                  <c:v>229</c:v>
                </c:pt>
                <c:pt idx="336">
                  <c:v>249</c:v>
                </c:pt>
                <c:pt idx="337">
                  <c:v>399</c:v>
                </c:pt>
                <c:pt idx="338">
                  <c:v>279</c:v>
                </c:pt>
                <c:pt idx="339">
                  <c:v>219</c:v>
                </c:pt>
                <c:pt idx="340">
                  <c:v>299</c:v>
                </c:pt>
                <c:pt idx="341">
                  <c:v>349</c:v>
                </c:pt>
                <c:pt idx="342">
                  <c:v>279</c:v>
                </c:pt>
                <c:pt idx="343">
                  <c:v>329</c:v>
                </c:pt>
                <c:pt idx="344">
                  <c:v>349</c:v>
                </c:pt>
                <c:pt idx="345">
                  <c:v>399</c:v>
                </c:pt>
                <c:pt idx="346">
                  <c:v>329</c:v>
                </c:pt>
                <c:pt idx="347">
                  <c:v>399</c:v>
                </c:pt>
                <c:pt idx="348">
                  <c:v>229</c:v>
                </c:pt>
                <c:pt idx="349">
                  <c:v>280</c:v>
                </c:pt>
                <c:pt idx="350">
                  <c:v>300</c:v>
                </c:pt>
                <c:pt idx="351">
                  <c:v>220</c:v>
                </c:pt>
                <c:pt idx="352">
                  <c:v>240</c:v>
                </c:pt>
                <c:pt idx="353">
                  <c:v>200</c:v>
                </c:pt>
                <c:pt idx="354">
                  <c:v>220</c:v>
                </c:pt>
                <c:pt idx="355">
                  <c:v>180</c:v>
                </c:pt>
                <c:pt idx="356">
                  <c:v>160</c:v>
                </c:pt>
                <c:pt idx="357">
                  <c:v>210</c:v>
                </c:pt>
                <c:pt idx="358">
                  <c:v>160</c:v>
                </c:pt>
                <c:pt idx="359">
                  <c:v>180</c:v>
                </c:pt>
                <c:pt idx="360">
                  <c:v>130</c:v>
                </c:pt>
                <c:pt idx="361">
                  <c:v>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77-4C22-AC38-60EF82B8F897}"/>
            </c:ext>
          </c:extLst>
        </c:ser>
        <c:ser>
          <c:idx val="2"/>
          <c:order val="2"/>
          <c:tx>
            <c:v>Mid-range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'Mobile Dataset Cleaned (PQ)'!$S$625:$S$931</c:f>
              <c:numCache>
                <c:formatCode>General</c:formatCode>
                <c:ptCount val="307"/>
                <c:pt idx="0">
                  <c:v>27.441038879763067</c:v>
                </c:pt>
                <c:pt idx="1">
                  <c:v>21.065020632777077</c:v>
                </c:pt>
                <c:pt idx="2">
                  <c:v>22.413019855776302</c:v>
                </c:pt>
                <c:pt idx="3">
                  <c:v>28.283987597711786</c:v>
                </c:pt>
                <c:pt idx="4">
                  <c:v>25.295670459378925</c:v>
                </c:pt>
                <c:pt idx="5">
                  <c:v>24.865416836190519</c:v>
                </c:pt>
                <c:pt idx="6">
                  <c:v>21.852886479724273</c:v>
                </c:pt>
                <c:pt idx="7">
                  <c:v>25.788370350692013</c:v>
                </c:pt>
                <c:pt idx="8">
                  <c:v>32.018854540415333</c:v>
                </c:pt>
                <c:pt idx="9">
                  <c:v>37.889822282350821</c:v>
                </c:pt>
                <c:pt idx="10">
                  <c:v>22.357936984774778</c:v>
                </c:pt>
                <c:pt idx="11">
                  <c:v>26.293420855742518</c:v>
                </c:pt>
                <c:pt idx="12">
                  <c:v>15.950714978720127</c:v>
                </c:pt>
                <c:pt idx="13">
                  <c:v>17.918456914203997</c:v>
                </c:pt>
                <c:pt idx="14">
                  <c:v>21.852886479724273</c:v>
                </c:pt>
                <c:pt idx="15">
                  <c:v>25.788370350692013</c:v>
                </c:pt>
                <c:pt idx="16">
                  <c:v>22.625147129702313</c:v>
                </c:pt>
                <c:pt idx="17">
                  <c:v>26.560631000670053</c:v>
                </c:pt>
                <c:pt idx="18">
                  <c:v>53.299705373739933</c:v>
                </c:pt>
                <c:pt idx="19">
                  <c:v>61.170673115675413</c:v>
                </c:pt>
                <c:pt idx="20">
                  <c:v>49.922840775735907</c:v>
                </c:pt>
                <c:pt idx="21">
                  <c:v>57.79380851767138</c:v>
                </c:pt>
                <c:pt idx="22">
                  <c:v>69.535744001542355</c:v>
                </c:pt>
                <c:pt idx="23">
                  <c:v>45.938347227055701</c:v>
                </c:pt>
                <c:pt idx="24">
                  <c:v>53.809314968991181</c:v>
                </c:pt>
                <c:pt idx="25">
                  <c:v>45.671137082128162</c:v>
                </c:pt>
                <c:pt idx="26">
                  <c:v>53.542104824063642</c:v>
                </c:pt>
                <c:pt idx="27">
                  <c:v>42.852133705028834</c:v>
                </c:pt>
                <c:pt idx="28">
                  <c:v>46.723101446964307</c:v>
                </c:pt>
                <c:pt idx="29">
                  <c:v>45.801478451643796</c:v>
                </c:pt>
                <c:pt idx="30">
                  <c:v>53.543413935514756</c:v>
                </c:pt>
                <c:pt idx="31">
                  <c:v>36.963956581469397</c:v>
                </c:pt>
                <c:pt idx="32">
                  <c:v>40.834924323404884</c:v>
                </c:pt>
                <c:pt idx="33">
                  <c:v>32.752943862304505</c:v>
                </c:pt>
                <c:pt idx="34">
                  <c:v>38.623911604239986</c:v>
                </c:pt>
                <c:pt idx="35">
                  <c:v>33.936123906897592</c:v>
                </c:pt>
                <c:pt idx="36">
                  <c:v>37.807091648833072</c:v>
                </c:pt>
                <c:pt idx="37">
                  <c:v>34.47054419675267</c:v>
                </c:pt>
                <c:pt idx="38">
                  <c:v>42.34151193868815</c:v>
                </c:pt>
                <c:pt idx="39">
                  <c:v>49.460475184338051</c:v>
                </c:pt>
                <c:pt idx="40">
                  <c:v>61.202410668209026</c:v>
                </c:pt>
                <c:pt idx="41">
                  <c:v>38.813328224319299</c:v>
                </c:pt>
                <c:pt idx="42">
                  <c:v>46.684295966254787</c:v>
                </c:pt>
                <c:pt idx="43">
                  <c:v>50.723101446964321</c:v>
                </c:pt>
                <c:pt idx="44">
                  <c:v>62.465036930835282</c:v>
                </c:pt>
                <c:pt idx="45">
                  <c:v>34.68344240965088</c:v>
                </c:pt>
                <c:pt idx="46">
                  <c:v>42.55441015158636</c:v>
                </c:pt>
                <c:pt idx="47">
                  <c:v>27.727159260432948</c:v>
                </c:pt>
                <c:pt idx="48">
                  <c:v>31.598127002368429</c:v>
                </c:pt>
                <c:pt idx="49">
                  <c:v>28.053246216954683</c:v>
                </c:pt>
                <c:pt idx="50">
                  <c:v>26.115525683282129</c:v>
                </c:pt>
                <c:pt idx="51">
                  <c:v>31.986493425217613</c:v>
                </c:pt>
                <c:pt idx="52">
                  <c:v>26.053246216954683</c:v>
                </c:pt>
                <c:pt idx="53">
                  <c:v>31.924213958890171</c:v>
                </c:pt>
                <c:pt idx="54">
                  <c:v>39.912911008684695</c:v>
                </c:pt>
                <c:pt idx="55">
                  <c:v>47.783878750620183</c:v>
                </c:pt>
                <c:pt idx="56">
                  <c:v>32.331793442326884</c:v>
                </c:pt>
                <c:pt idx="57">
                  <c:v>36.267277313294628</c:v>
                </c:pt>
                <c:pt idx="58">
                  <c:v>24.348175456880178</c:v>
                </c:pt>
                <c:pt idx="59">
                  <c:v>28.219143198815662</c:v>
                </c:pt>
                <c:pt idx="60">
                  <c:v>12.84301605071966</c:v>
                </c:pt>
                <c:pt idx="61">
                  <c:v>14.7784999216874</c:v>
                </c:pt>
                <c:pt idx="62">
                  <c:v>14.452180946709889</c:v>
                </c:pt>
                <c:pt idx="63">
                  <c:v>9.8980510332284037</c:v>
                </c:pt>
                <c:pt idx="64">
                  <c:v>10.825260723837646</c:v>
                </c:pt>
                <c:pt idx="65">
                  <c:v>4.5838164105592893</c:v>
                </c:pt>
                <c:pt idx="66">
                  <c:v>18.024974095589997</c:v>
                </c:pt>
                <c:pt idx="67">
                  <c:v>13.5610687376629</c:v>
                </c:pt>
                <c:pt idx="68">
                  <c:v>8.5417777660910144</c:v>
                </c:pt>
                <c:pt idx="69">
                  <c:v>18.817003852855883</c:v>
                </c:pt>
                <c:pt idx="70">
                  <c:v>21.341985680124072</c:v>
                </c:pt>
                <c:pt idx="71">
                  <c:v>12.303807371917468</c:v>
                </c:pt>
                <c:pt idx="72">
                  <c:v>10.703804347826086</c:v>
                </c:pt>
                <c:pt idx="73">
                  <c:v>8.7688296003513386</c:v>
                </c:pt>
                <c:pt idx="74">
                  <c:v>56.614912790427859</c:v>
                </c:pt>
                <c:pt idx="75">
                  <c:v>60.485880532363339</c:v>
                </c:pt>
                <c:pt idx="76">
                  <c:v>44.388184808265095</c:v>
                </c:pt>
                <c:pt idx="77">
                  <c:v>48.259152550200568</c:v>
                </c:pt>
                <c:pt idx="78">
                  <c:v>42.563003648844806</c:v>
                </c:pt>
                <c:pt idx="79">
                  <c:v>46.433971390780286</c:v>
                </c:pt>
                <c:pt idx="80">
                  <c:v>56.614912790427859</c:v>
                </c:pt>
                <c:pt idx="81">
                  <c:v>60.485880532363339</c:v>
                </c:pt>
                <c:pt idx="82">
                  <c:v>44.22514133000422</c:v>
                </c:pt>
                <c:pt idx="83">
                  <c:v>48.096109071939701</c:v>
                </c:pt>
                <c:pt idx="84">
                  <c:v>42.399960170583938</c:v>
                </c:pt>
                <c:pt idx="85">
                  <c:v>46.270927912519419</c:v>
                </c:pt>
                <c:pt idx="86">
                  <c:v>49.02688396101972</c:v>
                </c:pt>
                <c:pt idx="87">
                  <c:v>52.897851702955201</c:v>
                </c:pt>
                <c:pt idx="88">
                  <c:v>41.028974262023056</c:v>
                </c:pt>
                <c:pt idx="89">
                  <c:v>44.899942003958543</c:v>
                </c:pt>
                <c:pt idx="90">
                  <c:v>39.366836580863641</c:v>
                </c:pt>
                <c:pt idx="91">
                  <c:v>43.237804322799128</c:v>
                </c:pt>
                <c:pt idx="92">
                  <c:v>52.303817717616866</c:v>
                </c:pt>
                <c:pt idx="93">
                  <c:v>60.045753201487834</c:v>
                </c:pt>
                <c:pt idx="94">
                  <c:v>44.621123007279728</c:v>
                </c:pt>
                <c:pt idx="95">
                  <c:v>52.363058491150696</c:v>
                </c:pt>
                <c:pt idx="96">
                  <c:v>51.041191454990603</c:v>
                </c:pt>
                <c:pt idx="97">
                  <c:v>58.783126938861571</c:v>
                </c:pt>
                <c:pt idx="98">
                  <c:v>43.013669158446568</c:v>
                </c:pt>
                <c:pt idx="99">
                  <c:v>50.755604642317536</c:v>
                </c:pt>
                <c:pt idx="100">
                  <c:v>47.053206973755778</c:v>
                </c:pt>
                <c:pt idx="101">
                  <c:v>50.924174715691265</c:v>
                </c:pt>
                <c:pt idx="102">
                  <c:v>42.518786683900707</c:v>
                </c:pt>
                <c:pt idx="103">
                  <c:v>46.389754425836195</c:v>
                </c:pt>
                <c:pt idx="104">
                  <c:v>45.065793664375427</c:v>
                </c:pt>
                <c:pt idx="105">
                  <c:v>52.807729148246388</c:v>
                </c:pt>
                <c:pt idx="106">
                  <c:v>39.240612504955138</c:v>
                </c:pt>
                <c:pt idx="107">
                  <c:v>35.36964476301965</c:v>
                </c:pt>
                <c:pt idx="108">
                  <c:v>52.915967644984192</c:v>
                </c:pt>
                <c:pt idx="109">
                  <c:v>52.915967644984192</c:v>
                </c:pt>
                <c:pt idx="110">
                  <c:v>69.129832594793655</c:v>
                </c:pt>
                <c:pt idx="111">
                  <c:v>65.028383319431342</c:v>
                </c:pt>
                <c:pt idx="112">
                  <c:v>52.94364746155383</c:v>
                </c:pt>
                <c:pt idx="113">
                  <c:v>67.867206332167399</c:v>
                </c:pt>
                <c:pt idx="114">
                  <c:v>59.765757056805086</c:v>
                </c:pt>
                <c:pt idx="115">
                  <c:v>51.02884728588409</c:v>
                </c:pt>
                <c:pt idx="116">
                  <c:v>32.163805466617767</c:v>
                </c:pt>
                <c:pt idx="117">
                  <c:v>53.566443980243129</c:v>
                </c:pt>
                <c:pt idx="118">
                  <c:v>61.308379464114097</c:v>
                </c:pt>
                <c:pt idx="119">
                  <c:v>49.695476238307648</c:v>
                </c:pt>
                <c:pt idx="120">
                  <c:v>33.327951667259832</c:v>
                </c:pt>
                <c:pt idx="121">
                  <c:v>37.198919409195312</c:v>
                </c:pt>
                <c:pt idx="122">
                  <c:v>29.400283071487792</c:v>
                </c:pt>
                <c:pt idx="123">
                  <c:v>33.271250813423272</c:v>
                </c:pt>
                <c:pt idx="124">
                  <c:v>24.472544143748866</c:v>
                </c:pt>
                <c:pt idx="125">
                  <c:v>28.34351188568435</c:v>
                </c:pt>
                <c:pt idx="126">
                  <c:v>21.053583261286867</c:v>
                </c:pt>
                <c:pt idx="127">
                  <c:v>22.989067132254611</c:v>
                </c:pt>
                <c:pt idx="128">
                  <c:v>40.245245424227505</c:v>
                </c:pt>
                <c:pt idx="129">
                  <c:v>44.116213166162993</c:v>
                </c:pt>
                <c:pt idx="130">
                  <c:v>30.524064784943416</c:v>
                </c:pt>
                <c:pt idx="131">
                  <c:v>34.3950325268789</c:v>
                </c:pt>
                <c:pt idx="132">
                  <c:v>26.102978926357562</c:v>
                </c:pt>
                <c:pt idx="133">
                  <c:v>29.973946668293046</c:v>
                </c:pt>
                <c:pt idx="134">
                  <c:v>40.245245424227505</c:v>
                </c:pt>
                <c:pt idx="135">
                  <c:v>44.116213166162993</c:v>
                </c:pt>
                <c:pt idx="136">
                  <c:v>30.524064784943416</c:v>
                </c:pt>
                <c:pt idx="137">
                  <c:v>34.3950325268789</c:v>
                </c:pt>
                <c:pt idx="138">
                  <c:v>26.102978926357562</c:v>
                </c:pt>
                <c:pt idx="139">
                  <c:v>29.973946668293046</c:v>
                </c:pt>
                <c:pt idx="140">
                  <c:v>28.711509888149394</c:v>
                </c:pt>
                <c:pt idx="141">
                  <c:v>14.799123952479734</c:v>
                </c:pt>
                <c:pt idx="142">
                  <c:v>37.304633999170804</c:v>
                </c:pt>
                <c:pt idx="143">
                  <c:v>35.374060460182719</c:v>
                </c:pt>
                <c:pt idx="144">
                  <c:v>28.523531761827936</c:v>
                </c:pt>
                <c:pt idx="145">
                  <c:v>39.173760624669235</c:v>
                </c:pt>
                <c:pt idx="146">
                  <c:v>49.269728628711434</c:v>
                </c:pt>
                <c:pt idx="147">
                  <c:v>40.982094220109289</c:v>
                </c:pt>
                <c:pt idx="148">
                  <c:v>52.378508737491543</c:v>
                </c:pt>
                <c:pt idx="149">
                  <c:v>44.090874328889399</c:v>
                </c:pt>
                <c:pt idx="150">
                  <c:v>53.641135000117806</c:v>
                </c:pt>
                <c:pt idx="151">
                  <c:v>45.353500591515662</c:v>
                </c:pt>
                <c:pt idx="152">
                  <c:v>25.562009754766198</c:v>
                </c:pt>
                <c:pt idx="153">
                  <c:v>27.512330267586709</c:v>
                </c:pt>
                <c:pt idx="154">
                  <c:v>31.300209055465494</c:v>
                </c:pt>
                <c:pt idx="155">
                  <c:v>12.706848339120913</c:v>
                </c:pt>
                <c:pt idx="156">
                  <c:v>39.797947546641744</c:v>
                </c:pt>
                <c:pt idx="157">
                  <c:v>11.10238862259223</c:v>
                </c:pt>
                <c:pt idx="158">
                  <c:v>29.804878923328772</c:v>
                </c:pt>
                <c:pt idx="159">
                  <c:v>24.969583502857191</c:v>
                </c:pt>
                <c:pt idx="160">
                  <c:v>24.464532997806685</c:v>
                </c:pt>
                <c:pt idx="161">
                  <c:v>10.849863370066977</c:v>
                </c:pt>
                <c:pt idx="162">
                  <c:v>34.133592224302916</c:v>
                </c:pt>
                <c:pt idx="163">
                  <c:v>20.444330977604665</c:v>
                </c:pt>
                <c:pt idx="164">
                  <c:v>20.444330977604665</c:v>
                </c:pt>
                <c:pt idx="165">
                  <c:v>11.10238862259223</c:v>
                </c:pt>
                <c:pt idx="166">
                  <c:v>20.444330977604665</c:v>
                </c:pt>
                <c:pt idx="167">
                  <c:v>32.679319360734702</c:v>
                </c:pt>
                <c:pt idx="168">
                  <c:v>27.832370859179026</c:v>
                </c:pt>
                <c:pt idx="169">
                  <c:v>34.133592224302916</c:v>
                </c:pt>
                <c:pt idx="170">
                  <c:v>22.444330977604665</c:v>
                </c:pt>
                <c:pt idx="171">
                  <c:v>20.444330977604665</c:v>
                </c:pt>
                <c:pt idx="172">
                  <c:v>20.444330977604665</c:v>
                </c:pt>
                <c:pt idx="173">
                  <c:v>11.10238862259223</c:v>
                </c:pt>
                <c:pt idx="174">
                  <c:v>10.849863370066977</c:v>
                </c:pt>
                <c:pt idx="175">
                  <c:v>33.70333860111451</c:v>
                </c:pt>
                <c:pt idx="176">
                  <c:v>27.832370859179026</c:v>
                </c:pt>
                <c:pt idx="177">
                  <c:v>27.832370859179026</c:v>
                </c:pt>
                <c:pt idx="178">
                  <c:v>32.679319360734702</c:v>
                </c:pt>
                <c:pt idx="179">
                  <c:v>67.115750800299153</c:v>
                </c:pt>
                <c:pt idx="180">
                  <c:v>70.491845059405037</c:v>
                </c:pt>
                <c:pt idx="181">
                  <c:v>70.491845059405037</c:v>
                </c:pt>
                <c:pt idx="182">
                  <c:v>70.491845059405037</c:v>
                </c:pt>
                <c:pt idx="183">
                  <c:v>34.891167981878681</c:v>
                </c:pt>
                <c:pt idx="184">
                  <c:v>42.366327182581344</c:v>
                </c:pt>
                <c:pt idx="185">
                  <c:v>33.43689511831046</c:v>
                </c:pt>
                <c:pt idx="186">
                  <c:v>34.891167981878681</c:v>
                </c:pt>
                <c:pt idx="187">
                  <c:v>61.818136823196788</c:v>
                </c:pt>
                <c:pt idx="188">
                  <c:v>34.460914358690268</c:v>
                </c:pt>
                <c:pt idx="189">
                  <c:v>58.860576777462086</c:v>
                </c:pt>
                <c:pt idx="190">
                  <c:v>45.073141898766387</c:v>
                </c:pt>
                <c:pt idx="191">
                  <c:v>64.074547079607058</c:v>
                </c:pt>
                <c:pt idx="192">
                  <c:v>34.460914358690268</c:v>
                </c:pt>
                <c:pt idx="193">
                  <c:v>44.799193716079017</c:v>
                </c:pt>
                <c:pt idx="194">
                  <c:v>19.056223622341776</c:v>
                </c:pt>
                <c:pt idx="195">
                  <c:v>15.752686943711389</c:v>
                </c:pt>
                <c:pt idx="196">
                  <c:v>20.52511313897153</c:v>
                </c:pt>
                <c:pt idx="197">
                  <c:v>7.4941256743047377</c:v>
                </c:pt>
                <c:pt idx="198">
                  <c:v>4.7051383253594654</c:v>
                </c:pt>
                <c:pt idx="199">
                  <c:v>13.642934055004231</c:v>
                </c:pt>
                <c:pt idx="200">
                  <c:v>15.68268566812541</c:v>
                </c:pt>
                <c:pt idx="201">
                  <c:v>11.120282292965106</c:v>
                </c:pt>
                <c:pt idx="202">
                  <c:v>3.2002250622940278</c:v>
                </c:pt>
                <c:pt idx="203">
                  <c:v>9.7319158701159232</c:v>
                </c:pt>
                <c:pt idx="204">
                  <c:v>30.663958052179265</c:v>
                </c:pt>
                <c:pt idx="205">
                  <c:v>34.534925794114748</c:v>
                </c:pt>
                <c:pt idx="206">
                  <c:v>28.749157876509525</c:v>
                </c:pt>
                <c:pt idx="207">
                  <c:v>32.620125618445009</c:v>
                </c:pt>
                <c:pt idx="208">
                  <c:v>12.370674096696671</c:v>
                </c:pt>
                <c:pt idx="209">
                  <c:v>15.306157967664412</c:v>
                </c:pt>
                <c:pt idx="210">
                  <c:v>22.540851991573202</c:v>
                </c:pt>
                <c:pt idx="211">
                  <c:v>26.411819733508686</c:v>
                </c:pt>
                <c:pt idx="212">
                  <c:v>13.003942262222902</c:v>
                </c:pt>
                <c:pt idx="213">
                  <c:v>13.971684197706773</c:v>
                </c:pt>
                <c:pt idx="214">
                  <c:v>22.38693510531936</c:v>
                </c:pt>
                <c:pt idx="215">
                  <c:v>26.257902847254844</c:v>
                </c:pt>
                <c:pt idx="216">
                  <c:v>29.291606822491076</c:v>
                </c:pt>
                <c:pt idx="217">
                  <c:v>33.162574564426563</c:v>
                </c:pt>
                <c:pt idx="218">
                  <c:v>15.264491300997745</c:v>
                </c:pt>
                <c:pt idx="219">
                  <c:v>12.329007430030005</c:v>
                </c:pt>
                <c:pt idx="220">
                  <c:v>20.422577850530708</c:v>
                </c:pt>
                <c:pt idx="221">
                  <c:v>24.358061721498451</c:v>
                </c:pt>
                <c:pt idx="222">
                  <c:v>19.06309443969646</c:v>
                </c:pt>
                <c:pt idx="223">
                  <c:v>15.12761056872872</c:v>
                </c:pt>
                <c:pt idx="224">
                  <c:v>31.328970971127717</c:v>
                </c:pt>
                <c:pt idx="225">
                  <c:v>35.199938713063204</c:v>
                </c:pt>
                <c:pt idx="226">
                  <c:v>23.918447139220824</c:v>
                </c:pt>
                <c:pt idx="227">
                  <c:v>17.982963268253087</c:v>
                </c:pt>
                <c:pt idx="228">
                  <c:v>25.938649159422845</c:v>
                </c:pt>
                <c:pt idx="229">
                  <c:v>29.809616901358325</c:v>
                </c:pt>
                <c:pt idx="230">
                  <c:v>22.636395857169539</c:v>
                </c:pt>
                <c:pt idx="231">
                  <c:v>20.700911986201803</c:v>
                </c:pt>
                <c:pt idx="232">
                  <c:v>26.044900630132712</c:v>
                </c:pt>
                <c:pt idx="233">
                  <c:v>29.915868372068196</c:v>
                </c:pt>
                <c:pt idx="234">
                  <c:v>15.306157967664412</c:v>
                </c:pt>
                <c:pt idx="235">
                  <c:v>13.370674096696671</c:v>
                </c:pt>
                <c:pt idx="236">
                  <c:v>55.243108672090756</c:v>
                </c:pt>
                <c:pt idx="237">
                  <c:v>59.114076414026229</c:v>
                </c:pt>
                <c:pt idx="238">
                  <c:v>70.806384106333923</c:v>
                </c:pt>
                <c:pt idx="239">
                  <c:v>78.548319590204883</c:v>
                </c:pt>
                <c:pt idx="240">
                  <c:v>62.135362645910291</c:v>
                </c:pt>
                <c:pt idx="241">
                  <c:v>42.194015321039011</c:v>
                </c:pt>
                <c:pt idx="242">
                  <c:v>58.477077241700982</c:v>
                </c:pt>
                <c:pt idx="243">
                  <c:v>58.725020941762367</c:v>
                </c:pt>
                <c:pt idx="244">
                  <c:v>51.302108490645281</c:v>
                </c:pt>
                <c:pt idx="245">
                  <c:v>59.044043974516242</c:v>
                </c:pt>
                <c:pt idx="246">
                  <c:v>42.358976801545836</c:v>
                </c:pt>
                <c:pt idx="247">
                  <c:v>46.229944543481324</c:v>
                </c:pt>
                <c:pt idx="248">
                  <c:v>56.009058847052145</c:v>
                </c:pt>
                <c:pt idx="249">
                  <c:v>63.750994330923106</c:v>
                </c:pt>
                <c:pt idx="250">
                  <c:v>54.469258671382406</c:v>
                </c:pt>
                <c:pt idx="251">
                  <c:v>62.211194155253366</c:v>
                </c:pt>
                <c:pt idx="252">
                  <c:v>46.384207484572627</c:v>
                </c:pt>
                <c:pt idx="253">
                  <c:v>45.759207484572627</c:v>
                </c:pt>
                <c:pt idx="254">
                  <c:v>56.264353548186428</c:v>
                </c:pt>
                <c:pt idx="255">
                  <c:v>58.151979810812698</c:v>
                </c:pt>
                <c:pt idx="256">
                  <c:v>40.477020052647561</c:v>
                </c:pt>
                <c:pt idx="257">
                  <c:v>35.707102927876612</c:v>
                </c:pt>
                <c:pt idx="258">
                  <c:v>28.158299677986406</c:v>
                </c:pt>
                <c:pt idx="259">
                  <c:v>36.747097135318342</c:v>
                </c:pt>
                <c:pt idx="260">
                  <c:v>38.293774554184672</c:v>
                </c:pt>
                <c:pt idx="261">
                  <c:v>42.164742296120153</c:v>
                </c:pt>
                <c:pt idx="262">
                  <c:v>32.830202435814954</c:v>
                </c:pt>
                <c:pt idx="263">
                  <c:v>36.701170177750441</c:v>
                </c:pt>
                <c:pt idx="264">
                  <c:v>29.494204714978395</c:v>
                </c:pt>
                <c:pt idx="265">
                  <c:v>35.365172456913882</c:v>
                </c:pt>
                <c:pt idx="266">
                  <c:v>44.48819067654307</c:v>
                </c:pt>
                <c:pt idx="267">
                  <c:v>48.35915841847855</c:v>
                </c:pt>
                <c:pt idx="268">
                  <c:v>44.48819067654307</c:v>
                </c:pt>
                <c:pt idx="269">
                  <c:v>48.35915841847855</c:v>
                </c:pt>
                <c:pt idx="270">
                  <c:v>34.672766876205479</c:v>
                </c:pt>
                <c:pt idx="271">
                  <c:v>38.543734618140959</c:v>
                </c:pt>
                <c:pt idx="272">
                  <c:v>28.220799677986406</c:v>
                </c:pt>
                <c:pt idx="273">
                  <c:v>32.091767419921887</c:v>
                </c:pt>
                <c:pt idx="274">
                  <c:v>31.251102708289437</c:v>
                </c:pt>
                <c:pt idx="275">
                  <c:v>35.122070450224918</c:v>
                </c:pt>
                <c:pt idx="276">
                  <c:v>34.098788713771548</c:v>
                </c:pt>
                <c:pt idx="277">
                  <c:v>37.969756455707028</c:v>
                </c:pt>
                <c:pt idx="278">
                  <c:v>43.041500012832898</c:v>
                </c:pt>
                <c:pt idx="279">
                  <c:v>38.303399403764544</c:v>
                </c:pt>
                <c:pt idx="280">
                  <c:v>18.540521610294181</c:v>
                </c:pt>
                <c:pt idx="281">
                  <c:v>22.476005481261925</c:v>
                </c:pt>
                <c:pt idx="282">
                  <c:v>59.225036558953775</c:v>
                </c:pt>
                <c:pt idx="283">
                  <c:v>70.96697204282475</c:v>
                </c:pt>
                <c:pt idx="284">
                  <c:v>59.354068817018302</c:v>
                </c:pt>
                <c:pt idx="285">
                  <c:v>57.698315544461011</c:v>
                </c:pt>
                <c:pt idx="286">
                  <c:v>69.440251028331986</c:v>
                </c:pt>
                <c:pt idx="287">
                  <c:v>57.369058298084212</c:v>
                </c:pt>
                <c:pt idx="288">
                  <c:v>65.110993781955173</c:v>
                </c:pt>
                <c:pt idx="289">
                  <c:v>53.498090556148725</c:v>
                </c:pt>
                <c:pt idx="290">
                  <c:v>57.431558298084212</c:v>
                </c:pt>
                <c:pt idx="291">
                  <c:v>65.173493781955173</c:v>
                </c:pt>
                <c:pt idx="292">
                  <c:v>56.41027206620015</c:v>
                </c:pt>
                <c:pt idx="293">
                  <c:v>64.152207550071111</c:v>
                </c:pt>
                <c:pt idx="294">
                  <c:v>51.560977490003395</c:v>
                </c:pt>
                <c:pt idx="295">
                  <c:v>59.302912973874371</c:v>
                </c:pt>
                <c:pt idx="296">
                  <c:v>44.005064778827595</c:v>
                </c:pt>
                <c:pt idx="297">
                  <c:v>51.87603252076309</c:v>
                </c:pt>
                <c:pt idx="298">
                  <c:v>63.617968004634051</c:v>
                </c:pt>
                <c:pt idx="299">
                  <c:v>39.670460373571011</c:v>
                </c:pt>
                <c:pt idx="300">
                  <c:v>47.541428115506505</c:v>
                </c:pt>
                <c:pt idx="301">
                  <c:v>34.582515709539393</c:v>
                </c:pt>
                <c:pt idx="302">
                  <c:v>40.453483451474881</c:v>
                </c:pt>
                <c:pt idx="303">
                  <c:v>31.355631482655163</c:v>
                </c:pt>
                <c:pt idx="304">
                  <c:v>37.22659922459065</c:v>
                </c:pt>
                <c:pt idx="305">
                  <c:v>25.567752694776381</c:v>
                </c:pt>
                <c:pt idx="306">
                  <c:v>31.438720436711861</c:v>
                </c:pt>
              </c:numCache>
            </c:numRef>
          </c:xVal>
          <c:yVal>
            <c:numRef>
              <c:f>'Mobile Dataset Cleaned (PQ)'!$O$625:$O$931</c:f>
              <c:numCache>
                <c:formatCode>General</c:formatCode>
                <c:ptCount val="307"/>
                <c:pt idx="0">
                  <c:v>190</c:v>
                </c:pt>
                <c:pt idx="1">
                  <c:v>150</c:v>
                </c:pt>
                <c:pt idx="2">
                  <c:v>170</c:v>
                </c:pt>
                <c:pt idx="3">
                  <c:v>190</c:v>
                </c:pt>
                <c:pt idx="4">
                  <c:v>210</c:v>
                </c:pt>
                <c:pt idx="5">
                  <c:v>170</c:v>
                </c:pt>
                <c:pt idx="6">
                  <c:v>200</c:v>
                </c:pt>
                <c:pt idx="7">
                  <c:v>230</c:v>
                </c:pt>
                <c:pt idx="8">
                  <c:v>280</c:v>
                </c:pt>
                <c:pt idx="9">
                  <c:v>320</c:v>
                </c:pt>
                <c:pt idx="10">
                  <c:v>190</c:v>
                </c:pt>
                <c:pt idx="11">
                  <c:v>210</c:v>
                </c:pt>
                <c:pt idx="12">
                  <c:v>160</c:v>
                </c:pt>
                <c:pt idx="13">
                  <c:v>180</c:v>
                </c:pt>
                <c:pt idx="14">
                  <c:v>200</c:v>
                </c:pt>
                <c:pt idx="15">
                  <c:v>220</c:v>
                </c:pt>
                <c:pt idx="16">
                  <c:v>210</c:v>
                </c:pt>
                <c:pt idx="17">
                  <c:v>230</c:v>
                </c:pt>
                <c:pt idx="18">
                  <c:v>470</c:v>
                </c:pt>
                <c:pt idx="19">
                  <c:v>500</c:v>
                </c:pt>
                <c:pt idx="20">
                  <c:v>380</c:v>
                </c:pt>
                <c:pt idx="21">
                  <c:v>400</c:v>
                </c:pt>
                <c:pt idx="22">
                  <c:v>420</c:v>
                </c:pt>
                <c:pt idx="23">
                  <c:v>440</c:v>
                </c:pt>
                <c:pt idx="24">
                  <c:v>500</c:v>
                </c:pt>
                <c:pt idx="25">
                  <c:v>350</c:v>
                </c:pt>
                <c:pt idx="26">
                  <c:v>400</c:v>
                </c:pt>
                <c:pt idx="27">
                  <c:v>360</c:v>
                </c:pt>
                <c:pt idx="28">
                  <c:v>380</c:v>
                </c:pt>
                <c:pt idx="29">
                  <c:v>340</c:v>
                </c:pt>
                <c:pt idx="30">
                  <c:v>360</c:v>
                </c:pt>
                <c:pt idx="31">
                  <c:v>320</c:v>
                </c:pt>
                <c:pt idx="32">
                  <c:v>340</c:v>
                </c:pt>
                <c:pt idx="33">
                  <c:v>270</c:v>
                </c:pt>
                <c:pt idx="34">
                  <c:v>290</c:v>
                </c:pt>
                <c:pt idx="35">
                  <c:v>250</c:v>
                </c:pt>
                <c:pt idx="36">
                  <c:v>270</c:v>
                </c:pt>
                <c:pt idx="37">
                  <c:v>300</c:v>
                </c:pt>
                <c:pt idx="38">
                  <c:v>320</c:v>
                </c:pt>
                <c:pt idx="39">
                  <c:v>360</c:v>
                </c:pt>
                <c:pt idx="40">
                  <c:v>380</c:v>
                </c:pt>
                <c:pt idx="41">
                  <c:v>250</c:v>
                </c:pt>
                <c:pt idx="42">
                  <c:v>270</c:v>
                </c:pt>
                <c:pt idx="43">
                  <c:v>340</c:v>
                </c:pt>
                <c:pt idx="44">
                  <c:v>360</c:v>
                </c:pt>
                <c:pt idx="45">
                  <c:v>270</c:v>
                </c:pt>
                <c:pt idx="46">
                  <c:v>290</c:v>
                </c:pt>
                <c:pt idx="47">
                  <c:v>240</c:v>
                </c:pt>
                <c:pt idx="48">
                  <c:v>260</c:v>
                </c:pt>
                <c:pt idx="49">
                  <c:v>230</c:v>
                </c:pt>
                <c:pt idx="50">
                  <c:v>160</c:v>
                </c:pt>
                <c:pt idx="51">
                  <c:v>180</c:v>
                </c:pt>
                <c:pt idx="52">
                  <c:v>220</c:v>
                </c:pt>
                <c:pt idx="53">
                  <c:v>240</c:v>
                </c:pt>
                <c:pt idx="54">
                  <c:v>330</c:v>
                </c:pt>
                <c:pt idx="55">
                  <c:v>380</c:v>
                </c:pt>
                <c:pt idx="56">
                  <c:v>310</c:v>
                </c:pt>
                <c:pt idx="57">
                  <c:v>350</c:v>
                </c:pt>
                <c:pt idx="58">
                  <c:v>299</c:v>
                </c:pt>
                <c:pt idx="59">
                  <c:v>349</c:v>
                </c:pt>
                <c:pt idx="60">
                  <c:v>199</c:v>
                </c:pt>
                <c:pt idx="61">
                  <c:v>249</c:v>
                </c:pt>
                <c:pt idx="62">
                  <c:v>199</c:v>
                </c:pt>
                <c:pt idx="63">
                  <c:v>179</c:v>
                </c:pt>
                <c:pt idx="64">
                  <c:v>169</c:v>
                </c:pt>
                <c:pt idx="65">
                  <c:v>129</c:v>
                </c:pt>
                <c:pt idx="66">
                  <c:v>399</c:v>
                </c:pt>
                <c:pt idx="67">
                  <c:v>299</c:v>
                </c:pt>
                <c:pt idx="68">
                  <c:v>249</c:v>
                </c:pt>
                <c:pt idx="69">
                  <c:v>179</c:v>
                </c:pt>
                <c:pt idx="70">
                  <c:v>199</c:v>
                </c:pt>
                <c:pt idx="71">
                  <c:v>149</c:v>
                </c:pt>
                <c:pt idx="72">
                  <c:v>129</c:v>
                </c:pt>
                <c:pt idx="73">
                  <c:v>99</c:v>
                </c:pt>
                <c:pt idx="74">
                  <c:v>1199</c:v>
                </c:pt>
                <c:pt idx="75">
                  <c:v>1299</c:v>
                </c:pt>
                <c:pt idx="76">
                  <c:v>899</c:v>
                </c:pt>
                <c:pt idx="77">
                  <c:v>999</c:v>
                </c:pt>
                <c:pt idx="78">
                  <c:v>799</c:v>
                </c:pt>
                <c:pt idx="79">
                  <c:v>899</c:v>
                </c:pt>
                <c:pt idx="80">
                  <c:v>1199</c:v>
                </c:pt>
                <c:pt idx="81">
                  <c:v>1299</c:v>
                </c:pt>
                <c:pt idx="82">
                  <c:v>899</c:v>
                </c:pt>
                <c:pt idx="83">
                  <c:v>999</c:v>
                </c:pt>
                <c:pt idx="84">
                  <c:v>799</c:v>
                </c:pt>
                <c:pt idx="85">
                  <c:v>899</c:v>
                </c:pt>
                <c:pt idx="86">
                  <c:v>1099</c:v>
                </c:pt>
                <c:pt idx="87">
                  <c:v>1199</c:v>
                </c:pt>
                <c:pt idx="88">
                  <c:v>799</c:v>
                </c:pt>
                <c:pt idx="89">
                  <c:v>899</c:v>
                </c:pt>
                <c:pt idx="90">
                  <c:v>699</c:v>
                </c:pt>
                <c:pt idx="91">
                  <c:v>799</c:v>
                </c:pt>
                <c:pt idx="92">
                  <c:v>1799</c:v>
                </c:pt>
                <c:pt idx="93">
                  <c:v>1899</c:v>
                </c:pt>
                <c:pt idx="94">
                  <c:v>999</c:v>
                </c:pt>
                <c:pt idx="95">
                  <c:v>1099</c:v>
                </c:pt>
                <c:pt idx="96">
                  <c:v>1799</c:v>
                </c:pt>
                <c:pt idx="97">
                  <c:v>1899</c:v>
                </c:pt>
                <c:pt idx="98">
                  <c:v>999</c:v>
                </c:pt>
                <c:pt idx="99">
                  <c:v>1099</c:v>
                </c:pt>
                <c:pt idx="100">
                  <c:v>1299</c:v>
                </c:pt>
                <c:pt idx="101">
                  <c:v>1399</c:v>
                </c:pt>
                <c:pt idx="102">
                  <c:v>999</c:v>
                </c:pt>
                <c:pt idx="103">
                  <c:v>1099</c:v>
                </c:pt>
                <c:pt idx="104">
                  <c:v>1099</c:v>
                </c:pt>
                <c:pt idx="105">
                  <c:v>1199</c:v>
                </c:pt>
                <c:pt idx="106">
                  <c:v>949</c:v>
                </c:pt>
                <c:pt idx="107">
                  <c:v>899</c:v>
                </c:pt>
                <c:pt idx="108">
                  <c:v>1499</c:v>
                </c:pt>
                <c:pt idx="109">
                  <c:v>1399</c:v>
                </c:pt>
                <c:pt idx="110">
                  <c:v>1199</c:v>
                </c:pt>
                <c:pt idx="111">
                  <c:v>999</c:v>
                </c:pt>
                <c:pt idx="112">
                  <c:v>799</c:v>
                </c:pt>
                <c:pt idx="113">
                  <c:v>1099</c:v>
                </c:pt>
                <c:pt idx="114">
                  <c:v>899</c:v>
                </c:pt>
                <c:pt idx="115">
                  <c:v>699</c:v>
                </c:pt>
                <c:pt idx="116">
                  <c:v>499</c:v>
                </c:pt>
                <c:pt idx="117">
                  <c:v>1899</c:v>
                </c:pt>
                <c:pt idx="118">
                  <c:v>1719</c:v>
                </c:pt>
                <c:pt idx="119">
                  <c:v>2259</c:v>
                </c:pt>
                <c:pt idx="120">
                  <c:v>399</c:v>
                </c:pt>
                <c:pt idx="121">
                  <c:v>449</c:v>
                </c:pt>
                <c:pt idx="122">
                  <c:v>349</c:v>
                </c:pt>
                <c:pt idx="123">
                  <c:v>399</c:v>
                </c:pt>
                <c:pt idx="124">
                  <c:v>249</c:v>
                </c:pt>
                <c:pt idx="125">
                  <c:v>299</c:v>
                </c:pt>
                <c:pt idx="126">
                  <c:v>199</c:v>
                </c:pt>
                <c:pt idx="127">
                  <c:v>249</c:v>
                </c:pt>
                <c:pt idx="128">
                  <c:v>349</c:v>
                </c:pt>
                <c:pt idx="129">
                  <c:v>399</c:v>
                </c:pt>
                <c:pt idx="130">
                  <c:v>299</c:v>
                </c:pt>
                <c:pt idx="131">
                  <c:v>349</c:v>
                </c:pt>
                <c:pt idx="132">
                  <c:v>249</c:v>
                </c:pt>
                <c:pt idx="133">
                  <c:v>299</c:v>
                </c:pt>
                <c:pt idx="134">
                  <c:v>349</c:v>
                </c:pt>
                <c:pt idx="135">
                  <c:v>399</c:v>
                </c:pt>
                <c:pt idx="136">
                  <c:v>299</c:v>
                </c:pt>
                <c:pt idx="137">
                  <c:v>349</c:v>
                </c:pt>
                <c:pt idx="138">
                  <c:v>249</c:v>
                </c:pt>
                <c:pt idx="139">
                  <c:v>299</c:v>
                </c:pt>
                <c:pt idx="140">
                  <c:v>499</c:v>
                </c:pt>
                <c:pt idx="141">
                  <c:v>249</c:v>
                </c:pt>
                <c:pt idx="142">
                  <c:v>549</c:v>
                </c:pt>
                <c:pt idx="143">
                  <c:v>229</c:v>
                </c:pt>
                <c:pt idx="144">
                  <c:v>549</c:v>
                </c:pt>
                <c:pt idx="145">
                  <c:v>649</c:v>
                </c:pt>
                <c:pt idx="146">
                  <c:v>1599</c:v>
                </c:pt>
                <c:pt idx="147">
                  <c:v>999</c:v>
                </c:pt>
                <c:pt idx="148">
                  <c:v>1699</c:v>
                </c:pt>
                <c:pt idx="149">
                  <c:v>1099</c:v>
                </c:pt>
                <c:pt idx="150">
                  <c:v>1799</c:v>
                </c:pt>
                <c:pt idx="151">
                  <c:v>1199</c:v>
                </c:pt>
                <c:pt idx="152">
                  <c:v>499</c:v>
                </c:pt>
                <c:pt idx="153">
                  <c:v>599</c:v>
                </c:pt>
                <c:pt idx="154">
                  <c:v>699</c:v>
                </c:pt>
                <c:pt idx="155">
                  <c:v>129</c:v>
                </c:pt>
                <c:pt idx="156">
                  <c:v>349</c:v>
                </c:pt>
                <c:pt idx="157">
                  <c:v>99</c:v>
                </c:pt>
                <c:pt idx="158">
                  <c:v>299</c:v>
                </c:pt>
                <c:pt idx="159">
                  <c:v>199</c:v>
                </c:pt>
                <c:pt idx="160">
                  <c:v>229</c:v>
                </c:pt>
                <c:pt idx="161">
                  <c:v>89</c:v>
                </c:pt>
                <c:pt idx="162">
                  <c:v>269</c:v>
                </c:pt>
                <c:pt idx="163">
                  <c:v>179</c:v>
                </c:pt>
                <c:pt idx="164">
                  <c:v>149</c:v>
                </c:pt>
                <c:pt idx="165">
                  <c:v>99</c:v>
                </c:pt>
                <c:pt idx="166">
                  <c:v>179</c:v>
                </c:pt>
                <c:pt idx="167">
                  <c:v>299</c:v>
                </c:pt>
                <c:pt idx="168">
                  <c:v>349</c:v>
                </c:pt>
                <c:pt idx="169">
                  <c:v>269</c:v>
                </c:pt>
                <c:pt idx="170">
                  <c:v>199</c:v>
                </c:pt>
                <c:pt idx="171">
                  <c:v>179</c:v>
                </c:pt>
                <c:pt idx="172">
                  <c:v>149</c:v>
                </c:pt>
                <c:pt idx="173">
                  <c:v>99</c:v>
                </c:pt>
                <c:pt idx="174">
                  <c:v>89</c:v>
                </c:pt>
                <c:pt idx="175">
                  <c:v>449</c:v>
                </c:pt>
                <c:pt idx="176">
                  <c:v>349</c:v>
                </c:pt>
                <c:pt idx="177">
                  <c:v>349</c:v>
                </c:pt>
                <c:pt idx="178">
                  <c:v>329</c:v>
                </c:pt>
                <c:pt idx="179">
                  <c:v>1799</c:v>
                </c:pt>
                <c:pt idx="180">
                  <c:v>1099</c:v>
                </c:pt>
                <c:pt idx="181">
                  <c:v>1199</c:v>
                </c:pt>
                <c:pt idx="182">
                  <c:v>1099</c:v>
                </c:pt>
                <c:pt idx="183">
                  <c:v>499</c:v>
                </c:pt>
                <c:pt idx="184">
                  <c:v>999</c:v>
                </c:pt>
                <c:pt idx="185">
                  <c:v>349</c:v>
                </c:pt>
                <c:pt idx="186">
                  <c:v>329</c:v>
                </c:pt>
                <c:pt idx="187">
                  <c:v>899</c:v>
                </c:pt>
                <c:pt idx="188">
                  <c:v>499</c:v>
                </c:pt>
                <c:pt idx="189">
                  <c:v>1099</c:v>
                </c:pt>
                <c:pt idx="190">
                  <c:v>899</c:v>
                </c:pt>
                <c:pt idx="191">
                  <c:v>1049</c:v>
                </c:pt>
                <c:pt idx="192">
                  <c:v>499</c:v>
                </c:pt>
                <c:pt idx="193">
                  <c:v>699</c:v>
                </c:pt>
                <c:pt idx="194">
                  <c:v>249</c:v>
                </c:pt>
                <c:pt idx="195">
                  <c:v>219</c:v>
                </c:pt>
                <c:pt idx="196">
                  <c:v>299</c:v>
                </c:pt>
                <c:pt idx="197">
                  <c:v>149</c:v>
                </c:pt>
                <c:pt idx="198">
                  <c:v>199</c:v>
                </c:pt>
                <c:pt idx="199">
                  <c:v>249</c:v>
                </c:pt>
                <c:pt idx="200">
                  <c:v>199</c:v>
                </c:pt>
                <c:pt idx="201">
                  <c:v>179</c:v>
                </c:pt>
                <c:pt idx="202">
                  <c:v>139</c:v>
                </c:pt>
                <c:pt idx="203">
                  <c:v>179</c:v>
                </c:pt>
                <c:pt idx="204">
                  <c:v>399</c:v>
                </c:pt>
                <c:pt idx="205">
                  <c:v>429</c:v>
                </c:pt>
                <c:pt idx="206">
                  <c:v>399</c:v>
                </c:pt>
                <c:pt idx="207">
                  <c:v>429</c:v>
                </c:pt>
                <c:pt idx="208">
                  <c:v>159</c:v>
                </c:pt>
                <c:pt idx="209">
                  <c:v>179</c:v>
                </c:pt>
                <c:pt idx="210">
                  <c:v>249</c:v>
                </c:pt>
                <c:pt idx="211">
                  <c:v>269</c:v>
                </c:pt>
                <c:pt idx="212">
                  <c:v>149</c:v>
                </c:pt>
                <c:pt idx="213">
                  <c:v>169</c:v>
                </c:pt>
                <c:pt idx="214">
                  <c:v>299</c:v>
                </c:pt>
                <c:pt idx="215">
                  <c:v>319</c:v>
                </c:pt>
                <c:pt idx="216">
                  <c:v>499</c:v>
                </c:pt>
                <c:pt idx="217">
                  <c:v>549</c:v>
                </c:pt>
                <c:pt idx="218">
                  <c:v>199</c:v>
                </c:pt>
                <c:pt idx="219">
                  <c:v>169</c:v>
                </c:pt>
                <c:pt idx="220">
                  <c:v>249</c:v>
                </c:pt>
                <c:pt idx="221">
                  <c:v>299</c:v>
                </c:pt>
                <c:pt idx="222">
                  <c:v>349</c:v>
                </c:pt>
                <c:pt idx="223">
                  <c:v>299</c:v>
                </c:pt>
                <c:pt idx="224">
                  <c:v>299</c:v>
                </c:pt>
                <c:pt idx="225">
                  <c:v>349</c:v>
                </c:pt>
                <c:pt idx="226">
                  <c:v>239</c:v>
                </c:pt>
                <c:pt idx="227">
                  <c:v>179</c:v>
                </c:pt>
                <c:pt idx="228">
                  <c:v>349</c:v>
                </c:pt>
                <c:pt idx="229">
                  <c:v>399</c:v>
                </c:pt>
                <c:pt idx="230">
                  <c:v>229</c:v>
                </c:pt>
                <c:pt idx="231">
                  <c:v>179</c:v>
                </c:pt>
                <c:pt idx="232">
                  <c:v>399</c:v>
                </c:pt>
                <c:pt idx="233">
                  <c:v>449</c:v>
                </c:pt>
                <c:pt idx="234">
                  <c:v>199</c:v>
                </c:pt>
                <c:pt idx="235">
                  <c:v>179</c:v>
                </c:pt>
                <c:pt idx="236">
                  <c:v>999</c:v>
                </c:pt>
                <c:pt idx="237">
                  <c:v>1099</c:v>
                </c:pt>
                <c:pt idx="238">
                  <c:v>1199</c:v>
                </c:pt>
                <c:pt idx="239">
                  <c:v>1299</c:v>
                </c:pt>
                <c:pt idx="240">
                  <c:v>949</c:v>
                </c:pt>
                <c:pt idx="241">
                  <c:v>349</c:v>
                </c:pt>
                <c:pt idx="242">
                  <c:v>599</c:v>
                </c:pt>
                <c:pt idx="243">
                  <c:v>699</c:v>
                </c:pt>
                <c:pt idx="244">
                  <c:v>899</c:v>
                </c:pt>
                <c:pt idx="245">
                  <c:v>999</c:v>
                </c:pt>
                <c:pt idx="246">
                  <c:v>899</c:v>
                </c:pt>
                <c:pt idx="247">
                  <c:v>949</c:v>
                </c:pt>
                <c:pt idx="248">
                  <c:v>1099</c:v>
                </c:pt>
                <c:pt idx="249">
                  <c:v>1199</c:v>
                </c:pt>
                <c:pt idx="250">
                  <c:v>899</c:v>
                </c:pt>
                <c:pt idx="251">
                  <c:v>999</c:v>
                </c:pt>
                <c:pt idx="252">
                  <c:v>329</c:v>
                </c:pt>
                <c:pt idx="253">
                  <c:v>279</c:v>
                </c:pt>
                <c:pt idx="254">
                  <c:v>449</c:v>
                </c:pt>
                <c:pt idx="255">
                  <c:v>499</c:v>
                </c:pt>
                <c:pt idx="256">
                  <c:v>449</c:v>
                </c:pt>
                <c:pt idx="257">
                  <c:v>399</c:v>
                </c:pt>
                <c:pt idx="258">
                  <c:v>299</c:v>
                </c:pt>
                <c:pt idx="259">
                  <c:v>549</c:v>
                </c:pt>
                <c:pt idx="260">
                  <c:v>499</c:v>
                </c:pt>
                <c:pt idx="261">
                  <c:v>549</c:v>
                </c:pt>
                <c:pt idx="262">
                  <c:v>749</c:v>
                </c:pt>
                <c:pt idx="263">
                  <c:v>799</c:v>
                </c:pt>
                <c:pt idx="264">
                  <c:v>269</c:v>
                </c:pt>
                <c:pt idx="265">
                  <c:v>319</c:v>
                </c:pt>
                <c:pt idx="266">
                  <c:v>599</c:v>
                </c:pt>
                <c:pt idx="267">
                  <c:v>649</c:v>
                </c:pt>
                <c:pt idx="268">
                  <c:v>699</c:v>
                </c:pt>
                <c:pt idx="269">
                  <c:v>749</c:v>
                </c:pt>
                <c:pt idx="270">
                  <c:v>599</c:v>
                </c:pt>
                <c:pt idx="271">
                  <c:v>649</c:v>
                </c:pt>
                <c:pt idx="272">
                  <c:v>399</c:v>
                </c:pt>
                <c:pt idx="273">
                  <c:v>449</c:v>
                </c:pt>
                <c:pt idx="274">
                  <c:v>299</c:v>
                </c:pt>
                <c:pt idx="275">
                  <c:v>349</c:v>
                </c:pt>
                <c:pt idx="276">
                  <c:v>499</c:v>
                </c:pt>
                <c:pt idx="277">
                  <c:v>549</c:v>
                </c:pt>
                <c:pt idx="278">
                  <c:v>399</c:v>
                </c:pt>
                <c:pt idx="279">
                  <c:v>349</c:v>
                </c:pt>
                <c:pt idx="280">
                  <c:v>199</c:v>
                </c:pt>
                <c:pt idx="281">
                  <c:v>229</c:v>
                </c:pt>
                <c:pt idx="282">
                  <c:v>799</c:v>
                </c:pt>
                <c:pt idx="283">
                  <c:v>899</c:v>
                </c:pt>
                <c:pt idx="284">
                  <c:v>999</c:v>
                </c:pt>
                <c:pt idx="285">
                  <c:v>699</c:v>
                </c:pt>
                <c:pt idx="286">
                  <c:v>799</c:v>
                </c:pt>
                <c:pt idx="287">
                  <c:v>635</c:v>
                </c:pt>
                <c:pt idx="288">
                  <c:v>791</c:v>
                </c:pt>
                <c:pt idx="289">
                  <c:v>899</c:v>
                </c:pt>
                <c:pt idx="290">
                  <c:v>799</c:v>
                </c:pt>
                <c:pt idx="291">
                  <c:v>899</c:v>
                </c:pt>
                <c:pt idx="292">
                  <c:v>699</c:v>
                </c:pt>
                <c:pt idx="293">
                  <c:v>799</c:v>
                </c:pt>
                <c:pt idx="294">
                  <c:v>599</c:v>
                </c:pt>
                <c:pt idx="295">
                  <c:v>699</c:v>
                </c:pt>
                <c:pt idx="296">
                  <c:v>375</c:v>
                </c:pt>
                <c:pt idx="297">
                  <c:v>399</c:v>
                </c:pt>
                <c:pt idx="298">
                  <c:v>429</c:v>
                </c:pt>
                <c:pt idx="299">
                  <c:v>349</c:v>
                </c:pt>
                <c:pt idx="300">
                  <c:v>379</c:v>
                </c:pt>
                <c:pt idx="301">
                  <c:v>299</c:v>
                </c:pt>
                <c:pt idx="302">
                  <c:v>329</c:v>
                </c:pt>
                <c:pt idx="303">
                  <c:v>279</c:v>
                </c:pt>
                <c:pt idx="304">
                  <c:v>309</c:v>
                </c:pt>
                <c:pt idx="305">
                  <c:v>249</c:v>
                </c:pt>
                <c:pt idx="306">
                  <c:v>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77-4C22-AC38-60EF82B8F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005407"/>
        <c:axId val="1430003487"/>
      </c:scatterChart>
      <c:valAx>
        <c:axId val="143000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430003487"/>
        <c:crosses val="autoZero"/>
        <c:crossBetween val="midCat"/>
      </c:valAx>
      <c:valAx>
        <c:axId val="143000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430005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219342522899626E-2"/>
          <c:y val="2.4946994107690777E-2"/>
          <c:w val="8.3579116024288524E-2"/>
          <c:h val="0.143462964890526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[smartphone hardware to price analysis latest.xlsx]Trend Line!PivotTable2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001" sz="1600" b="1" i="0" u="none" strike="noStrike" baseline="0">
                <a:effectLst/>
              </a:rPr>
              <a:t>Smartphone Value Trend: Price per Spec Point by Tier</a:t>
            </a:r>
            <a:endParaRPr lang="en-US"/>
          </a:p>
        </c:rich>
      </c:tx>
      <c:layout>
        <c:manualLayout>
          <c:xMode val="edge"/>
          <c:yMode val="edge"/>
          <c:x val="0.24255877984008983"/>
          <c:y val="2.23941584787397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separator>.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separator>.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separator>.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separator>.</c:separator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separator>.</c:separator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separator>.</c:separator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27970713557335"/>
          <c:y val="8.8502919374803299E-2"/>
          <c:w val="0.72638399556211408"/>
          <c:h val="0.80092490462983623"/>
        </c:manualLayout>
      </c:layout>
      <c:lineChart>
        <c:grouping val="standard"/>
        <c:varyColors val="0"/>
        <c:ser>
          <c:idx val="0"/>
          <c:order val="0"/>
          <c:tx>
            <c:strRef>
              <c:f>'Trend Line'!$B$1:$B$2</c:f>
              <c:strCache>
                <c:ptCount val="1"/>
                <c:pt idx="0">
                  <c:v>Budget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Line'!$A$3:$A$14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Line'!$B$3:$B$14</c:f>
              <c:numCache>
                <c:formatCode>[$$-409]#,##0.00</c:formatCode>
                <c:ptCount val="11"/>
                <c:pt idx="0">
                  <c:v>42.864316064444964</c:v>
                </c:pt>
                <c:pt idx="1">
                  <c:v>18.145057626436888</c:v>
                </c:pt>
                <c:pt idx="2">
                  <c:v>18.26891874790066</c:v>
                </c:pt>
                <c:pt idx="3">
                  <c:v>17.01644811005994</c:v>
                </c:pt>
                <c:pt idx="4">
                  <c:v>14.956390111417111</c:v>
                </c:pt>
                <c:pt idx="5">
                  <c:v>10.011468784289438</c:v>
                </c:pt>
                <c:pt idx="6">
                  <c:v>10.565152688830938</c:v>
                </c:pt>
                <c:pt idx="7">
                  <c:v>11.677027103194082</c:v>
                </c:pt>
                <c:pt idx="8">
                  <c:v>9.5676451615487874</c:v>
                </c:pt>
                <c:pt idx="9">
                  <c:v>10.22107778002019</c:v>
                </c:pt>
                <c:pt idx="10">
                  <c:v>13.964286949355639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441-4EF8-8AF6-130DD06ED3E2}"/>
            </c:ext>
          </c:extLst>
        </c:ser>
        <c:ser>
          <c:idx val="1"/>
          <c:order val="1"/>
          <c:tx>
            <c:strRef>
              <c:f>'Trend Line'!$C$1:$C$2</c:f>
              <c:strCache>
                <c:ptCount val="1"/>
                <c:pt idx="0">
                  <c:v>Flagship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.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Line'!$A$3:$A$14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Line'!$C$3:$C$14</c:f>
              <c:numCache>
                <c:formatCode>[$$-409]#,##0.00</c:formatCode>
                <c:ptCount val="11"/>
                <c:pt idx="2">
                  <c:v>29.46301197599746</c:v>
                </c:pt>
                <c:pt idx="3">
                  <c:v>30.798824560358977</c:v>
                </c:pt>
                <c:pt idx="4">
                  <c:v>23.806397021834563</c:v>
                </c:pt>
                <c:pt idx="5">
                  <c:v>21.0860251292047</c:v>
                </c:pt>
                <c:pt idx="6">
                  <c:v>22.864916995769189</c:v>
                </c:pt>
                <c:pt idx="7">
                  <c:v>20.298166168036477</c:v>
                </c:pt>
                <c:pt idx="8">
                  <c:v>18.967902024216215</c:v>
                </c:pt>
                <c:pt idx="9">
                  <c:v>18.459288771193794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441-4EF8-8AF6-130DD06ED3E2}"/>
            </c:ext>
          </c:extLst>
        </c:ser>
        <c:ser>
          <c:idx val="2"/>
          <c:order val="2"/>
          <c:tx>
            <c:strRef>
              <c:f>'Trend Line'!$D$1:$D$2</c:f>
              <c:strCache>
                <c:ptCount val="1"/>
                <c:pt idx="0">
                  <c:v>Mid-range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Line'!$A$3:$A$14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Line'!$D$3:$D$14</c:f>
              <c:numCache>
                <c:formatCode>[$$-409]#,##0.00</c:formatCode>
                <c:ptCount val="11"/>
                <c:pt idx="4">
                  <c:v>9.1269397503199752</c:v>
                </c:pt>
                <c:pt idx="5">
                  <c:v>11.451613429819337</c:v>
                </c:pt>
                <c:pt idx="6">
                  <c:v>12.305169549461013</c:v>
                </c:pt>
                <c:pt idx="7">
                  <c:v>11.727259778387477</c:v>
                </c:pt>
                <c:pt idx="8">
                  <c:v>10.510952141115295</c:v>
                </c:pt>
                <c:pt idx="9">
                  <c:v>10.763587642214755</c:v>
                </c:pt>
                <c:pt idx="10">
                  <c:v>8.871743662025164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441-4EF8-8AF6-130DD06ED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81199"/>
        <c:axId val="2031382159"/>
      </c:lineChart>
      <c:catAx>
        <c:axId val="203138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31382159"/>
        <c:crosses val="autoZero"/>
        <c:auto val="1"/>
        <c:lblAlgn val="ctr"/>
        <c:lblOffset val="100"/>
        <c:noMultiLvlLbl val="0"/>
      </c:catAx>
      <c:valAx>
        <c:axId val="203138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3138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[smartphone hardware to price analysis latest.xlsx]Trend Line!PivotTable3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001" sz="1600" b="1" i="0" u="none" strike="noStrike" baseline="0">
                <a:effectLst/>
              </a:rPr>
              <a:t>Hardware Improvement: Average Specs Score by Tier</a:t>
            </a:r>
            <a:endParaRPr lang="en-US"/>
          </a:p>
        </c:rich>
      </c:tx>
      <c:layout>
        <c:manualLayout>
          <c:xMode val="edge"/>
          <c:yMode val="edge"/>
          <c:x val="0.24771649603888363"/>
          <c:y val="2.0152765304118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Line'!$B$15:$B$16</c:f>
              <c:strCache>
                <c:ptCount val="1"/>
                <c:pt idx="0">
                  <c:v>Budget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Line'!$A$17:$A$28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Line'!$B$17:$B$28</c:f>
              <c:numCache>
                <c:formatCode>0.00</c:formatCode>
                <c:ptCount val="11"/>
                <c:pt idx="0">
                  <c:v>3.9526816938267464</c:v>
                </c:pt>
                <c:pt idx="1">
                  <c:v>11.43193362056471</c:v>
                </c:pt>
                <c:pt idx="2">
                  <c:v>13.471816566996599</c:v>
                </c:pt>
                <c:pt idx="3">
                  <c:v>14.193437901016219</c:v>
                </c:pt>
                <c:pt idx="4">
                  <c:v>22.153198874811128</c:v>
                </c:pt>
                <c:pt idx="5">
                  <c:v>18.726236938569954</c:v>
                </c:pt>
                <c:pt idx="6">
                  <c:v>20.513184827160856</c:v>
                </c:pt>
                <c:pt idx="7">
                  <c:v>18.95872325058944</c:v>
                </c:pt>
                <c:pt idx="8">
                  <c:v>21.791150979882513</c:v>
                </c:pt>
                <c:pt idx="9">
                  <c:v>24.814512002828881</c:v>
                </c:pt>
                <c:pt idx="10">
                  <c:v>35.734012184777228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EF-4101-B1EB-CF8C4773A83E}"/>
            </c:ext>
          </c:extLst>
        </c:ser>
        <c:ser>
          <c:idx val="1"/>
          <c:order val="1"/>
          <c:tx>
            <c:strRef>
              <c:f>'Trend Line'!$C$15:$C$16</c:f>
              <c:strCache>
                <c:ptCount val="1"/>
                <c:pt idx="0">
                  <c:v>Flagship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Line'!$A$17:$A$28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Line'!$C$17:$C$28</c:f>
              <c:numCache>
                <c:formatCode>0.00</c:formatCode>
                <c:ptCount val="11"/>
                <c:pt idx="2">
                  <c:v>29.268022676370947</c:v>
                </c:pt>
                <c:pt idx="3">
                  <c:v>32.766717905517744</c:v>
                </c:pt>
                <c:pt idx="4">
                  <c:v>38.335210820640029</c:v>
                </c:pt>
                <c:pt idx="5">
                  <c:v>44.482958447028501</c:v>
                </c:pt>
                <c:pt idx="6">
                  <c:v>43.212380791598456</c:v>
                </c:pt>
                <c:pt idx="7">
                  <c:v>49.304247701057449</c:v>
                </c:pt>
                <c:pt idx="8">
                  <c:v>52.011510847613827</c:v>
                </c:pt>
                <c:pt idx="9">
                  <c:v>56.052173138626635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EF-4101-B1EB-CF8C4773A83E}"/>
            </c:ext>
          </c:extLst>
        </c:ser>
        <c:ser>
          <c:idx val="2"/>
          <c:order val="2"/>
          <c:tx>
            <c:strRef>
              <c:f>'Trend Line'!$D$15:$D$16</c:f>
              <c:strCache>
                <c:ptCount val="1"/>
                <c:pt idx="0">
                  <c:v>Mid-range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Line'!$A$17:$A$28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Line'!$D$17:$D$28</c:f>
              <c:numCache>
                <c:formatCode>0.00</c:formatCode>
                <c:ptCount val="11"/>
                <c:pt idx="4">
                  <c:v>37.528729312813077</c:v>
                </c:pt>
                <c:pt idx="5">
                  <c:v>32.15130180568795</c:v>
                </c:pt>
                <c:pt idx="6">
                  <c:v>33.670102698138457</c:v>
                </c:pt>
                <c:pt idx="7">
                  <c:v>34.938036067522482</c:v>
                </c:pt>
                <c:pt idx="8">
                  <c:v>37.710270606759899</c:v>
                </c:pt>
                <c:pt idx="9">
                  <c:v>41.844516921103065</c:v>
                </c:pt>
                <c:pt idx="10">
                  <c:v>45.568329928905385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DEF-4101-B1EB-CF8C4773A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049983"/>
        <c:axId val="2029050943"/>
      </c:lineChart>
      <c:catAx>
        <c:axId val="202904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29050943"/>
        <c:crosses val="autoZero"/>
        <c:auto val="1"/>
        <c:lblAlgn val="ctr"/>
        <c:lblOffset val="100"/>
        <c:noMultiLvlLbl val="0"/>
      </c:catAx>
      <c:valAx>
        <c:axId val="20290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2904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[smartphone hardware to price analysis latest.xlsx]Trend Line!PivotTable5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001" sz="1600" b="1" i="0" u="none" strike="noStrike" baseline="0">
                <a:effectLst/>
              </a:rPr>
              <a:t>Price Inflation: Average Launch Price by Tier</a:t>
            </a:r>
            <a:endParaRPr lang="en-US"/>
          </a:p>
        </c:rich>
      </c:tx>
      <c:layout>
        <c:manualLayout>
          <c:xMode val="edge"/>
          <c:yMode val="edge"/>
          <c:x val="0.28072061612314581"/>
          <c:y val="2.28329971937137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Line'!$B$29:$B$30</c:f>
              <c:strCache>
                <c:ptCount val="1"/>
                <c:pt idx="0">
                  <c:v>Budget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Line'!$A$31:$A$42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Line'!$B$31:$B$42</c:f>
              <c:numCache>
                <c:formatCode>[$$-409]#,##0.00</c:formatCode>
                <c:ptCount val="11"/>
                <c:pt idx="0">
                  <c:v>169</c:v>
                </c:pt>
                <c:pt idx="1">
                  <c:v>211</c:v>
                </c:pt>
                <c:pt idx="2">
                  <c:v>241</c:v>
                </c:pt>
                <c:pt idx="3">
                  <c:v>226</c:v>
                </c:pt>
                <c:pt idx="4">
                  <c:v>320</c:v>
                </c:pt>
                <c:pt idx="5">
                  <c:v>187.88888888888889</c:v>
                </c:pt>
                <c:pt idx="6">
                  <c:v>213.30303030303031</c:v>
                </c:pt>
                <c:pt idx="7">
                  <c:v>214.27500000000001</c:v>
                </c:pt>
                <c:pt idx="8">
                  <c:v>205.18604651162789</c:v>
                </c:pt>
                <c:pt idx="9">
                  <c:v>252.77027027027026</c:v>
                </c:pt>
                <c:pt idx="10">
                  <c:v>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B-46C7-BF97-E953B4D7A238}"/>
            </c:ext>
          </c:extLst>
        </c:ser>
        <c:ser>
          <c:idx val="1"/>
          <c:order val="1"/>
          <c:tx>
            <c:strRef>
              <c:f>'Trend Line'!$C$29:$C$30</c:f>
              <c:strCache>
                <c:ptCount val="1"/>
                <c:pt idx="0">
                  <c:v>Flagship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Line'!$A$31:$A$42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Line'!$C$31:$C$42</c:f>
              <c:numCache>
                <c:formatCode>[$$-409]#,##0.00</c:formatCode>
                <c:ptCount val="11"/>
                <c:pt idx="2">
                  <c:v>836.5</c:v>
                </c:pt>
                <c:pt idx="3">
                  <c:v>999</c:v>
                </c:pt>
                <c:pt idx="4">
                  <c:v>895.08695652173913</c:v>
                </c:pt>
                <c:pt idx="5">
                  <c:v>931.82608695652175</c:v>
                </c:pt>
                <c:pt idx="6">
                  <c:v>982.33333333333337</c:v>
                </c:pt>
                <c:pt idx="7">
                  <c:v>987.64406779661022</c:v>
                </c:pt>
                <c:pt idx="8">
                  <c:v>969.03797468354435</c:v>
                </c:pt>
                <c:pt idx="9">
                  <c:v>1019.3818181818182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B-46C7-BF97-E953B4D7A238}"/>
            </c:ext>
          </c:extLst>
        </c:ser>
        <c:ser>
          <c:idx val="2"/>
          <c:order val="2"/>
          <c:tx>
            <c:strRef>
              <c:f>'Trend Line'!$D$29:$D$30</c:f>
              <c:strCache>
                <c:ptCount val="1"/>
                <c:pt idx="0">
                  <c:v>Mid-range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Line'!$A$31:$A$42</c:f>
              <c:strCache>
                <c:ptCount val="11"/>
                <c:pt idx="0">
                  <c:v>2014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'Trend Line'!$D$31:$D$42</c:f>
              <c:numCache>
                <c:formatCode>[$$-409]#,##0.00</c:formatCode>
                <c:ptCount val="11"/>
                <c:pt idx="4">
                  <c:v>349</c:v>
                </c:pt>
                <c:pt idx="5">
                  <c:v>357.57142857142856</c:v>
                </c:pt>
                <c:pt idx="6">
                  <c:v>412.26086956521738</c:v>
                </c:pt>
                <c:pt idx="7">
                  <c:v>410.64</c:v>
                </c:pt>
                <c:pt idx="8">
                  <c:v>395.32258064516128</c:v>
                </c:pt>
                <c:pt idx="9">
                  <c:v>450.12037037037038</c:v>
                </c:pt>
                <c:pt idx="10">
                  <c:v>414.6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B-46C7-BF97-E953B4D7A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732127"/>
        <c:axId val="1197729247"/>
      </c:lineChart>
      <c:catAx>
        <c:axId val="11977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197729247"/>
        <c:crosses val="autoZero"/>
        <c:auto val="1"/>
        <c:lblAlgn val="ctr"/>
        <c:lblOffset val="100"/>
        <c:noMultiLvlLbl val="0"/>
      </c:catAx>
      <c:valAx>
        <c:axId val="119772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19773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248213</xdr:colOff>
      <xdr:row>26</xdr:row>
      <xdr:rowOff>87518</xdr:rowOff>
    </xdr:from>
    <xdr:to>
      <xdr:col>11</xdr:col>
      <xdr:colOff>513951</xdr:colOff>
      <xdr:row>45</xdr:row>
      <xdr:rowOff>185451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8EDA0B-8DBC-485B-8962-51976D401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225123</xdr:colOff>
      <xdr:row>26</xdr:row>
      <xdr:rowOff>87319</xdr:rowOff>
    </xdr:from>
    <xdr:to>
      <xdr:col>23</xdr:col>
      <xdr:colOff>484176</xdr:colOff>
      <xdr:row>45</xdr:row>
      <xdr:rowOff>185252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A3E1CA-BA75-4D33-9B14-CF3BF4DCE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248214</xdr:colOff>
      <xdr:row>5</xdr:row>
      <xdr:rowOff>165447</xdr:rowOff>
    </xdr:from>
    <xdr:to>
      <xdr:col>11</xdr:col>
      <xdr:colOff>513952</xdr:colOff>
      <xdr:row>25</xdr:row>
      <xdr:rowOff>72880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3FD4CFD-6C1D-4105-AF15-EA203674F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</xdr:colOff>
      <xdr:row>0</xdr:row>
      <xdr:rowOff>0</xdr:rowOff>
    </xdr:from>
    <xdr:to>
      <xdr:col>24</xdr:col>
      <xdr:colOff>180975</xdr:colOff>
      <xdr:row>5</xdr:row>
      <xdr:rowOff>149679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95A3D43-FBE8-4BD0-211D-6263C8A74433}"/>
            </a:ext>
          </a:extLst>
        </xdr:cNvPr>
        <xdr:cNvSpPr txBox="1"/>
      </xdr:nvSpPr>
      <xdr:spPr>
        <a:xfrm>
          <a:off x="1" y="0"/>
          <a:ext cx="14811374" cy="11021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001" sz="2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Smartphone Value Analysis Dashboard 930 phones | 19 brands | 2014–2025 </a:t>
          </a:r>
          <a:endParaRPr lang="en-US" sz="28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001" sz="28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Finding: Budget phones offer 2x better value than flagships</a:t>
          </a:r>
          <a:endParaRPr lang="en-001" sz="2800" b="1" i="1"/>
        </a:p>
      </xdr:txBody>
    </xdr:sp>
    <xdr:clientData/>
  </xdr:twoCellAnchor>
  <xdr:twoCellAnchor>
    <xdr:from>
      <xdr:col>0</xdr:col>
      <xdr:colOff>248213</xdr:colOff>
      <xdr:row>47</xdr:row>
      <xdr:rowOff>8846</xdr:rowOff>
    </xdr:from>
    <xdr:to>
      <xdr:col>11</xdr:col>
      <xdr:colOff>513951</xdr:colOff>
      <xdr:row>66</xdr:row>
      <xdr:rowOff>106779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F29A2CE-8083-4A43-A9A7-07E55A173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248213</xdr:colOff>
      <xdr:row>67</xdr:row>
      <xdr:rowOff>151435</xdr:rowOff>
    </xdr:from>
    <xdr:to>
      <xdr:col>11</xdr:col>
      <xdr:colOff>513951</xdr:colOff>
      <xdr:row>87</xdr:row>
      <xdr:rowOff>58868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8DF3E61-6212-4711-9E48-77AC053E4C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216997</xdr:colOff>
      <xdr:row>47</xdr:row>
      <xdr:rowOff>6841</xdr:rowOff>
    </xdr:from>
    <xdr:to>
      <xdr:col>23</xdr:col>
      <xdr:colOff>485775</xdr:colOff>
      <xdr:row>66</xdr:row>
      <xdr:rowOff>104774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02691B-6B0D-46B2-897A-93AB1EBF7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228600</xdr:colOff>
      <xdr:row>5</xdr:row>
      <xdr:rowOff>171450</xdr:rowOff>
    </xdr:from>
    <xdr:to>
      <xdr:col>23</xdr:col>
      <xdr:colOff>496200</xdr:colOff>
      <xdr:row>25</xdr:row>
      <xdr:rowOff>80250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00A0CEE-3A4C-475C-AC30-7D64C3929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0.50698</cdr:x>
      <cdr:y>0.09191</cdr:y>
    </cdr:from>
    <cdr:to>
      <cdr:x>0.71854</cdr:x>
      <cdr:y>0.23576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F9384ED7-EDA1-357A-F60C-C36C3CC02A03}"/>
            </a:ext>
          </a:extLst>
        </cdr:cNvPr>
        <cdr:cNvSpPr txBox="1"/>
      </cdr:nvSpPr>
      <cdr:spPr>
        <a:xfrm xmlns:a="http://schemas.openxmlformats.org/drawingml/2006/main">
          <a:off x="3509362" y="341671"/>
          <a:ext cx="1464366" cy="5347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400" b="1" kern="1200">
              <a:solidFill>
                <a:schemeClr val="bg1"/>
              </a:solidFill>
            </a:rPr>
            <a:t>Lower = Better Value</a:t>
          </a:r>
          <a:endParaRPr lang="en-001" sz="1400" b="1" kern="1200">
            <a:solidFill>
              <a:schemeClr val="bg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0.47737</cdr:x>
      <cdr:y>0.07626</cdr:y>
    </cdr:from>
    <cdr:to>
      <cdr:x>0.72129</cdr:x>
      <cdr:y>0.13912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9C58E1F-7763-7627-D60E-352569925C71}"/>
            </a:ext>
          </a:extLst>
        </cdr:cNvPr>
        <cdr:cNvSpPr txBox="1"/>
      </cdr:nvSpPr>
      <cdr:spPr>
        <a:xfrm xmlns:a="http://schemas.openxmlformats.org/drawingml/2006/main">
          <a:off x="3304363" y="283483"/>
          <a:ext cx="1688422" cy="2336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001" sz="1400" b="1" i="0" u="non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Higher = Better Hardware</a:t>
          </a:r>
          <a:endParaRPr lang="en-001" sz="1800" b="1" i="0" u="none" kern="1200">
            <a:solidFill>
              <a:schemeClr val="bg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0.49759</cdr:x>
      <cdr:y>0.0955</cdr:y>
    </cdr:from>
    <cdr:to>
      <cdr:x>0.68863</cdr:x>
      <cdr:y>0.14267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9C58E1F-7763-7627-D60E-352569925C71}"/>
            </a:ext>
          </a:extLst>
        </cdr:cNvPr>
        <cdr:cNvSpPr txBox="1"/>
      </cdr:nvSpPr>
      <cdr:spPr>
        <a:xfrm xmlns:a="http://schemas.openxmlformats.org/drawingml/2006/main">
          <a:off x="3445838" y="355001"/>
          <a:ext cx="1322966" cy="175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 kern="1200">
              <a:solidFill>
                <a:schemeClr val="bg1"/>
              </a:solidFill>
            </a:rPr>
            <a:t>USD</a:t>
          </a:r>
          <a:endParaRPr lang="en-001" sz="1400" b="1" kern="1200">
            <a:solidFill>
              <a:schemeClr val="bg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123264</xdr:colOff>
      <xdr:row>0</xdr:row>
      <xdr:rowOff>0</xdr:rowOff>
    </xdr:from>
    <xdr:to>
      <xdr:col>11</xdr:col>
      <xdr:colOff>515470</xdr:colOff>
      <xdr:row>24</xdr:row>
      <xdr:rowOff>55750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689E4E-DD10-6513-F6D8-F4E084431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203386</xdr:colOff>
      <xdr:row>0</xdr:row>
      <xdr:rowOff>0</xdr:rowOff>
    </xdr:from>
    <xdr:to>
      <xdr:col>15</xdr:col>
      <xdr:colOff>579904</xdr:colOff>
      <xdr:row>26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21DE9-D342-7ED9-4A86-26C8A7901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515473</xdr:colOff>
      <xdr:row>4</xdr:row>
      <xdr:rowOff>145676</xdr:rowOff>
    </xdr:from>
    <xdr:to>
      <xdr:col>12</xdr:col>
      <xdr:colOff>134474</xdr:colOff>
      <xdr:row>31</xdr:row>
      <xdr:rowOff>128358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72D20E-C481-664E-5142-EA1D1C79E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151793</xdr:colOff>
      <xdr:row>4</xdr:row>
      <xdr:rowOff>162993</xdr:rowOff>
    </xdr:from>
    <xdr:to>
      <xdr:col>27</xdr:col>
      <xdr:colOff>118174</xdr:colOff>
      <xdr:row>31</xdr:row>
      <xdr:rowOff>128358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6929A1-B03D-471F-83BE-87B06B1A1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452437</xdr:colOff>
      <xdr:row>0</xdr:row>
      <xdr:rowOff>0</xdr:rowOff>
    </xdr:from>
    <xdr:to>
      <xdr:col>24</xdr:col>
      <xdr:colOff>44822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48E89-CB97-A7F0-D658-2AB320EEE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329972</xdr:colOff>
      <xdr:row>53</xdr:row>
      <xdr:rowOff>136069</xdr:rowOff>
    </xdr:from>
    <xdr:to>
      <xdr:col>24</xdr:col>
      <xdr:colOff>142873</xdr:colOff>
      <xdr:row>83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CB8123-39A2-2AF3-9D68-9D9BE8717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380999</xdr:colOff>
      <xdr:row>26</xdr:row>
      <xdr:rowOff>26532</xdr:rowOff>
    </xdr:from>
    <xdr:to>
      <xdr:col>24</xdr:col>
      <xdr:colOff>95248</xdr:colOff>
      <xdr:row>53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4E48F2-01A8-B327-F97A-31326EC89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0.39852</cdr:x>
      <cdr:y>0.07081</cdr:y>
    </cdr:from>
    <cdr:to>
      <cdr:x>0.58917</cdr:x>
      <cdr:y>0.1118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F9384ED7-EDA1-357A-F60C-C36C3CC02A03}"/>
            </a:ext>
          </a:extLst>
        </cdr:cNvPr>
        <cdr:cNvSpPr txBox="1"/>
      </cdr:nvSpPr>
      <cdr:spPr>
        <a:xfrm xmlns:a="http://schemas.openxmlformats.org/drawingml/2006/main">
          <a:off x="4039067" y="352549"/>
          <a:ext cx="1932215" cy="2041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400" b="1" kern="1200">
              <a:solidFill>
                <a:schemeClr val="bg1"/>
              </a:solidFill>
            </a:rPr>
            <a:t>Lower = Better Value</a:t>
          </a:r>
          <a:endParaRPr lang="en-001" sz="1400" b="1" kern="1200">
            <a:solidFill>
              <a:schemeClr val="bg1"/>
            </a:solidFill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0.37538</cdr:x>
      <cdr:y>0.0642</cdr:y>
    </cdr:from>
    <cdr:to>
      <cdr:x>0.6193</cdr:x>
      <cdr:y>0.12706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9C58E1F-7763-7627-D60E-352569925C71}"/>
            </a:ext>
          </a:extLst>
        </cdr:cNvPr>
        <cdr:cNvSpPr txBox="1"/>
      </cdr:nvSpPr>
      <cdr:spPr>
        <a:xfrm xmlns:a="http://schemas.openxmlformats.org/drawingml/2006/main">
          <a:off x="3832584" y="314763"/>
          <a:ext cx="2490268" cy="3081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001" sz="1400" b="1" i="0" u="non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Higher = Better Hardware</a:t>
          </a:r>
          <a:endParaRPr lang="en-001" sz="1800" b="1" i="0" u="none" kern="1200">
            <a:solidFill>
              <a:schemeClr val="bg1"/>
            </a:solidFill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0.40859</cdr:x>
      <cdr:y>0.07741</cdr:y>
    </cdr:from>
    <cdr:to>
      <cdr:x>0.59963</cdr:x>
      <cdr:y>0.12458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9C58E1F-7763-7627-D60E-352569925C71}"/>
            </a:ext>
          </a:extLst>
        </cdr:cNvPr>
        <cdr:cNvSpPr txBox="1"/>
      </cdr:nvSpPr>
      <cdr:spPr>
        <a:xfrm xmlns:a="http://schemas.openxmlformats.org/drawingml/2006/main">
          <a:off x="4108982" y="334950"/>
          <a:ext cx="1921205" cy="2041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 kern="1200">
              <a:solidFill>
                <a:schemeClr val="bg1"/>
              </a:solidFill>
            </a:rPr>
            <a:t>USD</a:t>
          </a:r>
          <a:endParaRPr lang="en-001" sz="1400" b="1" kern="1200">
            <a:solidFill>
              <a:schemeClr val="bg1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D Tr3nity" refreshedDate="46196.698773032411" createdVersion="8" refreshedVersion="8" minRefreshableVersion="3" recordCount="930" xr:uid="{2F441F71-6DA6-4942-AEC2-DA0BC472022B}">
  <cacheSource type="worksheet">
    <worksheetSource name="Table2_1"/>
  </cacheSource>
  <cacheFields count="20">
    <cacheField name="Company Name" numFmtId="0">
      <sharedItems count="18">
        <s v="Apple"/>
        <s v="Google"/>
        <s v="Honor"/>
        <s v="Huawei"/>
        <s v="Infinix"/>
        <s v="iQOO"/>
        <s v="Lenovo"/>
        <s v="Motorola"/>
        <s v="Nokia"/>
        <s v="OnePlus"/>
        <s v="Oppo"/>
        <s v="POCO"/>
        <s v="Realme"/>
        <s v="Samsung"/>
        <s v="Sony"/>
        <s v="Tecno"/>
        <s v="Vivo"/>
        <s v="Xiaomi"/>
      </sharedItems>
    </cacheField>
    <cacheField name="Model Name" numFmtId="0">
      <sharedItems count="908">
        <s v="iPhone 16 128GB"/>
        <s v="iPhone 16 256GB"/>
        <s v="iPhone 16 512GB"/>
        <s v="iPhone 16 Plus 128GB"/>
        <s v="iPhone 16 Plus 256GB"/>
        <s v="iPhone 16 Plus 512GB"/>
        <s v="iPhone 16 Pro 128GB"/>
        <s v="iPhone 16 Pro 256GB"/>
        <s v="iPhone 16 Pro 512GB"/>
        <s v="iPhone 16 Pro Max 128GB"/>
        <s v="iPhone 16 Pro Max 256GB"/>
        <s v="iPhone 16 Pro Max 512GB"/>
        <s v="iPhone 15 128GB"/>
        <s v="iPhone 15 256GB"/>
        <s v="iPhone 15 512GB"/>
        <s v="iPhone 15 Plus 128GB"/>
        <s v="iPhone 15 Plus 256GB"/>
        <s v="iPhone 15 Plus 512GB"/>
        <s v="iPhone 15 Pro 128GB"/>
        <s v="iPhone 15 Pro 256GB"/>
        <s v="iPhone 15 Pro 512GB"/>
        <s v="iPhone 15 Pro Max 128GB"/>
        <s v="iPhone 15 Pro Max 256GB"/>
        <s v="iPhone 15 Pro Max 512GB"/>
        <s v="iPhone 14 128GB"/>
        <s v="iPhone 14 256GB"/>
        <s v="iPhone 14 512GB"/>
        <s v="iPhone 14 Plus 128GB"/>
        <s v="iPhone 14 Plus 256GB"/>
        <s v="iPhone 14 Plus 512GB"/>
        <s v="iPhone 14 Pro 128GB"/>
        <s v="iPhone 14 Pro 256GB"/>
        <s v="iPhone 14 Pro 512GB"/>
        <s v="iPhone 14 Pro Max 128GB"/>
        <s v="iPhone 14 Pro Max 256GB"/>
        <s v="iPhone 14 Pro Max 512GB"/>
        <s v="iPhone 13 mini 128GB"/>
        <s v="iPhone 13 mini 256GB"/>
        <s v="iPhone 13 mini 512GB"/>
        <s v="iPhone 13 128GB"/>
        <s v="iPhone 13 256GB"/>
        <s v="iPhone 13 512GB"/>
        <s v="iPhone 13 Pro 128GB"/>
        <s v="iPhone 13 Pro 256GB"/>
        <s v="iPhone 13 Pro 512GB"/>
        <s v="iPhone 13 Pro Max 128GB"/>
        <s v="iPhone 13 Pro Max 256GB"/>
        <s v="iPhone 13 Pro Max 512GB"/>
        <s v="iPhone 12 mini 64GB"/>
        <s v="iPhone 12 mini 128GB"/>
        <s v="iPhone 12 mini 256GB"/>
        <s v="iPhone 12 64GB"/>
        <s v="iPhone 12 128GB"/>
        <s v="iPhone 12 256GB"/>
        <s v="iPhone 12 Pro 128GB"/>
        <s v="iPhone 12 Pro 256GB"/>
        <s v="iPhone 12 Pro 512GB"/>
        <s v="iPhone 12 Pro Max 128GB"/>
        <s v="iPhone 12 Pro Max 256GB"/>
        <s v="iPhone 12 Pro Max 512GB"/>
        <s v="iPhone 11 64GB"/>
        <s v="iPhone 11 128GB"/>
        <s v="iPhone 11 256GB"/>
        <s v="iPhone 11 Pro 64GB"/>
        <s v="iPhone 11 Pro 256GB"/>
        <s v="iPhone 11 Pro 512GB"/>
        <s v="iPhone 11 Pro Max 64GB"/>
        <s v="iPhone 11 Pro Max 256GB"/>
        <s v="iPhone 11 Pro Max 512GB"/>
        <s v="iPhone X 64GB"/>
        <s v="iPhone X 256GB"/>
        <s v="iPhone XS 64GB"/>
        <s v="iPhone XS 256GB"/>
        <s v="iPhone XS 512GB"/>
        <s v="iPhone XS Max 64GB"/>
        <s v="iPhone XS Max 256GB"/>
        <s v="iPhone XS Max 512GB"/>
        <s v="iPhone XR 64GB"/>
        <s v="iPhone XR 128GB"/>
        <s v="iPhone XR 256GB"/>
        <s v="iPad Air 10.9-inch 64GB"/>
        <s v="iPad Air 10.9-inch 256GB"/>
        <s v="iPad 10.2-inch 32GB"/>
        <s v="iPad 10.2-inch 128GB"/>
        <s v="iPad Mini 7.9-inch 64GB"/>
        <s v="iPad Mini 7.9-inch 256GB"/>
        <s v="iPad Pro 11-inch 128GB"/>
        <s v="iPad Pro 11-inch 256GB"/>
        <s v="iPad Pro 11-inch 512GB"/>
        <s v="iPad Pro 12.9-inch 128GB"/>
        <s v="iPad Pro 12.9-inch 256GB"/>
        <s v="iPad Pro 12.9-inch 512GB"/>
        <s v="iPad Pro 13-inch 128GB"/>
        <s v="iPad Pro 13-inch 256GB"/>
        <s v="iPad Pro 13-inch 512GB"/>
        <s v="iPad Pro 13-inch 1TB"/>
        <s v="iPad Pro 13-inch 2TB"/>
        <s v="Pixel 3a 64GB"/>
        <s v="Pixel 3a XL 64GB"/>
        <s v="Pixel 4 64GB"/>
        <s v="Pixel 4 XL 64GB"/>
        <s v="Pixel 6 128GB"/>
        <s v="Pixel 6 Pro 256GB"/>
        <s v="Pixel 6a 128GB"/>
        <s v="Pixel 7 128GB"/>
        <s v="Pixel 7 Pro 256GB"/>
        <s v="Pixel 7a 128GB"/>
        <s v="Pixel 8 128GB"/>
        <s v="Pixel 8 Pro 256GB"/>
        <s v="Pixel 8a 128GB"/>
        <s v="Pixel 9 128GB"/>
        <s v="Pixel 9 Pro 256GB"/>
        <s v="Pixel 9 Pro XL 512GB"/>
        <s v="Pixel 9 Pro Fold 512GB"/>
        <s v="Pixel 4a 128GB"/>
        <s v="Pixel 4a 5G 128GB"/>
        <s v="Pixel 5 128GB"/>
        <s v="Pixel 5a 128GB"/>
        <s v="X20 SE"/>
        <s v="Play 5T"/>
        <s v="Play 6"/>
        <s v="Play 6T"/>
        <s v="X40i"/>
        <s v="Play 7"/>
        <s v="Play 7T"/>
        <s v="X50"/>
        <s v="X50i"/>
        <s v="Play 8"/>
        <s v="Play 8T"/>
        <s v="X60"/>
        <s v="X60i"/>
        <s v="Play 9"/>
        <s v="Play 9T"/>
        <s v="Pad 6"/>
        <s v="Pad X6"/>
        <s v="Pad 7"/>
        <s v="Pad X8"/>
        <s v="Pad X8 Lite"/>
        <s v="Pad 9"/>
        <s v="Pad X8 Pro"/>
        <s v="Pad X8a"/>
        <s v="Pad X8a Kids Edition"/>
        <s v="30 Pro"/>
        <s v="30 Pro+"/>
        <s v="Play 4 Pro"/>
        <s v="Magic3"/>
        <s v="Magic3 Pro"/>
        <s v="Magic3 Pro+"/>
        <s v="Magic4"/>
        <s v="Magic4 Pro"/>
        <s v="Magic4 Ultimate"/>
        <s v="Magic V"/>
        <s v="70 Pro+"/>
        <s v="Magic5"/>
        <s v="Magic5 Pro"/>
        <s v="Magic5 Ultimate"/>
        <s v="Magic Vs"/>
        <s v="80 Pro"/>
        <s v="Magic6"/>
        <s v="Magic6 Pro"/>
        <s v="Magic6 Ultimate"/>
        <s v="Magic V2"/>
        <s v="90 Pro"/>
        <s v="Magic7"/>
        <s v="Magic7 Pro"/>
        <s v="Magic7 Ultimate"/>
        <s v="Magic V3"/>
        <s v="Pad V8 Pro"/>
        <s v="MagicPad 13"/>
        <s v="MagicPad 2"/>
        <s v="Pad V9"/>
        <s v="Pad GT Pro"/>
        <s v="MagicPad 3"/>
        <s v="Pad V10"/>
        <s v="9X Lite"/>
        <s v="30"/>
        <s v="30S"/>
        <s v="X10"/>
        <s v="X10 Max"/>
        <s v="Play 4"/>
        <s v="10X Lite"/>
        <s v="V40"/>
        <s v="50"/>
        <s v="50 Pro"/>
        <s v="50 SE"/>
        <s v="X20"/>
        <s v="Play 5"/>
        <s v="60"/>
        <s v="60 Pro"/>
        <s v="60 SE"/>
        <s v="X30"/>
        <s v="X30i"/>
        <s v="X30 Max"/>
        <s v="70"/>
        <s v="70 Pro"/>
        <s v="X40"/>
        <s v="80"/>
        <s v="80 SE"/>
        <s v="90"/>
        <s v="90 SE"/>
        <s v="Tablet V7"/>
        <s v="Tablet V7 Pro"/>
        <s v="Pad 8"/>
        <s v="Pad V8"/>
        <s v="Pad 9 Pro"/>
        <s v="Pad X9"/>
        <s v="Pad X9 Pro"/>
        <s v="Pad X10"/>
        <s v="Pad X10 Pro"/>
        <s v="P50"/>
        <s v="P50 Pro"/>
        <s v="P50 Pocket"/>
        <s v="Mate X2"/>
        <s v="Mate Xs 2"/>
        <s v="Mate 50"/>
        <s v="Mate 50 Pro"/>
        <s v="P60"/>
        <s v="P60 Pro"/>
        <s v="P60 Art"/>
        <s v="Mate X3"/>
        <s v="Mate 60"/>
        <s v="Mate 60 Pro"/>
        <s v="Mate 60 Pro+"/>
        <s v="Pura 70"/>
        <s v="Pura 70 Pro"/>
        <s v="Pura 70 Pro+"/>
        <s v="Pura 70 Ultra"/>
        <s v="Mate 70"/>
        <s v="Mate 70 Pro"/>
        <s v="Mate 70 Pro+"/>
        <s v="Mate X6"/>
        <s v="Nova 12"/>
        <s v="Nova 12 Pro"/>
        <s v="Mate XT 256GB"/>
        <s v="Mate XT 512GB"/>
        <s v="Nova 13 256GB"/>
        <s v="Nova 13 512GB"/>
        <s v="Nova 13 Pro 256GB"/>
        <s v="Nova 13 Pro 512GB"/>
        <s v="MatePad Pro 12.2 512GB"/>
        <s v="MatePad Pro 13.2 512GB"/>
        <s v="Mate 40E"/>
        <s v="Nova 9"/>
        <s v="Nova 9 Pro"/>
        <s v="P50E"/>
        <s v="Nova 10"/>
        <s v="Nova 10 Pro"/>
        <s v="Nova 10 SE"/>
        <s v="Nova 11"/>
        <s v="Nova 11 Pro"/>
        <s v="Nova 11 Ultra"/>
        <s v="Xpad"/>
        <s v="Xpad Lite"/>
        <s v="Hot 50"/>
        <s v="Hot 50i"/>
        <s v="Hot 50 Pro"/>
        <s v="Note 40S"/>
        <s v="Hot 40"/>
        <s v="Hot 40i"/>
        <s v="Hot 40 Pro"/>
        <s v="Note 40"/>
        <s v="Hot 30 128GB"/>
        <s v="Hot 30i 128GB"/>
        <s v="Hot 30i NFC 128GB"/>
        <s v="Hot 30 Play 128GB"/>
        <s v="Hot 12 128GB"/>
        <s v="Hot 12 Play 128GB"/>
        <s v="Hot 12 Pro 128GB"/>
        <s v="Hot 12i 64GB"/>
        <s v="Hot 20 128GB"/>
        <s v="Hot 20 Play 128GB"/>
        <s v="Hot 20s 128GB"/>
        <s v="Hot 20i 64GB"/>
        <s v="Hot 10T 128GB"/>
        <s v="Hot 10S 128GB"/>
        <s v="Hot 10S NFC 128GB"/>
        <s v="Hot 10 Lite 64GB"/>
        <s v="Hot 10 Play 64GB"/>
        <s v="Hot 11 128GB"/>
        <s v="Hot 11 Play 128GB"/>
        <s v="Hot 11s 128GB"/>
        <s v="Smart HD 32GB"/>
        <s v="Note 8i 128GB"/>
        <s v="Note 8 128GB"/>
        <s v="Zero 8i 128GB"/>
        <s v="Hot 10 128GB"/>
        <s v="Zero 8 128GB"/>
        <s v="Smart 5 64GB"/>
        <s v="Xpad Pro"/>
        <s v="Hot 50 Pro+"/>
        <s v="Note 40 Pro 5G"/>
        <s v="Note 40 Racing Edition"/>
        <s v="Xpad 5G"/>
        <s v="Hot 50 5G"/>
        <s v="GT 20 Pro"/>
        <s v="Note 40X 5G"/>
        <s v="Note 40 5G"/>
        <s v="Zero 40"/>
        <s v="Zero 40 5G"/>
        <s v="Zero Flip"/>
        <s v="Note 40 Pro"/>
        <s v="Hot 30 5G 128GB"/>
        <s v="Zero 30 256GB"/>
        <s v="Zero 30 5G 256GB"/>
        <s v="GT 10 Pro 256GB"/>
        <s v="Hot 20 5G 128GB"/>
        <s v="Pad 128GB"/>
        <s v="Pad 2 256GB"/>
        <s v="Pad 2 Pro 256GB"/>
        <s v="K14 Plus 64GB"/>
        <s v="K14 Plus 128GB"/>
        <s v="K13 Pro 128GB"/>
        <s v="K13 32GB"/>
        <s v="K13 Note 64GB"/>
        <s v="K10 Plus 64GB"/>
        <s v="A6 Note 32GB"/>
        <s v="K10 Note 64GB"/>
        <s v="K10 Note 128GB"/>
        <s v="Z5 Pro 64GB"/>
        <s v="Legion Y70 128GB"/>
        <s v="Legion Y70 256GB"/>
        <s v="Legion Y70 512GB"/>
        <s v="Z6 Pro 128GB"/>
        <s v="Z6 Pro 256GB"/>
        <s v="Moto G Stylus 64GB"/>
        <s v="Moto G Stylus 128GB"/>
        <s v="Moto E40 Plus 64GB"/>
        <s v="Moto E40 Plus 128GB"/>
        <s v="Moto G Power 64GB"/>
        <s v="Moto G Power 128GB"/>
        <s v="Moto G Play 32GB"/>
        <s v="Moto G Play 64GB"/>
        <s v="Moto G75 5G 128GB"/>
        <s v="Moto G75 5G 256GB"/>
        <s v="Moto G35 128GB"/>
        <s v="Moto G35 256GB"/>
        <s v="Moto G45 128GB"/>
        <s v="Moto G45 256GB"/>
        <s v="Moto G85 128GB"/>
        <s v="Moto G85 256GB"/>
        <s v="Moto E14 64GB"/>
        <s v="Moto E14 128GB"/>
        <s v="Moto G Stylus 5G 256GB"/>
        <s v="Moto G Stylus 5G 512GB"/>
        <s v="Moto G62 5G 128GB"/>
        <s v="Moto G62 5G 256GB"/>
        <s v="Moto E32s 64GB"/>
        <s v="Moto E22i 32GB"/>
        <s v="Moto E22 64GB"/>
        <s v="Moto G22 64GB"/>
        <s v="Razr 128GB"/>
        <s v="Razr 256GB"/>
        <s v="Razr 50 Ultra 512GB"/>
        <s v="Moto X50 Ultra 512GB"/>
        <s v="Edge 50 Ultra 512GB"/>
        <s v="Edge 30 Fusion 128GB"/>
        <s v="Edge 30 Fusion 256GB"/>
        <s v="Edge 50 Fusion 128GB"/>
        <s v="Edge 50 Fusion 256GB"/>
        <s v="Edge 50 Pro 128GB"/>
        <s v="Edge 50 Pro 256GB"/>
        <s v="G84 5G 128GB"/>
        <s v="G84 5G 256GB"/>
        <s v="One Vision 3 128GB"/>
        <s v="One Vision 3 256GB"/>
        <s v="Edge 50 Lite 128GB"/>
        <s v="Edge 50 Lite 256GB"/>
        <s v="Moto S50 128GB"/>
        <s v="Moto S50 256GB"/>
        <s v="Edge 50 Neo 256GB"/>
        <s v="Edge 50 Neo 512GB"/>
        <s v="Moto G55 128GB"/>
        <s v="Moto G55 256GB"/>
        <s v="Edge 50 256GB"/>
        <s v="Edge 50 512GB"/>
        <s v="Razr 50 256GB"/>
        <s v="S50 Neo 256GB"/>
        <s v="S50 Neo 512GB"/>
        <s v="Edge 256GB"/>
        <s v="Edge 512GB"/>
        <s v="Edge 30 Neo 128GB"/>
        <s v="Edge 30 Neo 256GB"/>
        <s v="Moto G82 5G 128GB"/>
        <s v="Moto G82 5G 256GB"/>
        <s v="Moto G42 128GB"/>
        <s v="Moto G32 128GB"/>
        <s v="G42 5G 128GB"/>
        <s v="G20 64GB"/>
        <s v="G20 128GB"/>
        <s v="C32 64GB"/>
        <s v="C32 128GB"/>
        <s v="G21 64GB"/>
        <s v="G21 128GB"/>
        <s v="C22 64GB"/>
        <s v="C22 128GB"/>
        <s v="G400 128GB"/>
        <s v="T21"/>
        <s v="OnePlus Nord N30 5G 128GB"/>
        <s v="OnePlus Nord N200 64GB"/>
        <s v="OnePlus Nord N100 64GB"/>
        <s v="OnePlus Nord N100 5G 64GB"/>
        <s v="OnePlus 12 256GB"/>
        <s v="OnePlus 12R 256GB"/>
        <s v="OnePlus 11 256GB"/>
        <s v="OnePlus 11R 256GB"/>
        <s v="OnePlus Nord 3 256GB"/>
        <s v="OnePlus Open 256GB"/>
        <s v="OnePlus 10 Pro 256GB"/>
        <s v="OnePlus 10T 256GB"/>
        <s v="OnePlus 9 Pro 256GB"/>
        <s v="OnePlus 9 128GB"/>
        <s v="OnePlus 11 Pro 256GB"/>
        <s v="OnePlus 8T Cyberpunk 2077 Edition 256GB"/>
        <s v="OnePlus 9T 128GB"/>
        <s v="OnePlus 8T 256GB"/>
        <s v="OnePlus 10T 5G 256GB"/>
        <s v="OnePlus 9R 5G 128GB"/>
        <s v="OnePlus 8 Pro 256GB"/>
        <s v="OnePlus 8 128GB"/>
        <s v="OnePlus 8R 128GB"/>
        <s v="OnePlus 7R 128GB"/>
        <s v="OnePlus 6T McLaren Edition 256GB"/>
        <s v="OnePlus 5T Star Wars Edition 128GB"/>
        <s v="OnePlus 13R 128GB"/>
        <s v="OnePlus 11T 128GB"/>
        <s v="OnePlus 7 Pro 5G 256GB"/>
        <s v="OnePlus 6 Special Edition 128GB"/>
        <s v="OnePlus 5 Special Edition 128GB"/>
        <s v="OnePlus 8 Pro McLaren Edition 256GB"/>
        <s v="OnePlus 8T Cyberpunk Edition 256GB"/>
        <s v="OnePlus 7T Pro 5G McLaren Edition 256GB"/>
        <s v="OnePlus 15R 128GB"/>
        <s v="OnePlus 14+ 128GB"/>
        <s v="OnePlus 13 Pro 256GB"/>
        <s v="OnePlus 12T 5G 256GB"/>
        <s v="OnePlus Pad"/>
        <s v="OnePlus Pad 2"/>
        <s v="OnePlus Pad Pro"/>
        <s v="OnePlus Nord CE 3 128GB"/>
        <s v="OnePlus Nord CE 3 Lite 128GB"/>
        <s v="OnePlus Nord 2T 128GB"/>
        <s v="OnePlus Nord 2 128GB"/>
        <s v="OnePlus Nord CE 2 Lite 128GB"/>
        <s v="OnePlus Nord CE 2 128GB"/>
        <s v="OnePlus Nord 1 128GB"/>
        <s v="OnePlus Nord CE 5G 128GB"/>
        <s v="OnePlus Nord 2 5G 128GB"/>
        <s v="OnePlus Nord N10 5G 128GB"/>
        <s v="OnePlus 10R 128GB"/>
        <s v="OnePlus Nord X 128GB"/>
        <s v="Reno13 F 4G 256GB"/>
        <s v="Reno13 F 256GB"/>
        <s v="A80 256GB"/>
        <s v="A3 4G 128GB"/>
        <s v="A3x 4G 128GB"/>
        <s v="A3x 4G 256GB"/>
        <s v="A3 128GB"/>
        <s v="A3x 128GB"/>
        <s v="A3x 256GB"/>
        <s v="A59 5G 128GB"/>
        <s v="A59 5G 256GB"/>
        <s v="A58 5G 256GB"/>
        <s v="A56 5G 128GB"/>
        <s v="A55 5G 128GB"/>
        <s v="A54 5G 128GB"/>
        <s v="A53 5G 128GB"/>
        <s v="A52 5G 128GB"/>
        <s v="A51 5G 128GB"/>
        <s v="A50 5G 128GB"/>
        <s v="A49 5G 128GB"/>
        <s v="A40 128GB"/>
        <s v="A40 256GB"/>
        <s v="K7x 128GB"/>
        <s v="Find N3 512GB"/>
        <s v="Find N3 Flip 256GB"/>
        <s v="Find X8 Pro 256GB"/>
        <s v="Find X8 256GB"/>
        <s v="Pad 3 Pro 256GB"/>
        <s v="Pad 3 Pro 512GB"/>
        <s v="Pad Neo 128GB"/>
        <s v="Pad Neo 256GB"/>
        <s v="Find X7 Ultra 256GB"/>
        <s v="Find X7 Ultra 512GB"/>
        <s v="Find X7 256GB"/>
        <s v="Find X7 512GB"/>
        <s v="Find X6 Pro 256GB"/>
        <s v="Find X6 Pro 512GB"/>
        <s v="Find X6 256GB"/>
        <s v="Find X6 512GB"/>
        <s v="Find X5 Pro 256GB"/>
        <s v="Find X5 Pro 512GB"/>
        <s v="Find X5 256GB"/>
        <s v="Find N2 Flip 256GB"/>
        <s v="Find N2 Flip 512GB"/>
        <s v="Find N2 256GB"/>
        <s v="Reno10 Pro+ 5G 256GB"/>
        <s v="Reno9 Pro+ 5G 256GB"/>
        <s v="Reno6 Pro+ 5G 256GB"/>
        <s v="Reno5 Pro+ 5G 256GB"/>
        <s v="Reno13 Pro 512GB"/>
        <s v="Reno13 256GB"/>
        <s v="Reno12 F 4G 256GB"/>
        <s v="Reno12 F 256GB"/>
        <s v="Reno12 Pro 512GB"/>
        <s v="Reno12 256GB"/>
        <s v="Reno11 F 256GB"/>
        <s v="Reno11 Pro 512GB"/>
        <s v="A5 Pro 256GB"/>
        <s v="A5 Pro 512GB"/>
        <s v="A60 128GB"/>
        <s v="A60 256GB"/>
        <s v="K12 Plus 256GB"/>
        <s v="K12 Plus 512GB"/>
        <s v="F27 128GB"/>
        <s v="F27 256GB"/>
        <s v="F27 Pro+ 256GB"/>
        <s v="F27 Pro+ 512GB"/>
        <s v="F25 Pro 128GB"/>
        <s v="F25 Pro 256GB"/>
        <s v="Pad 3 128GB"/>
        <s v="Pad 3 256GB"/>
        <s v="Reno10 5G 128GB"/>
        <s v="Reno10 5G 256GB"/>
        <s v="Reno10 Pro 5G 256GB"/>
        <s v="Reno9 5G 128GB"/>
        <s v="Reno9 5G 256GB"/>
        <s v="Reno9 Pro 5G 256GB"/>
        <s v="Reno8 5G 128GB"/>
        <s v="Reno8 5G 256GB"/>
        <s v="Reno8 Pro 5G 256GB"/>
        <s v="Reno8 Pro+ 5G 256GB"/>
        <s v="Reno7 5G 128GB"/>
        <s v="Reno7 5G 256GB"/>
        <s v="Reno7 Pro 5G 256GB"/>
        <s v="Reno6 5G 128GB"/>
        <s v="Reno6 5G 256GB"/>
        <s v="Reno6 Pro 5G 128GB"/>
        <s v="Reno6 Pro 5G 256GB"/>
        <s v="Reno5 5G 128GB"/>
        <s v="Reno5 5G 256GB"/>
        <s v="Reno5 Pro 5G 128GB"/>
        <s v="Reno5 Pro 5G 256GB"/>
        <s v="Reno4 5G 128GB"/>
        <s v="Reno4 5G 256GB"/>
        <s v="Reno4 Pro 5G 256GB"/>
        <s v="Reno3 5G 128GB"/>
        <s v="Reno3 5G 256GB"/>
        <s v="Reno3 Pro 5G 256GB"/>
        <s v="A57 5G 128GB"/>
        <s v="K11x 128GB"/>
        <s v="K11x 256GB"/>
        <s v="K10x 128GB"/>
        <s v="K10x 256GB"/>
        <s v="K10 5G 128GB"/>
        <s v="K9x 128GB"/>
        <s v="K9x 256GB"/>
        <s v="K9 Pro 5G 128GB"/>
        <s v="K9 Pro 5G 256GB"/>
        <s v="K9 5G 128GB"/>
        <s v="K9 5G 256GB"/>
        <s v="K7 5G 128GB"/>
        <s v="K7 5G 256GB"/>
        <s v="K11 128GB"/>
        <s v="K11 256GB"/>
        <s v="K10 5G 256GB"/>
        <s v="M3 64GB"/>
        <s v="M3 Pro 5G 64GB"/>
        <s v="M4 Pro 128GB"/>
        <s v="M5 128GB"/>
        <s v="M5s 128GB"/>
        <s v="M6 64GB"/>
        <s v="M6 Pro 128GB"/>
        <s v="C65 64GB"/>
        <s v="F2 Pro 128GB"/>
        <s v="F3 128GB"/>
        <s v="F4 128GB"/>
        <s v="F4 GT 128GB"/>
        <s v="F5 Pro 256GB"/>
        <s v="F6 128GB"/>
        <s v="F6 Pro 256GB"/>
        <s v="M2 Pro 64GB"/>
        <s v="X3 NFC 128GB"/>
        <s v="X3 Pro 128GB"/>
        <s v="F3 GT 128GB"/>
        <s v="X3 GT 128GB"/>
        <s v="M4 Pro 5G 128GB"/>
        <s v="X4 Pro 5G 128GB"/>
        <s v="F5 128GB"/>
        <s v="X5 128GB"/>
        <s v="X5 Pro 128GB"/>
        <s v="X6 128GB"/>
        <s v="X6 Pro 256GB"/>
        <s v="X7 128GB"/>
        <s v="X7 Pro 256GB"/>
        <s v="M7 5G 128GB"/>
        <s v="Pad 5G 128GB"/>
        <s v="Pad 5G 256GB"/>
        <s v="13 5G 128GB"/>
        <s v="13 5G 256GB"/>
        <s v="P1 5G 128GB"/>
        <s v="P1 5G 256GB"/>
        <s v="Narzo N61 128GB"/>
        <s v="Narzo N63 128GB"/>
        <s v="Narzo N65 5G 128GB"/>
        <s v="C75 128GB"/>
        <s v="C75 256GB"/>
        <s v="C61 128GB"/>
        <s v="C67 128GB"/>
        <s v="C67 256GB"/>
        <s v="C63 128GB"/>
        <s v="C55 128GB"/>
        <s v="C55 256GB"/>
        <s v="Note 60x 128GB"/>
        <s v="Note 50 128GB"/>
        <s v="Pad 64GB"/>
        <s v="Pad 2 128GB"/>
        <s v="Pad 2 Lite 64GB"/>
        <s v="Pad 2 Lite 128GB"/>
        <s v="Pad Mini 32GB"/>
        <s v="Pad Mini 64GB"/>
        <s v="Pad Slim 64GB"/>
        <s v="Pad Slim 128GB"/>
        <s v="TechLife Pad Neo 64GB"/>
        <s v="TechLife Pad Neo 128GB"/>
        <s v="GT 7 Pro 128GB"/>
        <s v="GT 7 Pro 256GB"/>
        <s v="GT 6 128GB"/>
        <s v="GT 6 256GB"/>
        <s v="GT 6 512GB"/>
        <s v="GT 7 128GB"/>
        <s v="GT 7 256GB"/>
        <s v="P2 Pro 5G 128GB"/>
        <s v="P2 Pro 5G 256GB"/>
        <s v="GT 6T 128GB"/>
        <s v="GT 6T 256GB"/>
        <s v="14 Pro+ 5G 256GB"/>
        <s v="14 Pro+ 5G 512GB"/>
        <s v="14 Pro 5G 128GB"/>
        <s v="14 Pro 5G 256GB"/>
        <s v="14x 5G 128GB"/>
        <s v="14x 5G 256GB"/>
        <s v="13+ 5G 128GB"/>
        <s v="13+ 5G 256GB"/>
        <s v="13 Pro 5G 128GB"/>
        <s v="13 Pro 5G 256GB"/>
        <s v="13 Pro+ 5G 256GB"/>
        <s v="13 Pro+ 5G 512GB"/>
        <s v="P1 Speed 5G 128GB"/>
        <s v="P1 Speed 5G 256GB"/>
        <s v="P2 Pro 5G 512GB"/>
        <s v="P1 Pro 5G 128GB"/>
        <s v="P1 Pro 5G 256GB"/>
        <s v="Narzo 70 Turbo 5G 128GB"/>
        <s v="Narzo 70 Turbo 5G 256GB"/>
        <s v="Narzo 70 5G 128GB"/>
        <s v="C65 128GB"/>
        <s v="C65 256GB"/>
        <s v="Note 60 128GB"/>
        <s v="Note 60 256GB"/>
        <s v="Neo 7 128GB"/>
        <s v="Neo 7 256GB"/>
        <s v="Pad X 64GB"/>
        <s v="Pad X 128GB"/>
        <s v="Galaxy A24 128GB"/>
        <s v="Galaxy A24 256GB"/>
        <s v="Galaxy M04 64GB"/>
        <s v="Galaxy M04 128GB"/>
        <s v="Galaxy J8 64GB"/>
        <s v="Galaxy J7 Pro 64GB"/>
        <s v="Galaxy J6+ 64GB"/>
        <s v="Galaxy J4 16GB"/>
        <s v="Galaxy C9 Pro 64GB"/>
        <s v="Galaxy C7 Pro 64GB"/>
        <s v="Galaxy C5 32GB"/>
        <s v="Galaxy Tab A9 64GB"/>
        <s v="Galaxy Tab A8 64GB"/>
        <s v="Galaxy Tab A7 Lite 32GB"/>
        <s v="Galaxy Tab E 10.1 16GB"/>
        <s v="Galaxy Tab E 8.0 16GB"/>
        <s v="Galaxy S24 Ultra 128GB"/>
        <s v="Galaxy S24 Ultra 256GB"/>
        <s v="Galaxy S24+ 128GB"/>
        <s v="Galaxy S24+ 256GB"/>
        <s v="Galaxy S24 128GB"/>
        <s v="Galaxy S24 256GB"/>
        <s v="Galaxy S23 Ultra 128GB"/>
        <s v="Galaxy S23 Ultra 256GB"/>
        <s v="Galaxy S23+ 128GB"/>
        <s v="Galaxy S23+ 256GB"/>
        <s v="Galaxy S23 128GB"/>
        <s v="Galaxy S23 256GB"/>
        <s v="Galaxy S22 Ultra 128GB"/>
        <s v="Galaxy S22 Ultra 256GB"/>
        <s v="Galaxy S22+ 128GB"/>
        <s v="Galaxy S22+ 256GB"/>
        <s v="Galaxy S22 128GB"/>
        <s v="Galaxy S22 256GB"/>
        <s v="Galaxy Z Fold 5 256GB"/>
        <s v="Galaxy Z Fold 5 512GB"/>
        <s v="Galaxy Z Flip 5 256GB"/>
        <s v="Galaxy Z Flip 5 512GB"/>
        <s v="Galaxy Z Fold 4 256GB"/>
        <s v="Galaxy Z Fold 4 512GB"/>
        <s v="Galaxy Z Flip 4 256GB"/>
        <s v="Galaxy Z Flip 4 512GB"/>
        <s v="Galaxy Note 20 Ultra 128GB"/>
        <s v="Galaxy Note 20 Ultra 256GB"/>
        <s v="Galaxy Note 20 128GB"/>
        <s v="Galaxy Note 20 256GB"/>
        <s v="Galaxy Note 10+ 256GB"/>
        <s v="Galaxy Note 10+ 512GB"/>
        <s v="Galaxy Note 10 256GB"/>
        <s v="Galaxy Note 10 128GB"/>
        <s v="Galaxy W22 5G 256GB"/>
        <s v="Galaxy W21 5G 256GB"/>
        <s v="Galaxy Tab S9 Ultra 256GB"/>
        <s v="Galaxy Tab S9+ 256GB"/>
        <s v="Galaxy Tab S9 128GB"/>
        <s v="Galaxy Tab S8 Ultra 256GB"/>
        <s v="Galaxy Tab S8+ 256GB"/>
        <s v="Galaxy Tab S8 128GB"/>
        <s v="Galaxy Tab Active 3 64GB"/>
        <s v="Galaxy Z Fold6 256GB"/>
        <s v="Galaxy Z Fold6 512GB"/>
        <s v="Galaxy Z Fold6 1TB"/>
        <s v="Galaxy A54 128GB"/>
        <s v="Galaxy A54 256GB"/>
        <s v="Galaxy A34 128GB"/>
        <s v="Galaxy A34 256GB"/>
        <s v="Galaxy A14 128GB"/>
        <s v="Galaxy A14 256GB"/>
        <s v="Galaxy A04 64GB"/>
        <s v="Galaxy A04 128GB"/>
        <s v="Galaxy M54 128GB"/>
        <s v="Galaxy M54 256GB"/>
        <s v="Galaxy M34 128GB"/>
        <s v="Galaxy M34 256GB"/>
        <s v="Galaxy M14 128GB"/>
        <s v="Galaxy M14 256GB"/>
        <s v="Galaxy F54 128GB"/>
        <s v="Galaxy F54 256GB"/>
        <s v="Galaxy F34 128GB"/>
        <s v="Galaxy F34 256GB"/>
        <s v="Galaxy F14 128GB"/>
        <s v="Galaxy F14 256GB"/>
        <s v="Galaxy Xcover 6 Pro 128GB"/>
        <s v="Galaxy Xcover 5 64GB"/>
        <s v="Galaxy Tab S9 FE 128GB"/>
        <s v="Galaxy Tab A9+ 128GB"/>
        <s v="Galaxy Tab Active 5 128GB"/>
        <s v="Galaxy Tab Active 4 Pro 128GB"/>
        <s v="Xperia 1 IV 256GB"/>
        <s v="Xperia 5 IV 128GB"/>
        <s v="Xperia 1 V 256GB"/>
        <s v="Xperia 5 V 128GB"/>
        <s v="Xperia 1 VI 256GB"/>
        <s v="Xperia 5 VI 128GB"/>
        <s v="Xperia 10 IV 128GB"/>
        <s v="Xperia 10 V 128GB"/>
        <s v="Xperia 10 VI 128GB"/>
        <s v="Spark Go 1S 64GB"/>
        <s v="Megapad 11 256GB"/>
        <s v="Pop 9 4G 64GB"/>
        <s v="Megapad 128GB"/>
        <s v="Spark 30C 5G 128GB"/>
        <s v="Spark 30 5G 128GB"/>
        <s v="Pop 9 64GB"/>
        <s v="Spark 30 Pro 256GB"/>
        <s v="Spark 30 128GB"/>
        <s v="Spark 30C 128GB"/>
        <s v="Spark Go 1 64GB"/>
        <s v="Spark 20P 128GB"/>
        <s v="Pova 6 Neo 256GB"/>
        <s v="Camon 30 128GB"/>
        <s v="Spark 20 Pro+ 256GB"/>
        <s v="Spark 20 Pro 128GB"/>
        <s v="Spark 20 128GB"/>
        <s v="Spark 20C 128GB"/>
        <s v="Spark Go 2024 64GB"/>
        <s v="Pop 8 64GB"/>
        <s v="Camon 20s 256GB"/>
        <s v="Camon 20 Pro 128GB"/>
        <s v="Camon 20 128GB"/>
        <s v="Pova 5 256GB"/>
        <s v="Phantom V Fold2 512GB"/>
        <s v="Camon 30S Pro 512GB"/>
        <s v="Camon 30 Premier 512GB"/>
        <s v="Camon 20s Pro 5G 512GB"/>
        <s v="Camon 30S 256GB"/>
        <s v="Phantom V Flip2 256GB"/>
        <s v="Pova 6 Neo 5G 256GB"/>
        <s v="Spark 20 Pro 5G 256GB"/>
        <s v="Camon 30 Pro 512GB"/>
        <s v="Camon 30 5G 256GB"/>
        <s v="Pova 6 Pro 512GB"/>
        <s v="Camon 20s Pro 256GB"/>
        <s v="Camon 20 Premier 512GB"/>
        <s v="Camon 20 Pro 5G 256GB"/>
        <s v="Pova 5G 512GB"/>
        <s v="Z3 64GB"/>
        <s v="V9 64GB"/>
        <s v="X9 Plus 128GB"/>
        <s v="Y81 32GB"/>
        <s v="X5Max 16GB"/>
        <s v="V5 Plus 64GB"/>
        <s v="Y95 64GB"/>
        <s v="V3 Max 32GB"/>
        <s v="X3S 16GB"/>
        <s v="Y66 32GB"/>
        <s v="V19 128GB"/>
        <s v="V19 256GB"/>
        <s v="V17 Pro 128GB"/>
        <s v="V17 Pro 256GB"/>
        <s v="Y12s 64GB"/>
        <s v="Y12s 128GB"/>
        <s v="S1 Pro 128GB"/>
        <s v="S1 Pro 256GB"/>
        <s v="Y11 32GB"/>
        <s v="Y11 64GB"/>
        <s v="V15 128GB"/>
        <s v="V15 256GB"/>
        <s v="X27 Pro 128GB"/>
        <s v="X27 Pro 256GB"/>
        <s v="Y30 128GB"/>
        <s v="Y30 64GB"/>
        <s v="Z1 Pro 64GB"/>
        <s v="Z1 Pro 128GB"/>
        <s v="X21 128GB"/>
        <s v="X21 64GB"/>
        <s v="V23e 128GB"/>
        <s v="V23e 256GB"/>
        <s v="Y33s 128GB"/>
        <s v="Y33s 64GB"/>
        <s v="Y75 5G 128GB"/>
        <s v="Y75 5G 256GB"/>
        <s v="Y53s 128GB"/>
        <s v="Y53s 64GB"/>
        <s v="V15 Pro 128GB"/>
        <s v="V15 Pro 256GB"/>
        <s v="Y21 128GB"/>
        <s v="Y21 64GB"/>
        <s v="X200 128GB"/>
        <s v="X200 256GB"/>
        <s v="X200 Pro 256GB"/>
        <s v="X200 Pro 512GB"/>
        <s v="X200 Pro Mini 256GB"/>
        <s v="T3 5G 128GB"/>
        <s v="S18 Pro 256GB"/>
        <s v="iQOO 12 256GB"/>
        <s v="X60 Pro 256GB"/>
        <s v="X60 Pro 512GB"/>
        <s v="X30 Pro 128GB"/>
        <s v="X30 Pro 256GB"/>
        <s v="X90 Pro 256GB"/>
        <s v="X90 Pro 512GB"/>
        <s v="X80 256GB"/>
        <s v="X80 512GB"/>
        <s v="Pad Air 128GB"/>
        <s v="Pad 4 Pro 256GB"/>
        <s v="V40e 128GB"/>
        <s v="Y200 GT 128GB"/>
        <s v="Y100 5G 128GB"/>
        <s v="V30 Pro 128GB"/>
        <s v="V20 Pro 128GB"/>
        <s v="V20 Pro 256GB"/>
        <s v="X70 Pro 128GB"/>
        <s v="X70 Pro 256GB"/>
        <s v="T1 5G 128GB"/>
        <s v="T1 5G 256GB"/>
        <s v="V27 128GB"/>
        <s v="V27 256GB"/>
        <s v="V27 Pro 128GB"/>
        <s v="V27 Pro 256GB"/>
        <s v="V25 Pro 128GB"/>
        <s v="V25 Pro 256GB"/>
        <s v="Y100 128GB"/>
        <s v="Y100 256GB"/>
        <s v="T2 Series 128GB"/>
        <s v="T2 Series 256GB"/>
        <s v="V23 5G 128GB"/>
        <s v="V23 5G 256GB"/>
        <s v="Redmi 14C 5G 64GB"/>
        <s v="Redmi 14C 5G 128GB"/>
        <s v="Xiaomi 15 Pro 256GB"/>
        <s v="Xiaomi 15 Pro 512GB"/>
        <s v="Xiaomi 15 Pro 1TB"/>
        <s v="Xiaomi 15 256GB"/>
        <s v="Xiaomi 15 512GB"/>
        <s v="Xiaomi 14T Pro 256GB"/>
        <s v="Xiaomi 14T Pro 512GB"/>
        <s v="Xiaomi 14T Pro 1TB"/>
        <s v="Xiaomi 14 Pro 256GB"/>
        <s v="Xiaomi 14 Pro 512GB"/>
        <s v="Xiaomi 14 256GB"/>
        <s v="Xiaomi 14 512GB"/>
        <s v="Xiaomi 14T 256GB"/>
        <s v="Xiaomi 14T 512GB"/>
        <s v="Redmi Note 14 Pro+ 5G 128GB"/>
        <s v="Redmi Note 14 Pro+ 5G 256GB"/>
        <s v="Redmi Note 14 Pro+ 5G 512GB"/>
        <s v="Redmi Note 14 Pro 5G 128GB"/>
        <s v="Redmi Note 14 Pro 5G 256GB"/>
        <s v="Redmi Note 14 Pro 4G 128GB"/>
        <s v="Redmi Note 14 Pro 4G 256GB"/>
        <s v="Redmi Note 14 5G 128GB"/>
        <s v="Redmi Note 14 5G 256GB"/>
        <s v="Redmi Note 14 4G 128GB"/>
        <s v="Redmi Note 14 4G 256GB"/>
      </sharedItems>
    </cacheField>
    <cacheField name="Storage" numFmtId="0">
      <sharedItems containsSemiMixedTypes="0" containsString="0" containsNumber="1" containsInteger="1" minValue="16" maxValue="512"/>
    </cacheField>
    <cacheField name="Mobile Weight" numFmtId="0">
      <sharedItems containsSemiMixedTypes="0" containsString="0" containsNumber="1" minValue="135" maxValue="732"/>
    </cacheField>
    <cacheField name="RAM" numFmtId="0">
      <sharedItems containsSemiMixedTypes="0" containsString="0" containsNumber="1" minValue="1" maxValue="16"/>
    </cacheField>
    <cacheField name="Front Camera" numFmtId="0">
      <sharedItems containsSemiMixedTypes="0" containsString="0" containsNumber="1" minValue="2" maxValue="60"/>
    </cacheField>
    <cacheField name="Back Camera main" numFmtId="0">
      <sharedItems containsSemiMixedTypes="0" containsString="0" containsNumber="1" containsInteger="1" minValue="5" maxValue="200"/>
    </cacheField>
    <cacheField name="Back Camera Wide" numFmtId="0">
      <sharedItems containsString="0" containsBlank="1" containsNumber="1" containsInteger="1" minValue="2" maxValue="64"/>
    </cacheField>
    <cacheField name="Back Camera telephoto" numFmtId="0">
      <sharedItems containsString="0" containsBlank="1" containsNumber="1" containsInteger="1" minValue="2" maxValue="64"/>
    </cacheField>
    <cacheField name="Processor" numFmtId="0">
      <sharedItems/>
    </cacheField>
    <cacheField name="Tier" numFmtId="0">
      <sharedItems count="3">
        <s v="Flagship"/>
        <s v="Budget"/>
        <s v="Mid-range"/>
      </sharedItems>
    </cacheField>
    <cacheField name="Tier Score" numFmtId="0">
      <sharedItems containsSemiMixedTypes="0" containsString="0" containsNumber="1" containsInteger="1" minValue="1" maxValue="100"/>
    </cacheField>
    <cacheField name="Battery Capacity" numFmtId="0">
      <sharedItems containsSemiMixedTypes="0" containsString="0" containsNumber="1" containsInteger="1" minValue="2000" maxValue="11200"/>
    </cacheField>
    <cacheField name="Screen Size" numFmtId="0">
      <sharedItems containsSemiMixedTypes="0" containsString="0" containsNumber="1" minValue="5" maxValue="14.6"/>
    </cacheField>
    <cacheField name="Launched Price (USA)" numFmtId="0">
      <sharedItems containsSemiMixedTypes="0" containsString="0" containsNumber="1" containsInteger="1" minValue="79" maxValue="2799"/>
    </cacheField>
    <cacheField name="Phone/tablet" numFmtId="0">
      <sharedItems count="2">
        <s v="Phone"/>
        <s v="Tablet"/>
      </sharedItems>
    </cacheField>
    <cacheField name="Value Score" numFmtId="0">
      <sharedItems containsSemiMixedTypes="0" containsString="0" containsNumber="1" minValue="4.8263403170196305E-2" maxValue="0.4195462807231447"/>
    </cacheField>
    <cacheField name="Price-to-Specs Ratio" numFmtId="0">
      <sharedItems containsSemiMixedTypes="0" containsString="0" containsNumber="1" minValue="5.3900914178045571" maxValue="62.014912025634573"/>
    </cacheField>
    <cacheField name="Specs Score" numFmtId="0">
      <sharedItems containsSemiMixedTypes="0" containsString="0" containsNumber="1" minValue="3.2002250622940278" maxValue="78.548319590204883"/>
    </cacheField>
    <cacheField name="Launched Year" numFmtId="0">
      <sharedItems containsSemiMixedTypes="0" containsString="0" containsNumber="1" containsInteger="1" minValue="2014" maxValue="2025" count="11">
        <n v="2024"/>
        <n v="2023"/>
        <n v="2022"/>
        <n v="2021"/>
        <n v="2020"/>
        <n v="2019"/>
        <n v="2017"/>
        <n v="2018"/>
        <n v="2025"/>
        <n v="2016"/>
        <n v="2014"/>
      </sharedItems>
    </cacheField>
  </cacheFields>
  <extLst>
    <ext xmlns:x14="http://schemas.microsoft.com/office/spreadsheetml/2009/9/main" uri="{725AE2AE-9491-48be-B2B4-4EB974FC3084}">
      <x14:pivotCacheDefinition pivotCacheId="5558324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0">
  <r>
    <x v="0"/>
    <x v="0"/>
    <n v="128"/>
    <n v="174"/>
    <n v="6"/>
    <n v="12"/>
    <n v="48"/>
    <m/>
    <m/>
    <s v="A17 Bionic"/>
    <x v="0"/>
    <n v="100"/>
    <n v="3600"/>
    <n v="6.1"/>
    <n v="799"/>
    <x v="0"/>
    <n v="0.14007781915580619"/>
    <n v="19.45416724881186"/>
    <n v="41.07089189586349"/>
    <x v="0"/>
  </r>
  <r>
    <x v="0"/>
    <x v="1"/>
    <n v="256"/>
    <n v="174"/>
    <n v="6"/>
    <n v="12"/>
    <n v="48"/>
    <m/>
    <m/>
    <s v="A17 Bionic"/>
    <x v="0"/>
    <n v="100"/>
    <n v="3600"/>
    <n v="6.1"/>
    <n v="849"/>
    <x v="0"/>
    <n v="0.1455725542519041"/>
    <n v="18.891074086438934"/>
    <n v="44.94185963779897"/>
    <x v="0"/>
  </r>
  <r>
    <x v="0"/>
    <x v="2"/>
    <n v="512"/>
    <n v="174"/>
    <n v="6"/>
    <n v="12"/>
    <n v="48"/>
    <m/>
    <m/>
    <s v="A17 Bionic"/>
    <x v="0"/>
    <n v="100"/>
    <n v="3600"/>
    <n v="6.1"/>
    <n v="899"/>
    <x v="0"/>
    <n v="0.16254788170212059"/>
    <n v="17.06407061077919"/>
    <n v="52.683795121669938"/>
    <x v="0"/>
  </r>
  <r>
    <x v="0"/>
    <x v="3"/>
    <n v="128"/>
    <n v="203"/>
    <n v="6"/>
    <n v="12"/>
    <n v="48"/>
    <m/>
    <m/>
    <s v="A17 Bionic"/>
    <x v="0"/>
    <n v="100"/>
    <n v="4200"/>
    <n v="6.7"/>
    <n v="899"/>
    <x v="0"/>
    <n v="0.1316646441174843"/>
    <n v="21.066616247582544"/>
    <n v="42.674152765428708"/>
    <x v="0"/>
  </r>
  <r>
    <x v="0"/>
    <x v="4"/>
    <n v="256"/>
    <n v="203"/>
    <n v="6"/>
    <n v="12"/>
    <n v="48"/>
    <m/>
    <m/>
    <s v="A17 Bionic"/>
    <x v="0"/>
    <n v="100"/>
    <n v="4200"/>
    <n v="6.7"/>
    <n v="949"/>
    <x v="0"/>
    <n v="0.13715065261554685"/>
    <n v="20.38881819738447"/>
    <n v="46.545120507364189"/>
    <x v="0"/>
  </r>
  <r>
    <x v="0"/>
    <x v="5"/>
    <n v="512"/>
    <n v="203"/>
    <n v="6"/>
    <n v="12"/>
    <n v="48"/>
    <m/>
    <m/>
    <s v="A17 Bionic"/>
    <x v="0"/>
    <n v="100"/>
    <n v="4200"/>
    <n v="6.7"/>
    <n v="999"/>
    <x v="0"/>
    <n v="0.15313188386147883"/>
    <n v="18.402176757591942"/>
    <n v="54.287055991235157"/>
    <x v="0"/>
  </r>
  <r>
    <x v="0"/>
    <x v="6"/>
    <n v="128"/>
    <n v="206"/>
    <n v="6"/>
    <n v="12"/>
    <n v="50"/>
    <n v="12"/>
    <m/>
    <s v="A17 Pro"/>
    <x v="0"/>
    <n v="100"/>
    <n v="4400"/>
    <n v="6.1"/>
    <n v="999"/>
    <x v="0"/>
    <n v="0.11982057238462979"/>
    <n v="23.518165019243835"/>
    <n v="42.477803824514545"/>
    <x v="0"/>
  </r>
  <r>
    <x v="0"/>
    <x v="7"/>
    <n v="256"/>
    <n v="206"/>
    <n v="8"/>
    <n v="12"/>
    <n v="50"/>
    <n v="12"/>
    <m/>
    <s v="A17 Pro"/>
    <x v="0"/>
    <n v="100"/>
    <n v="4400"/>
    <n v="6.1"/>
    <n v="1049"/>
    <x v="0"/>
    <n v="0.13083570507035716"/>
    <n v="21.696518153688057"/>
    <n v="48.348771566450026"/>
    <x v="0"/>
  </r>
  <r>
    <x v="0"/>
    <x v="8"/>
    <n v="512"/>
    <n v="206"/>
    <n v="8"/>
    <n v="12"/>
    <n v="50"/>
    <n v="12"/>
    <m/>
    <s v="A17 Pro"/>
    <x v="0"/>
    <n v="100"/>
    <n v="4400"/>
    <n v="6.1"/>
    <n v="1099"/>
    <x v="0"/>
    <n v="0.14589582896692682"/>
    <n v="19.5932634440505"/>
    <n v="56.090707050320994"/>
    <x v="0"/>
  </r>
  <r>
    <x v="0"/>
    <x v="9"/>
    <n v="128"/>
    <n v="221"/>
    <n v="6"/>
    <n v="12"/>
    <n v="48"/>
    <n v="12"/>
    <m/>
    <s v="A17 Pro"/>
    <x v="0"/>
    <n v="100"/>
    <n v="4500"/>
    <n v="6.7"/>
    <n v="1099"/>
    <x v="0"/>
    <n v="0.11227070070233708"/>
    <n v="25.461455165547267"/>
    <n v="43.163283200211318"/>
    <x v="0"/>
  </r>
  <r>
    <x v="0"/>
    <x v="10"/>
    <n v="256"/>
    <n v="221"/>
    <n v="8"/>
    <n v="12"/>
    <n v="48"/>
    <n v="12"/>
    <m/>
    <s v="A17 Pro"/>
    <x v="0"/>
    <n v="100"/>
    <n v="4500"/>
    <n v="6.7"/>
    <n v="1199"/>
    <x v="0"/>
    <n v="0.11844132022480587"/>
    <n v="24.45229562932742"/>
    <n v="49.034250942146798"/>
    <x v="0"/>
  </r>
  <r>
    <x v="0"/>
    <x v="11"/>
    <n v="512"/>
    <n v="221"/>
    <n v="8"/>
    <n v="12"/>
    <n v="48"/>
    <n v="12"/>
    <m/>
    <s v="A17 Pro"/>
    <x v="0"/>
    <n v="100"/>
    <n v="4500"/>
    <n v="6.7"/>
    <n v="1299"/>
    <x v="0"/>
    <n v="0.12811454538457634"/>
    <n v="22.879310530880097"/>
    <n v="56.776186426017766"/>
    <x v="0"/>
  </r>
  <r>
    <x v="0"/>
    <x v="12"/>
    <n v="128"/>
    <n v="171"/>
    <n v="6"/>
    <n v="12"/>
    <n v="48"/>
    <m/>
    <m/>
    <s v="A16 Bionic"/>
    <x v="0"/>
    <n v="95"/>
    <n v="3200"/>
    <n v="6.1"/>
    <n v="799"/>
    <x v="0"/>
    <n v="0.13354713476241503"/>
    <n v="20.405509459666941"/>
    <n v="39.15609172019375"/>
    <x v="1"/>
  </r>
  <r>
    <x v="0"/>
    <x v="13"/>
    <n v="256"/>
    <n v="171"/>
    <n v="6"/>
    <n v="12"/>
    <n v="48"/>
    <m/>
    <m/>
    <s v="A16 Bionic"/>
    <x v="0"/>
    <n v="95"/>
    <n v="3200"/>
    <n v="6.1"/>
    <n v="849"/>
    <x v="0"/>
    <n v="0.13937026634702623"/>
    <n v="19.731769045180911"/>
    <n v="43.02705946212923"/>
    <x v="1"/>
  </r>
  <r>
    <x v="0"/>
    <x v="14"/>
    <n v="512"/>
    <n v="171"/>
    <n v="6"/>
    <n v="12"/>
    <n v="48"/>
    <m/>
    <m/>
    <s v="A16 Bionic"/>
    <x v="0"/>
    <n v="95"/>
    <n v="3200"/>
    <n v="6.1"/>
    <n v="949"/>
    <x v="0"/>
    <n v="0.14959679368275924"/>
    <n v="18.69251106919473"/>
    <n v="50.768994946000198"/>
    <x v="1"/>
  </r>
  <r>
    <x v="0"/>
    <x v="15"/>
    <n v="128"/>
    <n v="203"/>
    <n v="6"/>
    <n v="12"/>
    <n v="48"/>
    <m/>
    <m/>
    <s v="A16 Bionic"/>
    <x v="0"/>
    <n v="95"/>
    <n v="4300"/>
    <n v="6.7"/>
    <n v="899"/>
    <x v="0"/>
    <n v="0.12827204774241416"/>
    <n v="21.623795517535914"/>
    <n v="41.574569981063313"/>
    <x v="1"/>
  </r>
  <r>
    <x v="0"/>
    <x v="16"/>
    <n v="256"/>
    <n v="203"/>
    <n v="6"/>
    <n v="12"/>
    <n v="48"/>
    <m/>
    <m/>
    <s v="A16 Bionic"/>
    <x v="0"/>
    <n v="95"/>
    <n v="4300"/>
    <n v="6.7"/>
    <n v="999"/>
    <x v="0"/>
    <n v="0.12819189911024623"/>
    <n v="21.982356245604116"/>
    <n v="45.445537722998793"/>
    <x v="1"/>
  </r>
  <r>
    <x v="0"/>
    <x v="17"/>
    <n v="512"/>
    <n v="203"/>
    <n v="6"/>
    <n v="12"/>
    <n v="48"/>
    <m/>
    <m/>
    <s v="A16 Bionic"/>
    <x v="0"/>
    <n v="95"/>
    <n v="4300"/>
    <n v="6.7"/>
    <n v="1049"/>
    <x v="0"/>
    <n v="0.14392962494129571"/>
    <n v="19.722689136217696"/>
    <n v="53.187473206869761"/>
    <x v="1"/>
  </r>
  <r>
    <x v="0"/>
    <x v="18"/>
    <n v="128"/>
    <n v="206"/>
    <n v="6"/>
    <n v="12"/>
    <n v="48"/>
    <n v="12"/>
    <m/>
    <s v="A16 Bionic"/>
    <x v="0"/>
    <n v="95"/>
    <n v="4400"/>
    <n v="6.1"/>
    <n v="1099"/>
    <x v="0"/>
    <n v="0.10693676612533641"/>
    <n v="26.731455568674171"/>
    <n v="41.11261345932418"/>
    <x v="1"/>
  </r>
  <r>
    <x v="0"/>
    <x v="19"/>
    <n v="256"/>
    <n v="206"/>
    <n v="8"/>
    <n v="12"/>
    <n v="48"/>
    <n v="12"/>
    <m/>
    <s v="A16 Bionic"/>
    <x v="0"/>
    <n v="95"/>
    <n v="4400"/>
    <n v="6.1"/>
    <n v="1199"/>
    <x v="0"/>
    <n v="0.11348796564532428"/>
    <n v="25.519553200168872"/>
    <n v="46.983581201259661"/>
    <x v="1"/>
  </r>
  <r>
    <x v="0"/>
    <x v="20"/>
    <n v="512"/>
    <n v="206"/>
    <n v="8"/>
    <n v="12"/>
    <n v="48"/>
    <n v="12"/>
    <m/>
    <s v="A16 Bionic"/>
    <x v="0"/>
    <n v="95"/>
    <n v="4400"/>
    <n v="6.1"/>
    <n v="1299"/>
    <x v="0"/>
    <n v="0.12348724231747089"/>
    <n v="23.736642039835669"/>
    <n v="54.725516685130629"/>
    <x v="1"/>
  </r>
  <r>
    <x v="0"/>
    <x v="21"/>
    <n v="128"/>
    <n v="221"/>
    <n v="6"/>
    <n v="12"/>
    <n v="48"/>
    <n v="12"/>
    <m/>
    <s v="A16 Bionic"/>
    <x v="0"/>
    <n v="95"/>
    <n v="4500"/>
    <n v="6.7"/>
    <n v="1199"/>
    <x v="0"/>
    <n v="0.1012102567209517"/>
    <n v="28.615303139185205"/>
    <n v="41.900656937585055"/>
    <x v="1"/>
  </r>
  <r>
    <x v="0"/>
    <x v="22"/>
    <n v="256"/>
    <n v="221"/>
    <n v="8"/>
    <n v="12"/>
    <n v="48"/>
    <n v="12"/>
    <m/>
    <s v="A16 Bionic"/>
    <x v="0"/>
    <n v="95"/>
    <n v="4500"/>
    <n v="6.7"/>
    <n v="1299"/>
    <x v="0"/>
    <n v="0.10779589760003276"/>
    <n v="27.191874019659938"/>
    <n v="47.771624679520535"/>
    <x v="1"/>
  </r>
  <r>
    <x v="0"/>
    <x v="23"/>
    <n v="512"/>
    <n v="221"/>
    <n v="8"/>
    <n v="12"/>
    <n v="48"/>
    <n v="12"/>
    <m/>
    <s v="A16 Bionic"/>
    <x v="0"/>
    <n v="95"/>
    <n v="4500"/>
    <n v="6.7"/>
    <n v="1399"/>
    <x v="0"/>
    <n v="0.11761264658775411"/>
    <n v="25.2010499035256"/>
    <n v="55.513560163391503"/>
    <x v="1"/>
  </r>
  <r>
    <x v="0"/>
    <x v="24"/>
    <n v="128"/>
    <n v="172"/>
    <n v="6"/>
    <n v="12"/>
    <n v="12"/>
    <n v="12"/>
    <m/>
    <s v="A15 Bionic"/>
    <x v="0"/>
    <n v="90"/>
    <n v="3200"/>
    <n v="6.1"/>
    <n v="799"/>
    <x v="0"/>
    <n v="0.12294422068455621"/>
    <n v="22.165314534774161"/>
    <n v="36.047311611413633"/>
    <x v="2"/>
  </r>
  <r>
    <x v="0"/>
    <x v="25"/>
    <n v="256"/>
    <n v="172"/>
    <n v="6"/>
    <n v="12"/>
    <n v="12"/>
    <n v="12"/>
    <m/>
    <s v="A15 Bionic"/>
    <x v="0"/>
    <n v="90"/>
    <n v="3200"/>
    <n v="6.1"/>
    <n v="849"/>
    <x v="0"/>
    <n v="0.12930052146575285"/>
    <n v="21.268451790840263"/>
    <n v="39.918279353349121"/>
    <x v="2"/>
  </r>
  <r>
    <x v="0"/>
    <x v="26"/>
    <n v="512"/>
    <n v="172"/>
    <n v="6"/>
    <n v="12"/>
    <n v="12"/>
    <n v="12"/>
    <m/>
    <s v="A15 Bionic"/>
    <x v="0"/>
    <n v="90"/>
    <n v="3200"/>
    <n v="6.1"/>
    <n v="949"/>
    <x v="0"/>
    <n v="0.14043640874638416"/>
    <n v="19.911786030365974"/>
    <n v="47.660214837220089"/>
    <x v="2"/>
  </r>
  <r>
    <x v="0"/>
    <x v="27"/>
    <n v="128"/>
    <n v="203"/>
    <n v="6"/>
    <n v="12"/>
    <n v="12"/>
    <n v="12"/>
    <m/>
    <s v="A15 Bionic"/>
    <x v="0"/>
    <n v="90"/>
    <n v="4325"/>
    <n v="6.7"/>
    <n v="899"/>
    <x v="0"/>
    <n v="0.11880613840152449"/>
    <n v="23.346676933672445"/>
    <n v="38.506550741848415"/>
    <x v="2"/>
  </r>
  <r>
    <x v="0"/>
    <x v="28"/>
    <n v="256"/>
    <n v="203"/>
    <n v="6"/>
    <n v="12"/>
    <n v="12"/>
    <n v="12"/>
    <m/>
    <s v="A15 Bionic"/>
    <x v="0"/>
    <n v="90"/>
    <n v="4325"/>
    <n v="6.7"/>
    <n v="999"/>
    <x v="0"/>
    <n v="0.11953768942350083"/>
    <n v="23.573820170293249"/>
    <n v="42.377518483783902"/>
    <x v="2"/>
  </r>
  <r>
    <x v="0"/>
    <x v="29"/>
    <n v="512"/>
    <n v="203"/>
    <n v="6"/>
    <n v="12"/>
    <n v="12"/>
    <n v="12"/>
    <m/>
    <s v="A15 Bionic"/>
    <x v="0"/>
    <n v="90"/>
    <n v="4325"/>
    <n v="6.7"/>
    <n v="1049"/>
    <x v="0"/>
    <n v="0.13562731554796581"/>
    <n v="20.929996577316732"/>
    <n v="50.11945396765487"/>
    <x v="2"/>
  </r>
  <r>
    <x v="0"/>
    <x v="30"/>
    <n v="128"/>
    <n v="206"/>
    <n v="6"/>
    <n v="12"/>
    <n v="48"/>
    <n v="12"/>
    <m/>
    <s v="A16 Bionic"/>
    <x v="0"/>
    <n v="95"/>
    <n v="4200"/>
    <n v="6.1"/>
    <n v="1099"/>
    <x v="0"/>
    <n v="0.10608859127893343"/>
    <n v="26.945172688939021"/>
    <n v="40.786526502802445"/>
    <x v="2"/>
  </r>
  <r>
    <x v="0"/>
    <x v="31"/>
    <n v="256"/>
    <n v="206"/>
    <n v="8"/>
    <n v="12"/>
    <n v="48"/>
    <n v="12"/>
    <m/>
    <s v="A16 Bionic"/>
    <x v="0"/>
    <n v="95"/>
    <n v="4200"/>
    <n v="6.1"/>
    <n v="1199"/>
    <x v="0"/>
    <n v="0.11270030867297465"/>
    <n v="25.697908115484026"/>
    <n v="46.657494244737926"/>
    <x v="2"/>
  </r>
  <r>
    <x v="0"/>
    <x v="32"/>
    <n v="512"/>
    <n v="206"/>
    <n v="8"/>
    <n v="12"/>
    <n v="48"/>
    <n v="12"/>
    <m/>
    <s v="A16 Bionic"/>
    <x v="0"/>
    <n v="95"/>
    <n v="4200"/>
    <n v="6.1"/>
    <n v="1299"/>
    <x v="0"/>
    <n v="0.12275143237988273"/>
    <n v="23.878926791705876"/>
    <n v="54.399429728608894"/>
    <x v="2"/>
  </r>
  <r>
    <x v="0"/>
    <x v="33"/>
    <n v="128"/>
    <n v="221"/>
    <n v="6"/>
    <n v="12"/>
    <n v="48"/>
    <n v="12"/>
    <m/>
    <s v="A16 Bionic"/>
    <x v="0"/>
    <n v="95"/>
    <n v="4500"/>
    <n v="6.7"/>
    <n v="1199"/>
    <x v="0"/>
    <n v="0.1012102567209517"/>
    <n v="28.615303139185205"/>
    <n v="41.900656937585055"/>
    <x v="2"/>
  </r>
  <r>
    <x v="0"/>
    <x v="34"/>
    <n v="256"/>
    <n v="221"/>
    <n v="8"/>
    <n v="12"/>
    <n v="48"/>
    <n v="12"/>
    <m/>
    <s v="A16 Bionic"/>
    <x v="0"/>
    <n v="95"/>
    <n v="4500"/>
    <n v="6.7"/>
    <n v="1299"/>
    <x v="0"/>
    <n v="0.10779589760003276"/>
    <n v="27.191874019659938"/>
    <n v="47.771624679520535"/>
    <x v="2"/>
  </r>
  <r>
    <x v="0"/>
    <x v="35"/>
    <n v="512"/>
    <n v="221"/>
    <n v="8"/>
    <n v="12"/>
    <n v="48"/>
    <n v="12"/>
    <m/>
    <s v="A16 Bionic"/>
    <x v="0"/>
    <n v="95"/>
    <n v="4500"/>
    <n v="6.7"/>
    <n v="1399"/>
    <x v="0"/>
    <n v="0.11761264658775411"/>
    <n v="25.2010499035256"/>
    <n v="55.513560163391503"/>
    <x v="2"/>
  </r>
  <r>
    <x v="0"/>
    <x v="36"/>
    <n v="128"/>
    <n v="140"/>
    <n v="4"/>
    <n v="12"/>
    <n v="12"/>
    <m/>
    <m/>
    <s v="A15 Bionic"/>
    <x v="0"/>
    <n v="90"/>
    <n v="2438"/>
    <n v="5.4"/>
    <n v="699"/>
    <x v="0"/>
    <n v="0.12256635471813243"/>
    <n v="21.792161388832202"/>
    <n v="32.075753640399135"/>
    <x v="3"/>
  </r>
  <r>
    <x v="0"/>
    <x v="37"/>
    <n v="256"/>
    <n v="140"/>
    <n v="4"/>
    <n v="12"/>
    <n v="12"/>
    <m/>
    <m/>
    <s v="A15 Bionic"/>
    <x v="0"/>
    <n v="90"/>
    <n v="2438"/>
    <n v="5.4"/>
    <n v="799"/>
    <x v="0"/>
    <n v="0.12260114413405183"/>
    <n v="22.227340054235221"/>
    <n v="35.946721382334623"/>
    <x v="3"/>
  </r>
  <r>
    <x v="0"/>
    <x v="38"/>
    <n v="512"/>
    <n v="140"/>
    <n v="4"/>
    <n v="12"/>
    <n v="12"/>
    <m/>
    <m/>
    <s v="A15 Bionic"/>
    <x v="0"/>
    <n v="90"/>
    <n v="2438"/>
    <n v="5.4"/>
    <n v="899"/>
    <x v="0"/>
    <n v="0.13479474308204364"/>
    <n v="20.577423626300625"/>
    <n v="43.688656866205591"/>
    <x v="3"/>
  </r>
  <r>
    <x v="0"/>
    <x v="39"/>
    <n v="128"/>
    <n v="174"/>
    <n v="4"/>
    <n v="12"/>
    <n v="12"/>
    <n v="12"/>
    <m/>
    <s v="A15 Bionic"/>
    <x v="0"/>
    <n v="90"/>
    <n v="3240"/>
    <n v="6.1"/>
    <n v="799"/>
    <x v="0"/>
    <n v="0.11634538350678444"/>
    <n v="23.422479169936015"/>
    <n v="34.112529002717977"/>
    <x v="3"/>
  </r>
  <r>
    <x v="0"/>
    <x v="40"/>
    <n v="256"/>
    <n v="174"/>
    <n v="4"/>
    <n v="12"/>
    <n v="12"/>
    <n v="12"/>
    <m/>
    <s v="A15 Bionic"/>
    <x v="0"/>
    <n v="90"/>
    <n v="3240"/>
    <n v="6.1"/>
    <n v="899"/>
    <x v="0"/>
    <n v="0.11719233440233433"/>
    <n v="23.66817373459811"/>
    <n v="37.983496744653465"/>
    <x v="3"/>
  </r>
  <r>
    <x v="0"/>
    <x v="41"/>
    <n v="512"/>
    <n v="174"/>
    <n v="4"/>
    <n v="12"/>
    <n v="12"/>
    <n v="12"/>
    <m/>
    <s v="A15 Bionic"/>
    <x v="0"/>
    <n v="90"/>
    <n v="3240"/>
    <n v="6.1"/>
    <n v="999"/>
    <x v="0"/>
    <n v="0.12898142015040981"/>
    <n v="21.847797851472336"/>
    <n v="45.725432228524433"/>
    <x v="3"/>
  </r>
  <r>
    <x v="0"/>
    <x v="42"/>
    <n v="128"/>
    <n v="204"/>
    <n v="6"/>
    <n v="12"/>
    <n v="12"/>
    <n v="12"/>
    <n v="12"/>
    <s v="A15 Bionic"/>
    <x v="0"/>
    <n v="90"/>
    <n v="3095"/>
    <n v="6.1"/>
    <n v="999"/>
    <x v="0"/>
    <n v="0.10119865817292126"/>
    <n v="27.845823698836394"/>
    <n v="35.876115959239719"/>
    <x v="3"/>
  </r>
  <r>
    <x v="0"/>
    <x v="43"/>
    <n v="256"/>
    <n v="204"/>
    <n v="6"/>
    <n v="12"/>
    <n v="12"/>
    <n v="12"/>
    <n v="12"/>
    <s v="A15 Bionic"/>
    <x v="0"/>
    <n v="90"/>
    <n v="3095"/>
    <n v="6.1"/>
    <n v="1099"/>
    <x v="0"/>
    <n v="0.10338492828051446"/>
    <n v="27.649827299593952"/>
    <n v="39.747083701175207"/>
    <x v="3"/>
  </r>
  <r>
    <x v="0"/>
    <x v="44"/>
    <n v="512"/>
    <n v="204"/>
    <n v="6"/>
    <n v="12"/>
    <n v="12"/>
    <n v="12"/>
    <n v="12"/>
    <s v="A15 Bionic"/>
    <x v="0"/>
    <n v="90"/>
    <n v="3095"/>
    <n v="6.1"/>
    <n v="1199"/>
    <x v="0"/>
    <n v="0.11470884168485163"/>
    <n v="25.247941957444201"/>
    <n v="47.489019185046175"/>
    <x v="3"/>
  </r>
  <r>
    <x v="0"/>
    <x v="45"/>
    <n v="128"/>
    <n v="238"/>
    <n v="6"/>
    <n v="12"/>
    <n v="12"/>
    <n v="12"/>
    <n v="12"/>
    <s v="A15 Bionic"/>
    <x v="0"/>
    <n v="90"/>
    <n v="4352"/>
    <n v="6.7"/>
    <n v="1099"/>
    <x v="0"/>
    <n v="0.10027271940459198"/>
    <n v="28.508007255722468"/>
    <n v="38.55057248097885"/>
    <x v="3"/>
  </r>
  <r>
    <x v="0"/>
    <x v="46"/>
    <n v="256"/>
    <n v="238"/>
    <n v="6"/>
    <n v="12"/>
    <n v="12"/>
    <n v="12"/>
    <n v="12"/>
    <s v="A15 Bionic"/>
    <x v="0"/>
    <n v="90"/>
    <n v="4352"/>
    <n v="6.7"/>
    <n v="1199"/>
    <x v="0"/>
    <n v="0.10246844059879302"/>
    <n v="28.263943121809387"/>
    <n v="42.421540222914338"/>
    <x v="3"/>
  </r>
  <r>
    <x v="0"/>
    <x v="47"/>
    <n v="512"/>
    <n v="238"/>
    <n v="6"/>
    <n v="12"/>
    <n v="12"/>
    <n v="12"/>
    <n v="12"/>
    <s v="A15 Bionic"/>
    <x v="0"/>
    <n v="90"/>
    <n v="4352"/>
    <n v="6.7"/>
    <n v="1399"/>
    <x v="0"/>
    <n v="0.10627780172178905"/>
    <n v="27.88881711820391"/>
    <n v="50.163475706785306"/>
    <x v="3"/>
  </r>
  <r>
    <x v="0"/>
    <x v="48"/>
    <n v="64"/>
    <n v="135"/>
    <n v="4"/>
    <n v="12"/>
    <n v="12"/>
    <m/>
    <m/>
    <s v="A14 Bionic"/>
    <x v="0"/>
    <n v="85"/>
    <n v="2227"/>
    <n v="5.4"/>
    <n v="699"/>
    <x v="0"/>
    <n v="0.10903132771805153"/>
    <n v="24.497415914858948"/>
    <n v="28.533621767674703"/>
    <x v="4"/>
  </r>
  <r>
    <x v="0"/>
    <x v="49"/>
    <n v="128"/>
    <n v="135"/>
    <n v="4"/>
    <n v="12"/>
    <n v="12"/>
    <m/>
    <m/>
    <s v="A14 Bionic"/>
    <x v="0"/>
    <n v="85"/>
    <n v="2227"/>
    <n v="5.4"/>
    <n v="799"/>
    <x v="0"/>
    <n v="0.10391899645887098"/>
    <n v="26.223283659060485"/>
    <n v="30.469105638642443"/>
    <x v="4"/>
  </r>
  <r>
    <x v="0"/>
    <x v="50"/>
    <n v="256"/>
    <n v="135"/>
    <n v="4"/>
    <n v="12"/>
    <n v="12"/>
    <m/>
    <m/>
    <s v="A14 Bionic"/>
    <x v="0"/>
    <n v="85"/>
    <n v="2227"/>
    <n v="5.4"/>
    <n v="899"/>
    <x v="0"/>
    <n v="0.10595110266102237"/>
    <n v="26.179326701976613"/>
    <n v="34.340073380577927"/>
    <x v="4"/>
  </r>
  <r>
    <x v="0"/>
    <x v="51"/>
    <n v="64"/>
    <n v="164"/>
    <n v="4"/>
    <n v="12"/>
    <n v="12"/>
    <n v="12"/>
    <m/>
    <s v="A14 Bionic"/>
    <x v="0"/>
    <n v="85"/>
    <n v="2815"/>
    <n v="6.1"/>
    <n v="799"/>
    <x v="0"/>
    <n v="0.10307444973984922"/>
    <n v="26.438145714905875"/>
    <n v="30.221484086515279"/>
    <x v="4"/>
  </r>
  <r>
    <x v="0"/>
    <x v="52"/>
    <n v="128"/>
    <n v="164"/>
    <n v="4"/>
    <n v="12"/>
    <n v="12"/>
    <n v="12"/>
    <m/>
    <s v="A14 Bionic"/>
    <x v="0"/>
    <n v="85"/>
    <n v="2815"/>
    <n v="6.1"/>
    <n v="899"/>
    <x v="0"/>
    <n v="9.9215461061229415E-2"/>
    <n v="27.956615847259943"/>
    <n v="32.156967957483019"/>
    <x v="4"/>
  </r>
  <r>
    <x v="0"/>
    <x v="53"/>
    <n v="256"/>
    <n v="164"/>
    <n v="4"/>
    <n v="12"/>
    <n v="12"/>
    <n v="12"/>
    <m/>
    <s v="A14 Bionic"/>
    <x v="0"/>
    <n v="85"/>
    <n v="2815"/>
    <n v="6.1"/>
    <n v="999"/>
    <x v="0"/>
    <n v="0.10162690837725526"/>
    <n v="27.728482928765857"/>
    <n v="36.027935699418506"/>
    <x v="4"/>
  </r>
  <r>
    <x v="0"/>
    <x v="54"/>
    <n v="128"/>
    <n v="189"/>
    <n v="6"/>
    <n v="12"/>
    <n v="12"/>
    <n v="12"/>
    <n v="12"/>
    <s v="A14 Bionic"/>
    <x v="0"/>
    <n v="85"/>
    <n v="2815"/>
    <n v="6.1"/>
    <n v="999"/>
    <x v="0"/>
    <n v="9.6349318540501258E-2"/>
    <n v="29.247326672657479"/>
    <n v="34.156967957483019"/>
    <x v="4"/>
  </r>
  <r>
    <x v="0"/>
    <x v="55"/>
    <n v="256"/>
    <n v="189"/>
    <n v="6"/>
    <n v="12"/>
    <n v="12"/>
    <n v="12"/>
    <n v="12"/>
    <s v="A14 Bionic"/>
    <x v="0"/>
    <n v="85"/>
    <n v="2815"/>
    <n v="6.1"/>
    <n v="1099"/>
    <x v="0"/>
    <n v="9.8913304797356855E-2"/>
    <n v="28.899806938950018"/>
    <n v="38.027935699418506"/>
    <x v="4"/>
  </r>
  <r>
    <x v="0"/>
    <x v="56"/>
    <n v="512"/>
    <n v="189"/>
    <n v="6"/>
    <n v="12"/>
    <n v="12"/>
    <n v="12"/>
    <n v="12"/>
    <s v="A14 Bionic"/>
    <x v="0"/>
    <n v="85"/>
    <n v="2815"/>
    <n v="6.1"/>
    <n v="1199"/>
    <x v="0"/>
    <n v="0.11055627169392548"/>
    <n v="26.196272110937326"/>
    <n v="45.769871183289474"/>
    <x v="4"/>
  </r>
  <r>
    <x v="0"/>
    <x v="57"/>
    <n v="128"/>
    <n v="228"/>
    <n v="6"/>
    <n v="12"/>
    <n v="12"/>
    <n v="12"/>
    <n v="12"/>
    <s v="A14 Bionic"/>
    <x v="0"/>
    <n v="85"/>
    <n v="3687"/>
    <n v="6.7"/>
    <n v="1099"/>
    <x v="0"/>
    <n v="9.4168359342108626E-2"/>
    <n v="30.356007392590111"/>
    <n v="36.203707087917806"/>
    <x v="4"/>
  </r>
  <r>
    <x v="0"/>
    <x v="58"/>
    <n v="256"/>
    <n v="228"/>
    <n v="6"/>
    <n v="12"/>
    <n v="12"/>
    <n v="12"/>
    <n v="12"/>
    <s v="A14 Bionic"/>
    <x v="0"/>
    <n v="85"/>
    <n v="3687"/>
    <n v="6.7"/>
    <n v="1199"/>
    <x v="0"/>
    <n v="9.6799630936093825E-2"/>
    <n v="29.919144823773223"/>
    <n v="40.074674829853286"/>
    <x v="4"/>
  </r>
  <r>
    <x v="0"/>
    <x v="59"/>
    <n v="512"/>
    <n v="228"/>
    <n v="6"/>
    <n v="12"/>
    <n v="12"/>
    <n v="12"/>
    <n v="12"/>
    <s v="A14 Bionic"/>
    <x v="0"/>
    <n v="85"/>
    <n v="3687"/>
    <n v="6.7"/>
    <n v="1399"/>
    <x v="0"/>
    <n v="0.10130566429715415"/>
    <n v="29.25761551940165"/>
    <n v="47.816610313724262"/>
    <x v="4"/>
  </r>
  <r>
    <x v="0"/>
    <x v="60"/>
    <n v="64"/>
    <n v="194"/>
    <n v="4"/>
    <n v="12"/>
    <n v="12"/>
    <n v="12"/>
    <m/>
    <s v="A13 Bionic"/>
    <x v="0"/>
    <n v="80"/>
    <n v="3110"/>
    <n v="6.1"/>
    <n v="699"/>
    <x v="0"/>
    <n v="0.11249411106161918"/>
    <n v="23.743338719262844"/>
    <n v="29.439836084758586"/>
    <x v="5"/>
  </r>
  <r>
    <x v="0"/>
    <x v="61"/>
    <n v="128"/>
    <n v="194"/>
    <n v="4"/>
    <n v="12"/>
    <n v="12"/>
    <n v="12"/>
    <m/>
    <s v="A13 Bionic"/>
    <x v="0"/>
    <n v="80"/>
    <n v="3110"/>
    <n v="6.1"/>
    <n v="799"/>
    <x v="0"/>
    <n v="0.1070097626771148"/>
    <n v="25.465875762461319"/>
    <n v="31.375319955726326"/>
    <x v="5"/>
  </r>
  <r>
    <x v="0"/>
    <x v="62"/>
    <n v="256"/>
    <n v="194"/>
    <n v="4"/>
    <n v="12"/>
    <n v="12"/>
    <n v="12"/>
    <m/>
    <s v="A13 Bionic"/>
    <x v="0"/>
    <n v="80"/>
    <n v="3110"/>
    <n v="6.1"/>
    <n v="899"/>
    <x v="0"/>
    <n v="0.10874708987625491"/>
    <n v="25.506232250939675"/>
    <n v="35.246287697661813"/>
    <x v="5"/>
  </r>
  <r>
    <x v="0"/>
    <x v="63"/>
    <n v="64"/>
    <n v="188"/>
    <n v="4"/>
    <n v="12"/>
    <n v="12"/>
    <n v="12"/>
    <n v="12"/>
    <s v="A13 Bionic"/>
    <x v="0"/>
    <n v="80"/>
    <n v="3046"/>
    <n v="5.8"/>
    <n v="999"/>
    <x v="0"/>
    <n v="8.1867487307794376E-2"/>
    <n v="34.420990392039108"/>
    <n v="29.022988258671628"/>
    <x v="5"/>
  </r>
  <r>
    <x v="0"/>
    <x v="64"/>
    <n v="256"/>
    <n v="188"/>
    <n v="4"/>
    <n v="12"/>
    <n v="12"/>
    <n v="12"/>
    <n v="12"/>
    <s v="A13 Bionic"/>
    <x v="0"/>
    <n v="80"/>
    <n v="3046"/>
    <n v="5.8"/>
    <n v="1099"/>
    <x v="0"/>
    <n v="9.0593794761017671E-2"/>
    <n v="31.553766125791771"/>
    <n v="34.829439871574856"/>
    <x v="5"/>
  </r>
  <r>
    <x v="0"/>
    <x v="65"/>
    <n v="512"/>
    <n v="188"/>
    <n v="4"/>
    <n v="12"/>
    <n v="12"/>
    <n v="12"/>
    <n v="12"/>
    <s v="A13 Bionic"/>
    <x v="0"/>
    <n v="80"/>
    <n v="3046"/>
    <n v="5.8"/>
    <n v="1199"/>
    <x v="0"/>
    <n v="0.10283036457177318"/>
    <n v="28.164464736904989"/>
    <n v="42.571375355445824"/>
    <x v="5"/>
  </r>
  <r>
    <x v="0"/>
    <x v="66"/>
    <n v="64"/>
    <n v="226"/>
    <n v="4"/>
    <n v="12"/>
    <n v="12"/>
    <n v="12"/>
    <n v="12"/>
    <s v="A13 Bionic"/>
    <x v="0"/>
    <n v="80"/>
    <n v="3969"/>
    <n v="6.5"/>
    <n v="1099"/>
    <x v="0"/>
    <n v="8.130175051361764E-2"/>
    <n v="35.160072129791772"/>
    <n v="31.257046229686122"/>
    <x v="5"/>
  </r>
  <r>
    <x v="0"/>
    <x v="67"/>
    <n v="256"/>
    <n v="226"/>
    <n v="4"/>
    <n v="12"/>
    <n v="12"/>
    <n v="12"/>
    <n v="12"/>
    <s v="A13 Bionic"/>
    <x v="0"/>
    <n v="80"/>
    <n v="3969"/>
    <n v="6.5"/>
    <n v="1199"/>
    <x v="0"/>
    <n v="8.9526188985835711E-2"/>
    <n v="32.349887889486766"/>
    <n v="37.063497842589349"/>
    <x v="5"/>
  </r>
  <r>
    <x v="0"/>
    <x v="68"/>
    <n v="512"/>
    <n v="226"/>
    <n v="4"/>
    <n v="12"/>
    <n v="12"/>
    <n v="12"/>
    <n v="12"/>
    <s v="A13 Bionic"/>
    <x v="0"/>
    <n v="80"/>
    <n v="3969"/>
    <n v="6.5"/>
    <n v="1399"/>
    <x v="0"/>
    <n v="9.4926096966687759E-2"/>
    <n v="31.223891750061618"/>
    <n v="44.80543332646031"/>
    <x v="5"/>
  </r>
  <r>
    <x v="0"/>
    <x v="69"/>
    <n v="64"/>
    <n v="174"/>
    <n v="3"/>
    <n v="7"/>
    <n v="12"/>
    <n v="12"/>
    <m/>
    <s v="A11 Bionic"/>
    <x v="0"/>
    <n v="70"/>
    <n v="2716"/>
    <n v="5.8"/>
    <n v="999"/>
    <x v="0"/>
    <n v="6.7974112494196673E-2"/>
    <n v="41.456370530509822"/>
    <n v="24.097623289640993"/>
    <x v="6"/>
  </r>
  <r>
    <x v="0"/>
    <x v="70"/>
    <n v="256"/>
    <n v="174"/>
    <n v="3"/>
    <n v="7"/>
    <n v="12"/>
    <n v="12"/>
    <m/>
    <s v="A11 Bionic"/>
    <x v="0"/>
    <n v="70"/>
    <n v="2716"/>
    <n v="5.8"/>
    <n v="1099"/>
    <x v="0"/>
    <n v="7.7782578021019844E-2"/>
    <n v="36.750844277296068"/>
    <n v="29.904074902544217"/>
    <x v="6"/>
  </r>
  <r>
    <x v="0"/>
    <x v="71"/>
    <n v="64"/>
    <n v="177"/>
    <n v="4"/>
    <n v="7"/>
    <n v="12"/>
    <n v="12"/>
    <m/>
    <s v="A12 Bionic"/>
    <x v="0"/>
    <n v="75"/>
    <n v="2658"/>
    <n v="5.8"/>
    <n v="999"/>
    <x v="0"/>
    <n v="7.4089737409224629E-2"/>
    <n v="38.034417350912634"/>
    <n v="26.265684334875949"/>
    <x v="7"/>
  </r>
  <r>
    <x v="0"/>
    <x v="72"/>
    <n v="256"/>
    <n v="177"/>
    <n v="4"/>
    <n v="7"/>
    <n v="12"/>
    <n v="12"/>
    <m/>
    <s v="A12 Bionic"/>
    <x v="0"/>
    <n v="75"/>
    <n v="2658"/>
    <n v="5.8"/>
    <n v="1099"/>
    <x v="0"/>
    <n v="8.3421855542725562E-2"/>
    <n v="34.266504787502313"/>
    <n v="32.072135947779174"/>
    <x v="7"/>
  </r>
  <r>
    <x v="0"/>
    <x v="73"/>
    <n v="512"/>
    <n v="177"/>
    <n v="4"/>
    <n v="7"/>
    <n v="12"/>
    <n v="12"/>
    <m/>
    <s v="A12 Bionic"/>
    <x v="0"/>
    <n v="75"/>
    <n v="2658"/>
    <n v="5.8"/>
    <n v="1299"/>
    <x v="0"/>
    <n v="8.9839807540111158E-2"/>
    <n v="32.626655684536736"/>
    <n v="39.814071431650149"/>
    <x v="7"/>
  </r>
  <r>
    <x v="0"/>
    <x v="74"/>
    <n v="64"/>
    <n v="208"/>
    <n v="4"/>
    <n v="7"/>
    <n v="12"/>
    <n v="12"/>
    <m/>
    <s v="A12 Bionic"/>
    <x v="0"/>
    <n v="75"/>
    <n v="3174"/>
    <n v="6.5"/>
    <n v="1099"/>
    <x v="0"/>
    <n v="7.2403775482895449E-2"/>
    <n v="39.481026966783475"/>
    <n v="27.836155349368706"/>
    <x v="7"/>
  </r>
  <r>
    <x v="0"/>
    <x v="75"/>
    <n v="256"/>
    <n v="208"/>
    <n v="4"/>
    <n v="7"/>
    <n v="12"/>
    <n v="12"/>
    <m/>
    <s v="A12 Bionic"/>
    <x v="0"/>
    <n v="75"/>
    <n v="3174"/>
    <n v="6.5"/>
    <n v="1249"/>
    <x v="0"/>
    <n v="7.8489501216832902E-2"/>
    <n v="37.125541471880439"/>
    <n v="33.642606962271927"/>
    <x v="7"/>
  </r>
  <r>
    <x v="0"/>
    <x v="76"/>
    <n v="512"/>
    <n v="208"/>
    <n v="4"/>
    <n v="7"/>
    <n v="12"/>
    <n v="12"/>
    <m/>
    <s v="A12 Bionic"/>
    <x v="0"/>
    <n v="75"/>
    <n v="3174"/>
    <n v="6.5"/>
    <n v="1399"/>
    <x v="0"/>
    <n v="8.7678497840675176E-2"/>
    <n v="33.804892293315397"/>
    <n v="41.384542446142895"/>
    <x v="7"/>
  </r>
  <r>
    <x v="0"/>
    <x v="77"/>
    <n v="64"/>
    <n v="194"/>
    <n v="3"/>
    <n v="7"/>
    <n v="12"/>
    <n v="12"/>
    <m/>
    <s v="A12 Bionic"/>
    <x v="0"/>
    <n v="75"/>
    <n v="2942"/>
    <n v="6.1"/>
    <n v="749"/>
    <x v="0"/>
    <n v="9.3832202775319437E-2"/>
    <n v="28.762084697947984"/>
    <n v="26.041227813136821"/>
    <x v="7"/>
  </r>
  <r>
    <x v="0"/>
    <x v="78"/>
    <n v="128"/>
    <n v="194"/>
    <n v="3"/>
    <n v="7"/>
    <n v="12"/>
    <n v="12"/>
    <m/>
    <s v="A12 Bionic"/>
    <x v="0"/>
    <n v="75"/>
    <n v="2942"/>
    <n v="6.1"/>
    <n v="799"/>
    <x v="0"/>
    <n v="9.5418350538787014E-2"/>
    <n v="28.559467925387573"/>
    <n v="27.976711684104561"/>
    <x v="7"/>
  </r>
  <r>
    <x v="0"/>
    <x v="79"/>
    <n v="256"/>
    <n v="194"/>
    <n v="3"/>
    <n v="7"/>
    <n v="12"/>
    <n v="12"/>
    <m/>
    <s v="A12 Bionic"/>
    <x v="0"/>
    <n v="75"/>
    <n v="2942"/>
    <n v="6.1"/>
    <n v="899"/>
    <x v="0"/>
    <n v="9.8261198075719161E-2"/>
    <n v="28.228116340085318"/>
    <n v="31.847679426040045"/>
    <x v="7"/>
  </r>
  <r>
    <x v="0"/>
    <x v="80"/>
    <n v="64"/>
    <n v="458"/>
    <n v="4"/>
    <n v="12"/>
    <n v="12"/>
    <m/>
    <m/>
    <s v="A14 Bionic"/>
    <x v="0"/>
    <n v="85"/>
    <n v="7608"/>
    <n v="10.9"/>
    <n v="599"/>
    <x v="1"/>
    <n v="0.18750838541871373"/>
    <n v="13.918528694084202"/>
    <n v="43.03615799955876"/>
    <x v="4"/>
  </r>
  <r>
    <x v="0"/>
    <x v="81"/>
    <n v="256"/>
    <n v="458"/>
    <n v="4"/>
    <n v="12"/>
    <n v="12"/>
    <m/>
    <m/>
    <s v="A14 Bionic"/>
    <x v="0"/>
    <n v="85"/>
    <n v="7608"/>
    <n v="10.9"/>
    <n v="749"/>
    <x v="1"/>
    <n v="0.17599053631873468"/>
    <n v="15.334970959637173"/>
    <n v="48.842609612461985"/>
    <x v="4"/>
  </r>
  <r>
    <x v="0"/>
    <x v="82"/>
    <n v="32"/>
    <n v="490"/>
    <n v="3"/>
    <n v="12"/>
    <n v="8"/>
    <m/>
    <m/>
    <s v="A13 Bionic"/>
    <x v="0"/>
    <n v="80"/>
    <n v="8612"/>
    <n v="10.199999999999999"/>
    <n v="329"/>
    <x v="1"/>
    <n v="0.29371703003663857"/>
    <n v="8.1217619586069691"/>
    <n v="40.508451451392887"/>
    <x v="4"/>
  </r>
  <r>
    <x v="0"/>
    <x v="83"/>
    <n v="128"/>
    <n v="490"/>
    <n v="3"/>
    <n v="12"/>
    <n v="8"/>
    <m/>
    <m/>
    <s v="A13 Bionic"/>
    <x v="0"/>
    <n v="80"/>
    <n v="8612"/>
    <n v="10.199999999999999"/>
    <n v="429"/>
    <x v="1"/>
    <n v="0.25119897748138076"/>
    <n v="9.8821337275670373"/>
    <n v="43.411677257844495"/>
    <x v="4"/>
  </r>
  <r>
    <x v="0"/>
    <x v="84"/>
    <n v="64"/>
    <n v="300.5"/>
    <n v="3"/>
    <n v="7"/>
    <n v="8"/>
    <m/>
    <m/>
    <s v="A12 Bionic"/>
    <x v="0"/>
    <n v="75"/>
    <n v="5124"/>
    <n v="7.9"/>
    <n v="399"/>
    <x v="0"/>
    <n v="0.19243451949561291"/>
    <n v="12.760360809444981"/>
    <n v="31.268708303660791"/>
    <x v="5"/>
  </r>
  <r>
    <x v="0"/>
    <x v="85"/>
    <n v="256"/>
    <n v="300.5"/>
    <n v="3"/>
    <n v="7"/>
    <n v="8"/>
    <m/>
    <m/>
    <s v="A12 Bionic"/>
    <x v="0"/>
    <n v="75"/>
    <n v="5124"/>
    <n v="7.9"/>
    <n v="499"/>
    <x v="0"/>
    <n v="0.18866770610948136"/>
    <n v="13.459146261890094"/>
    <n v="37.075159916564012"/>
    <x v="5"/>
  </r>
  <r>
    <x v="0"/>
    <x v="86"/>
    <n v="128"/>
    <n v="468"/>
    <n v="4"/>
    <n v="7"/>
    <n v="12"/>
    <n v="10"/>
    <m/>
    <s v="A12Z Bionic"/>
    <x v="0"/>
    <n v="78"/>
    <n v="7812"/>
    <n v="11"/>
    <n v="799"/>
    <x v="1"/>
    <n v="0.14590243195223446"/>
    <n v="18.677531863197583"/>
    <n v="42.778671499651331"/>
    <x v="4"/>
  </r>
  <r>
    <x v="0"/>
    <x v="87"/>
    <n v="256"/>
    <n v="468"/>
    <n v="4"/>
    <n v="7"/>
    <n v="12"/>
    <n v="10"/>
    <m/>
    <s v="A12Z Bionic"/>
    <x v="0"/>
    <n v="78"/>
    <n v="7812"/>
    <n v="11"/>
    <n v="899"/>
    <x v="1"/>
    <n v="0.14393040636833493"/>
    <n v="19.271317305248683"/>
    <n v="46.649639241586812"/>
    <x v="4"/>
  </r>
  <r>
    <x v="0"/>
    <x v="88"/>
    <n v="512"/>
    <n v="468"/>
    <n v="6"/>
    <n v="7"/>
    <n v="12"/>
    <n v="10"/>
    <m/>
    <s v="A12Z Bionic"/>
    <x v="0"/>
    <n v="78"/>
    <n v="7812"/>
    <n v="11"/>
    <n v="1099"/>
    <x v="1"/>
    <n v="0.14667840670897692"/>
    <n v="19.488726912672298"/>
    <n v="56.391574725457779"/>
    <x v="4"/>
  </r>
  <r>
    <x v="0"/>
    <x v="89"/>
    <n v="128"/>
    <n v="682"/>
    <n v="6"/>
    <n v="7"/>
    <n v="12"/>
    <n v="10"/>
    <m/>
    <s v="A12Z Bionic"/>
    <x v="0"/>
    <n v="78"/>
    <n v="9720"/>
    <n v="12.9"/>
    <n v="999"/>
    <x v="1"/>
    <n v="0.14066869203407248"/>
    <n v="20.032602516552963"/>
    <n v="49.868707731535387"/>
    <x v="4"/>
  </r>
  <r>
    <x v="0"/>
    <x v="90"/>
    <n v="256"/>
    <n v="682"/>
    <n v="6"/>
    <n v="7"/>
    <n v="12"/>
    <n v="10"/>
    <m/>
    <s v="A12Z Bionic"/>
    <x v="0"/>
    <n v="78"/>
    <n v="9720"/>
    <n v="12.9"/>
    <n v="1099"/>
    <x v="1"/>
    <n v="0.13978063237073762"/>
    <n v="20.450439834578685"/>
    <n v="53.739675473470875"/>
    <x v="4"/>
  </r>
  <r>
    <x v="0"/>
    <x v="91"/>
    <n v="512"/>
    <n v="682"/>
    <n v="6"/>
    <n v="7"/>
    <n v="12"/>
    <n v="10"/>
    <m/>
    <s v="A12Z Bionic"/>
    <x v="0"/>
    <n v="78"/>
    <n v="9720"/>
    <n v="12.9"/>
    <n v="1299"/>
    <x v="1"/>
    <n v="0.13873225965211594"/>
    <n v="21.128268758300642"/>
    <n v="61.481610957341836"/>
    <x v="4"/>
  </r>
  <r>
    <x v="0"/>
    <x v="92"/>
    <n v="128"/>
    <n v="708"/>
    <n v="6"/>
    <n v="7"/>
    <n v="12"/>
    <n v="10"/>
    <m/>
    <s v="A12Z Bionic"/>
    <x v="0"/>
    <n v="78"/>
    <n v="10307"/>
    <n v="13"/>
    <n v="1099"/>
    <x v="1"/>
    <n v="0.13247231404636034"/>
    <n v="21.578662929800846"/>
    <n v="50.929939615593362"/>
    <x v="4"/>
  </r>
  <r>
    <x v="0"/>
    <x v="93"/>
    <n v="256"/>
    <n v="708"/>
    <n v="6"/>
    <n v="7"/>
    <n v="12"/>
    <n v="10"/>
    <m/>
    <s v="A12Z Bionic"/>
    <x v="0"/>
    <n v="78"/>
    <n v="10307"/>
    <n v="13"/>
    <n v="1199"/>
    <x v="1"/>
    <n v="0.13237057143181519"/>
    <n v="21.879199776338648"/>
    <n v="54.800907357528843"/>
    <x v="4"/>
  </r>
  <r>
    <x v="0"/>
    <x v="94"/>
    <n v="512"/>
    <n v="708"/>
    <n v="6"/>
    <n v="7"/>
    <n v="12"/>
    <n v="10"/>
    <m/>
    <s v="A12Z Bionic"/>
    <x v="0"/>
    <n v="78"/>
    <n v="10307"/>
    <n v="13"/>
    <n v="1399"/>
    <x v="1"/>
    <n v="0.1325050897483209"/>
    <n v="22.368666604229595"/>
    <n v="62.542842841399811"/>
    <x v="4"/>
  </r>
  <r>
    <x v="0"/>
    <x v="95"/>
    <n v="128"/>
    <n v="708"/>
    <n v="6"/>
    <n v="7"/>
    <n v="12"/>
    <n v="10"/>
    <m/>
    <s v="A12Z Bionic"/>
    <x v="0"/>
    <n v="78"/>
    <n v="10307"/>
    <n v="13"/>
    <n v="1599"/>
    <x v="1"/>
    <n v="9.631678265493554E-2"/>
    <n v="31.396070996134259"/>
    <n v="50.929939615593362"/>
    <x v="4"/>
  </r>
  <r>
    <x v="0"/>
    <x v="96"/>
    <n v="128"/>
    <n v="708"/>
    <n v="6"/>
    <n v="7"/>
    <n v="12"/>
    <n v="10"/>
    <m/>
    <s v="A12Z Bionic"/>
    <x v="0"/>
    <n v="78"/>
    <n v="10307"/>
    <n v="13"/>
    <n v="1799"/>
    <x v="1"/>
    <n v="8.7135809947296347E-2"/>
    <n v="35.323034222667623"/>
    <n v="50.929939615593362"/>
    <x v="4"/>
  </r>
  <r>
    <x v="1"/>
    <x v="97"/>
    <n v="64"/>
    <n v="147"/>
    <n v="4"/>
    <n v="8"/>
    <n v="12"/>
    <m/>
    <m/>
    <s v="Snapdragon 670"/>
    <x v="1"/>
    <n v="22"/>
    <n v="3000"/>
    <n v="5.6"/>
    <n v="399"/>
    <x v="0"/>
    <n v="8.2488307886137022E-2"/>
    <n v="29.768266120159698"/>
    <n v="13.403535106459854"/>
    <x v="5"/>
  </r>
  <r>
    <x v="1"/>
    <x v="98"/>
    <n v="64"/>
    <n v="167"/>
    <n v="4"/>
    <n v="8"/>
    <n v="12"/>
    <m/>
    <m/>
    <s v="Snapdragon 670"/>
    <x v="1"/>
    <n v="22"/>
    <n v="3700"/>
    <n v="6"/>
    <n v="479"/>
    <x v="0"/>
    <n v="7.8829746177591226E-2"/>
    <n v="32.015493368624966"/>
    <n v="14.961506120952606"/>
    <x v="5"/>
  </r>
  <r>
    <x v="1"/>
    <x v="99"/>
    <n v="64"/>
    <n v="162"/>
    <n v="6"/>
    <n v="8"/>
    <n v="12"/>
    <m/>
    <m/>
    <s v="Snapdragon 855"/>
    <x v="0"/>
    <n v="75"/>
    <n v="2800"/>
    <n v="5.7"/>
    <n v="799"/>
    <x v="0"/>
    <n v="9.7426332928463352E-2"/>
    <n v="27.970849767144749"/>
    <n v="28.565453200443169"/>
    <x v="5"/>
  </r>
  <r>
    <x v="1"/>
    <x v="100"/>
    <n v="64"/>
    <n v="193"/>
    <n v="6"/>
    <n v="8"/>
    <n v="12"/>
    <m/>
    <m/>
    <s v="Snapdragon 855"/>
    <x v="0"/>
    <n v="75"/>
    <n v="3700"/>
    <n v="6.3"/>
    <n v="899"/>
    <x v="0"/>
    <n v="9.4590142382453599E-2"/>
    <n v="29.323653196150516"/>
    <n v="30.657844504790994"/>
    <x v="5"/>
  </r>
  <r>
    <x v="1"/>
    <x v="101"/>
    <n v="128"/>
    <n v="207"/>
    <n v="8"/>
    <n v="8"/>
    <n v="50"/>
    <m/>
    <m/>
    <s v="Google Tensor"/>
    <x v="0"/>
    <n v="75"/>
    <n v="4614"/>
    <n v="6.4"/>
    <n v="699"/>
    <x v="0"/>
    <n v="0.14572512640985241"/>
    <n v="18.328930972042809"/>
    <n v="38.136430382447699"/>
    <x v="3"/>
  </r>
  <r>
    <x v="1"/>
    <x v="102"/>
    <n v="256"/>
    <n v="210"/>
    <n v="12"/>
    <n v="11.1"/>
    <n v="50"/>
    <m/>
    <m/>
    <s v="Google Tensor"/>
    <x v="0"/>
    <n v="75"/>
    <n v="5003"/>
    <n v="6.71"/>
    <n v="899"/>
    <x v="0"/>
    <n v="0.14655109369800681"/>
    <n v="18.926699630869368"/>
    <n v="47.49903668010532"/>
    <x v="3"/>
  </r>
  <r>
    <x v="1"/>
    <x v="103"/>
    <n v="128"/>
    <n v="178"/>
    <n v="6"/>
    <n v="8"/>
    <n v="12"/>
    <m/>
    <m/>
    <s v="Google Tensor"/>
    <x v="0"/>
    <n v="75"/>
    <n v="4410"/>
    <n v="6.1"/>
    <n v="449"/>
    <x v="0"/>
    <n v="0.18671851372892376"/>
    <n v="13.385961432990817"/>
    <n v="33.542603738077574"/>
    <x v="2"/>
  </r>
  <r>
    <x v="1"/>
    <x v="104"/>
    <n v="128"/>
    <n v="197"/>
    <n v="8"/>
    <n v="10.8"/>
    <n v="50"/>
    <m/>
    <m/>
    <s v="Google Tensor G2"/>
    <x v="0"/>
    <n v="80"/>
    <n v="4355"/>
    <n v="6.3"/>
    <n v="599"/>
    <x v="0"/>
    <n v="0.17147118789038659"/>
    <n v="15.220287880084639"/>
    <n v="39.355365990401296"/>
    <x v="2"/>
  </r>
  <r>
    <x v="1"/>
    <x v="105"/>
    <n v="256"/>
    <n v="212"/>
    <n v="12"/>
    <n v="10.8"/>
    <n v="50"/>
    <m/>
    <m/>
    <s v="Google Tensor G2"/>
    <x v="0"/>
    <n v="80"/>
    <n v="5000"/>
    <n v="6.7"/>
    <n v="899"/>
    <x v="0"/>
    <n v="0.15023991863188688"/>
    <n v="18.461994363786037"/>
    <n v="48.694630833786064"/>
    <x v="2"/>
  </r>
  <r>
    <x v="1"/>
    <x v="106"/>
    <n v="128"/>
    <n v="193"/>
    <n v="8"/>
    <n v="10.8"/>
    <n v="64"/>
    <m/>
    <m/>
    <s v="Google Tensor G2"/>
    <x v="0"/>
    <n v="80"/>
    <n v="4385"/>
    <n v="6.1"/>
    <n v="499"/>
    <x v="0"/>
    <n v="0.20311343009121047"/>
    <n v="12.50191211030457"/>
    <n v="39.913894418494948"/>
    <x v="1"/>
  </r>
  <r>
    <x v="1"/>
    <x v="107"/>
    <n v="128"/>
    <n v="187"/>
    <n v="8"/>
    <n v="10.5"/>
    <n v="50"/>
    <m/>
    <m/>
    <s v="Google Tensor G3"/>
    <x v="0"/>
    <n v="85"/>
    <n v="4575"/>
    <n v="6.2"/>
    <n v="699"/>
    <x v="0"/>
    <n v="0.15598250171768235"/>
    <n v="17.123624467138622"/>
    <n v="40.82079710060377"/>
    <x v="1"/>
  </r>
  <r>
    <x v="1"/>
    <x v="108"/>
    <n v="256"/>
    <n v="213"/>
    <n v="12"/>
    <n v="10.5"/>
    <n v="50"/>
    <m/>
    <m/>
    <s v="Google Tensor G3"/>
    <x v="0"/>
    <n v="85"/>
    <n v="5050"/>
    <n v="6.7"/>
    <n v="999"/>
    <x v="0"/>
    <n v="0.1410025228807385"/>
    <n v="19.985174282487385"/>
    <n v="49.987054697611718"/>
    <x v="1"/>
  </r>
  <r>
    <x v="1"/>
    <x v="109"/>
    <n v="128"/>
    <n v="194"/>
    <n v="8"/>
    <n v="10.5"/>
    <n v="64"/>
    <m/>
    <m/>
    <s v="Google Tensor G3"/>
    <x v="0"/>
    <n v="85"/>
    <n v="4385"/>
    <n v="6.1"/>
    <n v="549"/>
    <x v="0"/>
    <n v="0.19295999072932632"/>
    <n v="13.349610117181447"/>
    <n v="41.124796543190165"/>
    <x v="0"/>
  </r>
  <r>
    <x v="1"/>
    <x v="110"/>
    <n v="128"/>
    <n v="195"/>
    <n v="8"/>
    <n v="10.8"/>
    <n v="50"/>
    <m/>
    <m/>
    <s v="Google Tensor G4"/>
    <x v="0"/>
    <n v="90"/>
    <n v="4600"/>
    <n v="6.3"/>
    <n v="799"/>
    <x v="0"/>
    <n v="0.14420190143419648"/>
    <n v="18.897790490990282"/>
    <n v="42.280075037392947"/>
    <x v="0"/>
  </r>
  <r>
    <x v="1"/>
    <x v="111"/>
    <n v="256"/>
    <n v="216"/>
    <n v="12"/>
    <n v="10.8"/>
    <n v="50"/>
    <m/>
    <m/>
    <s v="Google Tensor G4"/>
    <x v="0"/>
    <n v="90"/>
    <n v="5050"/>
    <n v="6.7"/>
    <n v="1099"/>
    <x v="0"/>
    <n v="0.1334385215941517"/>
    <n v="21.42241519305334"/>
    <n v="51.301405098169013"/>
    <x v="0"/>
  </r>
  <r>
    <x v="1"/>
    <x v="112"/>
    <n v="512"/>
    <n v="222"/>
    <n v="16"/>
    <n v="10.8"/>
    <n v="50"/>
    <m/>
    <m/>
    <s v="Google Tensor G4"/>
    <x v="0"/>
    <n v="90"/>
    <n v="5250"/>
    <n v="6.8"/>
    <n v="1299"/>
    <x v="0"/>
    <n v="0.14322713759798181"/>
    <n v="20.465203148886754"/>
    <n v="63.47359420522838"/>
    <x v="0"/>
  </r>
  <r>
    <x v="1"/>
    <x v="113"/>
    <n v="512"/>
    <n v="250"/>
    <n v="16"/>
    <n v="10.8"/>
    <n v="50"/>
    <m/>
    <m/>
    <s v="Google Tensor G4"/>
    <x v="0"/>
    <n v="90"/>
    <n v="5500"/>
    <n v="7.6"/>
    <n v="1799"/>
    <x v="0"/>
    <n v="0.1107198157447921"/>
    <n v="27.799009383132805"/>
    <n v="64.714536234213895"/>
    <x v="0"/>
  </r>
  <r>
    <x v="1"/>
    <x v="114"/>
    <n v="128"/>
    <n v="143"/>
    <n v="6"/>
    <n v="8"/>
    <n v="12"/>
    <m/>
    <m/>
    <s v="Snapdragon 730G"/>
    <x v="2"/>
    <n v="45"/>
    <n v="3140"/>
    <n v="5.8"/>
    <n v="349"/>
    <x v="0"/>
    <n v="0.16263357850153407"/>
    <n v="14.798360264153617"/>
    <n v="23.583693988406953"/>
    <x v="4"/>
  </r>
  <r>
    <x v="1"/>
    <x v="115"/>
    <n v="128"/>
    <n v="168"/>
    <n v="6"/>
    <n v="8"/>
    <n v="12"/>
    <m/>
    <m/>
    <s v="Snapdragon 765G"/>
    <x v="2"/>
    <n v="52"/>
    <n v="3885"/>
    <n v="6.2"/>
    <n v="499"/>
    <x v="0"/>
    <n v="0.13730935385835341"/>
    <n v="18.493323142735935"/>
    <n v="26.982711335793866"/>
    <x v="4"/>
  </r>
  <r>
    <x v="1"/>
    <x v="116"/>
    <n v="128"/>
    <n v="151"/>
    <n v="8"/>
    <n v="8"/>
    <n v="12"/>
    <m/>
    <m/>
    <s v="Snapdragon 765G"/>
    <x v="2"/>
    <n v="52"/>
    <n v="4080"/>
    <n v="6"/>
    <n v="699"/>
    <x v="0"/>
    <n v="0.11116617144404792"/>
    <n v="24.026965651171643"/>
    <n v="29.092312785069229"/>
    <x v="4"/>
  </r>
  <r>
    <x v="1"/>
    <x v="117"/>
    <n v="128"/>
    <n v="183"/>
    <n v="6"/>
    <n v="8"/>
    <n v="12"/>
    <m/>
    <m/>
    <s v="Snapdragon 765G"/>
    <x v="2"/>
    <n v="52"/>
    <n v="4680"/>
    <n v="6.34"/>
    <n v="449"/>
    <x v="0"/>
    <n v="0.15822937620966387"/>
    <n v="15.796098572043086"/>
    <n v="28.424740321301112"/>
    <x v="3"/>
  </r>
  <r>
    <x v="2"/>
    <x v="118"/>
    <n v="128"/>
    <n v="179"/>
    <n v="6"/>
    <n v="16"/>
    <n v="64"/>
    <m/>
    <m/>
    <s v="Dimensity 700"/>
    <x v="1"/>
    <n v="18"/>
    <n v="4000"/>
    <n v="6.6"/>
    <n v="299"/>
    <x v="0"/>
    <n v="0.18125659798442897"/>
    <n v="12.973490968024544"/>
    <n v="23.0469964280962"/>
    <x v="3"/>
  </r>
  <r>
    <x v="2"/>
    <x v="119"/>
    <n v="128"/>
    <n v="191"/>
    <n v="6"/>
    <n v="8"/>
    <n v="13"/>
    <m/>
    <m/>
    <s v="Unisoc T610"/>
    <x v="1"/>
    <n v="5"/>
    <n v="5000"/>
    <n v="6.5"/>
    <n v="219"/>
    <x v="0"/>
    <n v="0.17723997623813686"/>
    <n v="12.662076530213048"/>
    <n v="17.295741300997744"/>
    <x v="3"/>
  </r>
  <r>
    <x v="2"/>
    <x v="120"/>
    <n v="128"/>
    <n v="190"/>
    <n v="6"/>
    <n v="5"/>
    <n v="13"/>
    <m/>
    <m/>
    <s v="Helio G25"/>
    <x v="1"/>
    <n v="3"/>
    <n v="5000"/>
    <n v="6.52"/>
    <n v="179"/>
    <x v="0"/>
    <n v="0.19820297636618958"/>
    <n v="10.985448254868849"/>
    <n v="16.294282749970225"/>
    <x v="2"/>
  </r>
  <r>
    <x v="2"/>
    <x v="121"/>
    <n v="128"/>
    <n v="198"/>
    <n v="6"/>
    <n v="5"/>
    <n v="13"/>
    <m/>
    <m/>
    <s v="Dimensity 700"/>
    <x v="1"/>
    <n v="18"/>
    <n v="5000"/>
    <n v="6.74"/>
    <n v="229"/>
    <x v="0"/>
    <n v="0.20039097755045782"/>
    <n v="11.274496561435502"/>
    <n v="20.311328204515682"/>
    <x v="2"/>
  </r>
  <r>
    <x v="2"/>
    <x v="122"/>
    <n v="128"/>
    <n v="175"/>
    <n v="6"/>
    <n v="8"/>
    <n v="50"/>
    <m/>
    <m/>
    <s v="Dimensity 700"/>
    <x v="1"/>
    <n v="18"/>
    <n v="4000"/>
    <n v="6.7"/>
    <n v="279"/>
    <x v="0"/>
    <n v="0.17561801588042292"/>
    <n v="13.251699047175466"/>
    <n v="21.053904031986562"/>
    <x v="2"/>
  </r>
  <r>
    <x v="2"/>
    <x v="123"/>
    <n v="128"/>
    <n v="196"/>
    <n v="4"/>
    <n v="5"/>
    <n v="13"/>
    <m/>
    <m/>
    <s v="Helio G37"/>
    <x v="1"/>
    <n v="6"/>
    <n v="5200"/>
    <n v="6.74"/>
    <n v="159"/>
    <x v="0"/>
    <n v="0.20995924139261837"/>
    <n v="10.187663077456101"/>
    <n v="15.607112130734393"/>
    <x v="1"/>
  </r>
  <r>
    <x v="2"/>
    <x v="124"/>
    <n v="128"/>
    <n v="199"/>
    <n v="6"/>
    <n v="5"/>
    <n v="13"/>
    <m/>
    <m/>
    <s v="Dimensity 6020"/>
    <x v="1"/>
    <n v="20"/>
    <n v="5200"/>
    <n v="6.74"/>
    <n v="199"/>
    <x v="0"/>
    <n v="0.23503390649893488"/>
    <n v="9.4123364390366184"/>
    <n v="21.142465666087926"/>
    <x v="1"/>
  </r>
  <r>
    <x v="2"/>
    <x v="125"/>
    <n v="128"/>
    <n v="185"/>
    <n v="6"/>
    <n v="8"/>
    <n v="108"/>
    <m/>
    <m/>
    <s v="Snapdragon 6 Gen 1"/>
    <x v="1"/>
    <n v="30"/>
    <n v="5800"/>
    <n v="6.78"/>
    <n v="299"/>
    <x v="0"/>
    <n v="0.23654262589587285"/>
    <n v="9.9412561602364207"/>
    <n v="30.076681978677556"/>
    <x v="1"/>
  </r>
  <r>
    <x v="2"/>
    <x v="126"/>
    <n v="128"/>
    <n v="179"/>
    <n v="6"/>
    <n v="8"/>
    <n v="100"/>
    <m/>
    <m/>
    <s v="Dimensity 6020"/>
    <x v="1"/>
    <n v="20"/>
    <n v="4500"/>
    <n v="6.7"/>
    <n v="249"/>
    <x v="0"/>
    <n v="0.22913791438421893"/>
    <n v="9.9846523092623833"/>
    <n v="24.938274492443981"/>
    <x v="1"/>
  </r>
  <r>
    <x v="2"/>
    <x v="127"/>
    <n v="128"/>
    <n v="191"/>
    <n v="4"/>
    <n v="5"/>
    <n v="13"/>
    <m/>
    <m/>
    <s v="Helio G36"/>
    <x v="1"/>
    <n v="5"/>
    <n v="5000"/>
    <n v="6.52"/>
    <n v="149"/>
    <x v="0"/>
    <n v="0.21039422827775364"/>
    <n v="10.068021135306967"/>
    <n v="14.799333255020732"/>
    <x v="1"/>
  </r>
  <r>
    <x v="2"/>
    <x v="128"/>
    <n v="128"/>
    <n v="195"/>
    <n v="6"/>
    <n v="5"/>
    <n v="50"/>
    <m/>
    <m/>
    <s v="Dimensity 6100+"/>
    <x v="1"/>
    <n v="22"/>
    <n v="5200"/>
    <n v="6.74"/>
    <n v="189"/>
    <x v="0"/>
    <n v="0.2734672208769231"/>
    <n v="8.0271983331943204"/>
    <n v="23.544952068574329"/>
    <x v="1"/>
  </r>
  <r>
    <x v="2"/>
    <x v="129"/>
    <n v="128"/>
    <n v="185"/>
    <n v="6"/>
    <n v="8"/>
    <n v="108"/>
    <m/>
    <m/>
    <s v="Snapdragon 6 Gen 1"/>
    <x v="1"/>
    <n v="30"/>
    <n v="5800"/>
    <n v="6.78"/>
    <n v="299"/>
    <x v="0"/>
    <n v="0.23654262589587285"/>
    <n v="9.9412561602364207"/>
    <n v="30.076681978677556"/>
    <x v="1"/>
  </r>
  <r>
    <x v="2"/>
    <x v="130"/>
    <n v="128"/>
    <n v="179"/>
    <n v="6"/>
    <n v="8"/>
    <n v="100"/>
    <m/>
    <m/>
    <s v="Dimensity 6020"/>
    <x v="1"/>
    <n v="20"/>
    <n v="4500"/>
    <n v="6.7"/>
    <n v="249"/>
    <x v="0"/>
    <n v="0.22913791438421893"/>
    <n v="9.9846523092623833"/>
    <n v="24.938274492443981"/>
    <x v="1"/>
  </r>
  <r>
    <x v="2"/>
    <x v="131"/>
    <n v="128"/>
    <n v="191"/>
    <n v="4"/>
    <n v="5"/>
    <n v="13"/>
    <m/>
    <m/>
    <s v="Helio G36"/>
    <x v="1"/>
    <n v="5"/>
    <n v="5000"/>
    <n v="6.52"/>
    <n v="149"/>
    <x v="0"/>
    <n v="0.21039422827775364"/>
    <n v="10.068021135306967"/>
    <n v="14.799333255020732"/>
    <x v="1"/>
  </r>
  <r>
    <x v="2"/>
    <x v="132"/>
    <n v="128"/>
    <n v="195"/>
    <n v="6"/>
    <n v="5"/>
    <n v="50"/>
    <m/>
    <m/>
    <s v="Dimensity 6100+"/>
    <x v="1"/>
    <n v="22"/>
    <n v="5200"/>
    <n v="6.74"/>
    <n v="189"/>
    <x v="0"/>
    <n v="0.2734672208769231"/>
    <n v="8.0271983331943204"/>
    <n v="23.544952068574329"/>
    <x v="1"/>
  </r>
  <r>
    <x v="2"/>
    <x v="133"/>
    <n v="128"/>
    <n v="460"/>
    <n v="4"/>
    <n v="2"/>
    <n v="5"/>
    <m/>
    <m/>
    <s v="Snapdragon 662"/>
    <x v="1"/>
    <n v="20"/>
    <n v="5100"/>
    <n v="10.1"/>
    <n v="199"/>
    <x v="1"/>
    <n v="0.23958572589845439"/>
    <n v="9.2335142014540263"/>
    <n v="21.551924398260301"/>
    <x v="4"/>
  </r>
  <r>
    <x v="2"/>
    <x v="134"/>
    <n v="128"/>
    <n v="460"/>
    <n v="3"/>
    <n v="2"/>
    <n v="5"/>
    <m/>
    <m/>
    <s v="MT8768T"/>
    <x v="1"/>
    <n v="4"/>
    <n v="5100"/>
    <n v="9.6999999999999993"/>
    <n v="159"/>
    <x v="1"/>
    <n v="0.21652072741072437"/>
    <n v="9.8789341643433151"/>
    <n v="16.094853691189595"/>
    <x v="4"/>
  </r>
  <r>
    <x v="2"/>
    <x v="135"/>
    <n v="128"/>
    <n v="460"/>
    <n v="4"/>
    <n v="2"/>
    <n v="5"/>
    <m/>
    <m/>
    <s v="Helio G80"/>
    <x v="1"/>
    <n v="10"/>
    <n v="5100"/>
    <n v="10.1"/>
    <n v="229"/>
    <x v="1"/>
    <n v="0.18771659527987739"/>
    <n v="12.035736019859115"/>
    <n v="19.026671873007778"/>
    <x v="3"/>
  </r>
  <r>
    <x v="2"/>
    <x v="136"/>
    <n v="128"/>
    <n v="460"/>
    <n v="4"/>
    <n v="2"/>
    <n v="5"/>
    <m/>
    <m/>
    <s v="Helio G80"/>
    <x v="1"/>
    <n v="10"/>
    <n v="5100"/>
    <n v="10.1"/>
    <n v="189"/>
    <x v="1"/>
    <n v="0.22098881596761796"/>
    <n v="9.9334240513247707"/>
    <n v="19.026671873007778"/>
    <x v="2"/>
  </r>
  <r>
    <x v="2"/>
    <x v="137"/>
    <n v="128"/>
    <n v="450"/>
    <n v="3"/>
    <n v="2"/>
    <n v="5"/>
    <m/>
    <m/>
    <s v="MT8786"/>
    <x v="1"/>
    <n v="5"/>
    <n v="5000"/>
    <n v="9.6999999999999993"/>
    <n v="149"/>
    <x v="1"/>
    <n v="0.23008406607015741"/>
    <n v="9.2064329930657731"/>
    <n v="16.184335465453977"/>
    <x v="2"/>
  </r>
  <r>
    <x v="2"/>
    <x v="138"/>
    <n v="128"/>
    <n v="550"/>
    <n v="8"/>
    <n v="8"/>
    <n v="13"/>
    <m/>
    <m/>
    <s v="Snapdragon 6 Gen 1"/>
    <x v="1"/>
    <n v="30"/>
    <n v="8300"/>
    <n v="12.1"/>
    <n v="399"/>
    <x v="1"/>
    <n v="0.2266146431965412"/>
    <n v="10.835724763057472"/>
    <n v="36.822640730071093"/>
    <x v="0"/>
  </r>
  <r>
    <x v="2"/>
    <x v="139"/>
    <n v="128"/>
    <n v="460"/>
    <n v="4"/>
    <n v="2"/>
    <n v="5"/>
    <m/>
    <m/>
    <s v="Helio G80"/>
    <x v="1"/>
    <n v="10"/>
    <n v="5100"/>
    <n v="10.1"/>
    <n v="189"/>
    <x v="1"/>
    <n v="0.22098881596761796"/>
    <n v="9.9334240513247707"/>
    <n v="19.026671873007778"/>
    <x v="1"/>
  </r>
  <r>
    <x v="2"/>
    <x v="140"/>
    <n v="128"/>
    <n v="450"/>
    <n v="4"/>
    <n v="2"/>
    <n v="5"/>
    <m/>
    <m/>
    <s v="MT8786"/>
    <x v="1"/>
    <n v="5"/>
    <n v="5000"/>
    <n v="9.6999999999999993"/>
    <n v="149"/>
    <x v="1"/>
    <n v="0.24430053276174818"/>
    <n v="8.6706873419421875"/>
    <n v="17.184335465453977"/>
    <x v="1"/>
  </r>
  <r>
    <x v="2"/>
    <x v="141"/>
    <n v="128"/>
    <n v="460"/>
    <n v="3"/>
    <n v="2"/>
    <n v="5"/>
    <m/>
    <m/>
    <s v="MT8786"/>
    <x v="1"/>
    <n v="5"/>
    <n v="5100"/>
    <n v="9.6999999999999993"/>
    <n v="129"/>
    <x v="1"/>
    <n v="0.26269201767249162"/>
    <n v="7.8911732849746672"/>
    <n v="16.347378943714848"/>
    <x v="1"/>
  </r>
  <r>
    <x v="2"/>
    <x v="142"/>
    <n v="128"/>
    <n v="190"/>
    <n v="8"/>
    <n v="32"/>
    <n v="50"/>
    <m/>
    <m/>
    <s v="Kirin 990 5G"/>
    <x v="0"/>
    <n v="80"/>
    <n v="4000"/>
    <n v="6.57"/>
    <n v="599"/>
    <x v="0"/>
    <n v="0.18610031771207361"/>
    <n v="14.023838728043442"/>
    <n v="42.712984056368313"/>
    <x v="4"/>
  </r>
  <r>
    <x v="2"/>
    <x v="143"/>
    <n v="128"/>
    <n v="192"/>
    <n v="12"/>
    <n v="32"/>
    <n v="50"/>
    <m/>
    <m/>
    <s v="Kirin 990 5G"/>
    <x v="0"/>
    <n v="80"/>
    <n v="4000"/>
    <n v="6.57"/>
    <n v="699"/>
    <x v="0"/>
    <n v="0.17849744819663912"/>
    <n v="14.963719704922305"/>
    <n v="46.712984056368313"/>
    <x v="4"/>
  </r>
  <r>
    <x v="2"/>
    <x v="144"/>
    <n v="128"/>
    <n v="213"/>
    <n v="8"/>
    <n v="32"/>
    <n v="40"/>
    <m/>
    <m/>
    <s v="Kirin 990 5G"/>
    <x v="0"/>
    <n v="80"/>
    <n v="4200"/>
    <n v="6.57"/>
    <n v="549"/>
    <x v="0"/>
    <n v="0.19953569602778332"/>
    <n v="12.909673285188928"/>
    <n v="42.526250500069537"/>
    <x v="4"/>
  </r>
  <r>
    <x v="2"/>
    <x v="145"/>
    <n v="128"/>
    <n v="202"/>
    <n v="8"/>
    <n v="13"/>
    <n v="50"/>
    <m/>
    <m/>
    <s v="Snapdragon 888"/>
    <x v="0"/>
    <n v="85"/>
    <n v="4600"/>
    <n v="6.76"/>
    <n v="899"/>
    <x v="0"/>
    <n v="0.12920183550087733"/>
    <n v="21.468182090793388"/>
    <n v="41.875925786260936"/>
    <x v="3"/>
  </r>
  <r>
    <x v="2"/>
    <x v="146"/>
    <n v="128"/>
    <n v="213"/>
    <n v="8"/>
    <n v="13"/>
    <n v="50"/>
    <m/>
    <m/>
    <s v="Snapdragon 888+"/>
    <x v="0"/>
    <n v="88"/>
    <n v="4600"/>
    <n v="6.76"/>
    <n v="1099"/>
    <x v="0"/>
    <n v="0.11089270177893425"/>
    <n v="25.777849817706954"/>
    <n v="42.633501543836701"/>
    <x v="3"/>
  </r>
  <r>
    <x v="2"/>
    <x v="147"/>
    <n v="128"/>
    <n v="236"/>
    <n v="12"/>
    <n v="13"/>
    <n v="50"/>
    <m/>
    <m/>
    <s v="Snapdragon 888+"/>
    <x v="0"/>
    <n v="88"/>
    <n v="4600"/>
    <n v="6.76"/>
    <n v="1299"/>
    <x v="0"/>
    <n v="0.10522774117216488"/>
    <n v="27.85551067356386"/>
    <n v="46.633501543836701"/>
    <x v="3"/>
  </r>
  <r>
    <x v="2"/>
    <x v="148"/>
    <n v="128"/>
    <n v="199"/>
    <n v="8"/>
    <n v="12"/>
    <n v="50"/>
    <m/>
    <m/>
    <s v="Snapdragon 8 Gen 1"/>
    <x v="0"/>
    <n v="90"/>
    <n v="4800"/>
    <n v="6.81"/>
    <n v="899"/>
    <x v="0"/>
    <n v="0.13373230841979991"/>
    <n v="20.740900712567825"/>
    <n v="43.344308545638825"/>
    <x v="2"/>
  </r>
  <r>
    <x v="2"/>
    <x v="149"/>
    <n v="128"/>
    <n v="215"/>
    <n v="8"/>
    <n v="12"/>
    <n v="50"/>
    <m/>
    <m/>
    <s v="Snapdragon 8 Gen 1"/>
    <x v="0"/>
    <n v="90"/>
    <n v="4600"/>
    <n v="6.81"/>
    <n v="1099"/>
    <x v="0"/>
    <n v="0.1118933853658967"/>
    <n v="25.547313659243159"/>
    <n v="43.01822158911709"/>
    <x v="2"/>
  </r>
  <r>
    <x v="2"/>
    <x v="150"/>
    <n v="128"/>
    <n v="242"/>
    <n v="12"/>
    <n v="12"/>
    <n v="50"/>
    <m/>
    <m/>
    <s v="Snapdragon 8 Gen 1"/>
    <x v="0"/>
    <n v="90"/>
    <n v="4600"/>
    <n v="6.81"/>
    <n v="1299"/>
    <x v="0"/>
    <n v="0.10609585572518537"/>
    <n v="27.62758683966619"/>
    <n v="47.01822158911709"/>
    <x v="2"/>
  </r>
  <r>
    <x v="2"/>
    <x v="151"/>
    <n v="128"/>
    <n v="288"/>
    <n v="12"/>
    <n v="42"/>
    <n v="50"/>
    <m/>
    <m/>
    <s v="Snapdragon 8 Gen 1"/>
    <x v="0"/>
    <n v="90"/>
    <n v="4750"/>
    <n v="7.9"/>
    <n v="1799"/>
    <x v="0"/>
    <n v="9.1653733739056054E-2"/>
    <n v="33.581841908930734"/>
    <n v="53.570617266278511"/>
    <x v="2"/>
  </r>
  <r>
    <x v="2"/>
    <x v="152"/>
    <n v="128"/>
    <n v="209"/>
    <n v="12"/>
    <n v="50"/>
    <n v="54"/>
    <m/>
    <m/>
    <s v="Dimensity 9000"/>
    <x v="0"/>
    <n v="90"/>
    <n v="4500"/>
    <n v="6.78"/>
    <n v="799"/>
    <x v="0"/>
    <n v="0.18274448224014464"/>
    <n v="14.912063490512528"/>
    <n v="53.580780453915459"/>
    <x v="2"/>
  </r>
  <r>
    <x v="2"/>
    <x v="153"/>
    <n v="128"/>
    <n v="204"/>
    <n v="8"/>
    <n v="12"/>
    <n v="50"/>
    <m/>
    <m/>
    <s v="Snapdragon 8 Gen 2"/>
    <x v="0"/>
    <n v="95"/>
    <n v="5100"/>
    <n v="6.81"/>
    <n v="999"/>
    <x v="0"/>
    <n v="0.12720611385747263"/>
    <n v="22.152708769952216"/>
    <n v="45.096065243047697"/>
    <x v="1"/>
  </r>
  <r>
    <x v="2"/>
    <x v="154"/>
    <n v="128"/>
    <n v="219"/>
    <n v="12"/>
    <n v="12"/>
    <n v="50"/>
    <m/>
    <m/>
    <s v="Snapdragon 8 Gen 2"/>
    <x v="0"/>
    <n v="95"/>
    <n v="5100"/>
    <n v="6.81"/>
    <n v="1199"/>
    <x v="0"/>
    <n v="0.11859063151776544"/>
    <n v="24.421509016341911"/>
    <n v="49.096065243047697"/>
    <x v="1"/>
  </r>
  <r>
    <x v="2"/>
    <x v="155"/>
    <n v="128"/>
    <n v="234"/>
    <n v="16"/>
    <n v="12"/>
    <n v="50"/>
    <m/>
    <m/>
    <s v="Snapdragon 8 Gen 2"/>
    <x v="0"/>
    <n v="95"/>
    <n v="5450"/>
    <n v="6.81"/>
    <n v="1399"/>
    <x v="0"/>
    <n v="0.11369987171617672"/>
    <n v="26.068298329680626"/>
    <n v="53.666717416960743"/>
    <x v="1"/>
  </r>
  <r>
    <x v="2"/>
    <x v="156"/>
    <n v="128"/>
    <n v="267"/>
    <n v="12"/>
    <n v="16"/>
    <n v="50"/>
    <m/>
    <m/>
    <s v="Snapdragon 8+ Gen 1"/>
    <x v="0"/>
    <n v="92"/>
    <n v="5000"/>
    <n v="7.9"/>
    <n v="1699"/>
    <x v="0"/>
    <n v="8.9806987839143274E-2"/>
    <n v="33.979648075305128"/>
    <n v="50.000517846291537"/>
    <x v="1"/>
  </r>
  <r>
    <x v="2"/>
    <x v="157"/>
    <n v="128"/>
    <n v="193"/>
    <n v="12"/>
    <n v="50"/>
    <n v="160"/>
    <m/>
    <m/>
    <s v="Snapdragon 8+ Gen 1"/>
    <x v="0"/>
    <n v="92"/>
    <n v="4800"/>
    <n v="6.78"/>
    <n v="799"/>
    <x v="0"/>
    <n v="0.20467513225273809"/>
    <n v="13.314257045847933"/>
    <n v="60.010858829646004"/>
    <x v="2"/>
  </r>
  <r>
    <x v="2"/>
    <x v="158"/>
    <n v="128"/>
    <n v="203"/>
    <n v="8"/>
    <n v="12"/>
    <n v="50"/>
    <m/>
    <m/>
    <s v="Snapdragon 8 Gen 3"/>
    <x v="0"/>
    <n v="100"/>
    <n v="5200"/>
    <n v="6.81"/>
    <n v="1099"/>
    <x v="0"/>
    <n v="0.12100626730149251"/>
    <n v="23.623366591540776"/>
    <n v="46.521734983934834"/>
    <x v="0"/>
  </r>
  <r>
    <x v="2"/>
    <x v="159"/>
    <n v="128"/>
    <n v="219"/>
    <n v="12"/>
    <n v="12"/>
    <n v="50"/>
    <m/>
    <m/>
    <s v="Snapdragon 8 Gen 3"/>
    <x v="0"/>
    <n v="100"/>
    <n v="5500"/>
    <n v="6.81"/>
    <n v="1299"/>
    <x v="0"/>
    <n v="0.11510519188020019"/>
    <n v="25.465162947879673"/>
    <n v="51.010865418717444"/>
    <x v="0"/>
  </r>
  <r>
    <x v="2"/>
    <x v="160"/>
    <n v="128"/>
    <n v="234"/>
    <n v="16"/>
    <n v="12"/>
    <n v="50"/>
    <m/>
    <m/>
    <s v="Snapdragon 8 Gen 3"/>
    <x v="0"/>
    <n v="100"/>
    <n v="5550"/>
    <n v="6.81"/>
    <n v="1499"/>
    <x v="0"/>
    <n v="0.11006777892742638"/>
    <n v="27.208840954833601"/>
    <n v="55.092387157847874"/>
    <x v="0"/>
  </r>
  <r>
    <x v="2"/>
    <x v="161"/>
    <n v="128"/>
    <n v="231"/>
    <n v="12"/>
    <n v="16"/>
    <n v="50"/>
    <m/>
    <m/>
    <s v="Snapdragon 8 Gen 2"/>
    <x v="0"/>
    <n v="95"/>
    <n v="5000"/>
    <n v="7.92"/>
    <n v="1899"/>
    <x v="0"/>
    <n v="8.297309671107074E-2"/>
    <n v="37.397403106775641"/>
    <n v="50.778926937200623"/>
    <x v="0"/>
  </r>
  <r>
    <x v="2"/>
    <x v="162"/>
    <n v="128"/>
    <n v="192"/>
    <n v="12"/>
    <n v="50"/>
    <n v="200"/>
    <m/>
    <m/>
    <s v="Snapdragon 8+ Gen 1"/>
    <x v="0"/>
    <n v="92"/>
    <n v="5000"/>
    <n v="6.78"/>
    <n v="699"/>
    <x v="0"/>
    <n v="0.23839494931553493"/>
    <n v="11.204036790742293"/>
    <n v="62.388227837449797"/>
    <x v="1"/>
  </r>
  <r>
    <x v="2"/>
    <x v="163"/>
    <n v="128"/>
    <n v="203"/>
    <n v="8"/>
    <n v="12"/>
    <n v="50"/>
    <m/>
    <m/>
    <s v="Snapdragon 8 Gen 3"/>
    <x v="0"/>
    <n v="100"/>
    <n v="5200"/>
    <n v="6.81"/>
    <n v="1099"/>
    <x v="0"/>
    <n v="0.12100626730149251"/>
    <n v="23.623366591540776"/>
    <n v="46.521734983934834"/>
    <x v="0"/>
  </r>
  <r>
    <x v="2"/>
    <x v="164"/>
    <n v="128"/>
    <n v="219"/>
    <n v="12"/>
    <n v="12"/>
    <n v="50"/>
    <m/>
    <m/>
    <s v="Snapdragon 8 Gen 3"/>
    <x v="0"/>
    <n v="100"/>
    <n v="5500"/>
    <n v="6.81"/>
    <n v="1299"/>
    <x v="0"/>
    <n v="0.11510519188020019"/>
    <n v="25.465162947879673"/>
    <n v="51.010865418717444"/>
    <x v="0"/>
  </r>
  <r>
    <x v="2"/>
    <x v="165"/>
    <n v="128"/>
    <n v="234"/>
    <n v="16"/>
    <n v="12"/>
    <n v="50"/>
    <m/>
    <m/>
    <s v="Snapdragon 8 Gen 3"/>
    <x v="0"/>
    <n v="100"/>
    <n v="5550"/>
    <n v="6.81"/>
    <n v="1499"/>
    <x v="0"/>
    <n v="0.11006777892742638"/>
    <n v="27.208840954833601"/>
    <n v="55.092387157847874"/>
    <x v="0"/>
  </r>
  <r>
    <x v="2"/>
    <x v="166"/>
    <n v="128"/>
    <n v="231"/>
    <n v="12"/>
    <n v="16"/>
    <n v="50"/>
    <m/>
    <m/>
    <s v="Snapdragon 8 Gen 2"/>
    <x v="0"/>
    <n v="95"/>
    <n v="5000"/>
    <n v="7.92"/>
    <n v="1899"/>
    <x v="0"/>
    <n v="8.297309671107074E-2"/>
    <n v="37.397403106775641"/>
    <n v="50.778926937200623"/>
    <x v="0"/>
  </r>
  <r>
    <x v="2"/>
    <x v="167"/>
    <n v="128"/>
    <n v="530"/>
    <n v="8"/>
    <n v="8"/>
    <n v="13"/>
    <m/>
    <m/>
    <s v="Dimensity 9000"/>
    <x v="0"/>
    <n v="90"/>
    <n v="8500"/>
    <n v="12.1"/>
    <n v="649"/>
    <x v="1"/>
    <n v="0.21286081129762316"/>
    <n v="12.409120202537826"/>
    <n v="52.300242838107984"/>
    <x v="1"/>
  </r>
  <r>
    <x v="2"/>
    <x v="168"/>
    <n v="128"/>
    <n v="590"/>
    <n v="12"/>
    <n v="8"/>
    <n v="13"/>
    <m/>
    <m/>
    <s v="Snapdragon 8+ Gen 1"/>
    <x v="0"/>
    <n v="92"/>
    <n v="10000"/>
    <n v="13"/>
    <n v="799"/>
    <x v="1"/>
    <n v="0.20528081561478304"/>
    <n v="13.274973180248955"/>
    <n v="60.188445517071528"/>
    <x v="1"/>
  </r>
  <r>
    <x v="2"/>
    <x v="169"/>
    <n v="128"/>
    <n v="580"/>
    <n v="16"/>
    <n v="12"/>
    <n v="16"/>
    <m/>
    <m/>
    <s v="Snapdragon 8 Gen 2"/>
    <x v="0"/>
    <n v="95"/>
    <n v="10500"/>
    <n v="13.2"/>
    <n v="899"/>
    <x v="1"/>
    <n v="0.20614163262146443"/>
    <n v="13.45545048675798"/>
    <n v="66.81307332554492"/>
    <x v="0"/>
  </r>
  <r>
    <x v="2"/>
    <x v="170"/>
    <n v="128"/>
    <n v="530"/>
    <n v="8"/>
    <n v="8"/>
    <n v="13"/>
    <m/>
    <m/>
    <s v="Dimensity 9000"/>
    <x v="0"/>
    <n v="90"/>
    <n v="8500"/>
    <n v="12.1"/>
    <n v="649"/>
    <x v="1"/>
    <n v="0.21286081129762316"/>
    <n v="12.409120202537826"/>
    <n v="52.300242838107984"/>
    <x v="0"/>
  </r>
  <r>
    <x v="2"/>
    <x v="171"/>
    <n v="128"/>
    <n v="610"/>
    <n v="12"/>
    <n v="12"/>
    <n v="16"/>
    <m/>
    <m/>
    <s v="Snapdragon 8 Gen 3"/>
    <x v="0"/>
    <n v="100"/>
    <n v="10500"/>
    <n v="13.5"/>
    <n v="999"/>
    <x v="1"/>
    <n v="0.18162499552337968"/>
    <n v="15.515265318639649"/>
    <n v="64.388199588171176"/>
    <x v="0"/>
  </r>
  <r>
    <x v="2"/>
    <x v="172"/>
    <n v="128"/>
    <n v="590"/>
    <n v="12"/>
    <n v="12"/>
    <n v="16"/>
    <m/>
    <m/>
    <s v="Snapdragon 8 Gen 3"/>
    <x v="0"/>
    <n v="100"/>
    <n v="10500"/>
    <n v="13"/>
    <n v="799"/>
    <x v="1"/>
    <n v="0.21782827124589094"/>
    <n v="12.510301376948938"/>
    <n v="63.867366254837847"/>
    <x v="0"/>
  </r>
  <r>
    <x v="2"/>
    <x v="173"/>
    <n v="128"/>
    <n v="530"/>
    <n v="8"/>
    <n v="8"/>
    <n v="13"/>
    <m/>
    <m/>
    <s v="Dimensity 9000"/>
    <x v="0"/>
    <n v="90"/>
    <n v="8500"/>
    <n v="12.1"/>
    <n v="649"/>
    <x v="1"/>
    <n v="0.21286081129762316"/>
    <n v="12.409120202537826"/>
    <n v="52.300242838107984"/>
    <x v="0"/>
  </r>
  <r>
    <x v="2"/>
    <x v="174"/>
    <n v="128"/>
    <n v="175"/>
    <n v="4"/>
    <n v="8"/>
    <n v="48"/>
    <m/>
    <m/>
    <s v="Kirin 710F"/>
    <x v="2"/>
    <n v="25"/>
    <n v="3750"/>
    <n v="6.5"/>
    <n v="219"/>
    <x v="0"/>
    <n v="0.20600842799865557"/>
    <n v="10.893855970567753"/>
    <n v="20.10307466811372"/>
    <x v="4"/>
  </r>
  <r>
    <x v="2"/>
    <x v="175"/>
    <n v="128"/>
    <n v="185"/>
    <n v="8"/>
    <n v="32"/>
    <n v="40"/>
    <m/>
    <m/>
    <s v="Kirin 985 5G"/>
    <x v="2"/>
    <n v="45"/>
    <n v="4000"/>
    <n v="6.53"/>
    <n v="449"/>
    <x v="0"/>
    <n v="0.18547999530416062"/>
    <n v="13.475344440795734"/>
    <n v="33.320113038497297"/>
    <x v="4"/>
  </r>
  <r>
    <x v="2"/>
    <x v="176"/>
    <n v="128"/>
    <n v="190"/>
    <n v="6"/>
    <n v="16"/>
    <n v="64"/>
    <m/>
    <m/>
    <s v="Kirin 820 5G"/>
    <x v="2"/>
    <n v="40"/>
    <n v="4000"/>
    <n v="6.5"/>
    <n v="349"/>
    <x v="0"/>
    <n v="0.19652537842015708"/>
    <n v="12.246307856326"/>
    <n v="28.498385316985086"/>
    <x v="4"/>
  </r>
  <r>
    <x v="2"/>
    <x v="177"/>
    <n v="128"/>
    <n v="203"/>
    <n v="6"/>
    <n v="16"/>
    <n v="40"/>
    <m/>
    <m/>
    <s v="Kirin 820 5G"/>
    <x v="2"/>
    <n v="40"/>
    <n v="4300"/>
    <n v="6.63"/>
    <n v="319"/>
    <x v="0"/>
    <n v="0.20761566408624238"/>
    <n v="11.436904260658876"/>
    <n v="27.892163187665133"/>
    <x v="4"/>
  </r>
  <r>
    <x v="2"/>
    <x v="178"/>
    <n v="128"/>
    <n v="227"/>
    <n v="8"/>
    <n v="8"/>
    <n v="48"/>
    <m/>
    <m/>
    <s v="Dimensity 800"/>
    <x v="2"/>
    <n v="35"/>
    <n v="5000"/>
    <n v="7.09"/>
    <n v="379"/>
    <x v="0"/>
    <n v="0.1882529948330246"/>
    <n v="12.943567341958671"/>
    <n v="29.280954004960446"/>
    <x v="4"/>
  </r>
  <r>
    <x v="2"/>
    <x v="179"/>
    <n v="128"/>
    <n v="213"/>
    <n v="6"/>
    <n v="16"/>
    <n v="64"/>
    <m/>
    <m/>
    <s v="Dimensity 800"/>
    <x v="2"/>
    <n v="35"/>
    <n v="4300"/>
    <n v="6.81"/>
    <n v="349"/>
    <x v="0"/>
    <n v="0.19341817640946043"/>
    <n v="12.443040930234378"/>
    <n v="28.047806155808104"/>
    <x v="4"/>
  </r>
  <r>
    <x v="2"/>
    <x v="180"/>
    <n v="128"/>
    <n v="206"/>
    <n v="4"/>
    <n v="8"/>
    <n v="48"/>
    <m/>
    <m/>
    <s v="Kirin 710A"/>
    <x v="2"/>
    <n v="22"/>
    <n v="5000"/>
    <n v="6.67"/>
    <n v="229"/>
    <x v="0"/>
    <n v="0.21271651078421597"/>
    <n v="10.621213083112405"/>
    <n v="21.560625722132166"/>
    <x v="4"/>
  </r>
  <r>
    <x v="2"/>
    <x v="181"/>
    <n v="128"/>
    <n v="189"/>
    <n v="8"/>
    <n v="16"/>
    <n v="50"/>
    <m/>
    <m/>
    <s v="Dimensity 1000+"/>
    <x v="2"/>
    <n v="32"/>
    <n v="4000"/>
    <n v="6.72"/>
    <n v="599"/>
    <x v="0"/>
    <n v="0.12194972042890632"/>
    <n v="21.400957982131985"/>
    <n v="27.989401245501021"/>
    <x v="3"/>
  </r>
  <r>
    <x v="2"/>
    <x v="182"/>
    <n v="128"/>
    <n v="175"/>
    <n v="8"/>
    <n v="32"/>
    <n v="108"/>
    <m/>
    <m/>
    <s v="Snapdragon 778G"/>
    <x v="2"/>
    <n v="60"/>
    <n v="4300"/>
    <n v="6.57"/>
    <n v="549"/>
    <x v="0"/>
    <n v="0.19296548922156226"/>
    <n v="13.349229724149106"/>
    <n v="41.125968415004849"/>
    <x v="3"/>
  </r>
  <r>
    <x v="2"/>
    <x v="183"/>
    <n v="128"/>
    <n v="187"/>
    <n v="8"/>
    <n v="32"/>
    <n v="108"/>
    <m/>
    <m/>
    <s v="Snapdragon 778G"/>
    <x v="2"/>
    <n v="60"/>
    <n v="4000"/>
    <n v="6.72"/>
    <n v="649"/>
    <x v="0"/>
    <n v="0.1660269500025815"/>
    <n v="15.909558019109889"/>
    <n v="40.793087980222239"/>
    <x v="3"/>
  </r>
  <r>
    <x v="2"/>
    <x v="184"/>
    <n v="128"/>
    <n v="191"/>
    <n v="8"/>
    <n v="16"/>
    <n v="108"/>
    <m/>
    <m/>
    <s v="Dimensity 900"/>
    <x v="2"/>
    <n v="28"/>
    <n v="4000"/>
    <n v="6.78"/>
    <n v="449"/>
    <x v="0"/>
    <n v="0.16708818072863649"/>
    <n v="14.958609356456877"/>
    <n v="30.016159209758982"/>
    <x v="3"/>
  </r>
  <r>
    <x v="2"/>
    <x v="185"/>
    <n v="128"/>
    <n v="192"/>
    <n v="6"/>
    <n v="16"/>
    <n v="64"/>
    <m/>
    <m/>
    <s v="Dimensity 900"/>
    <x v="2"/>
    <n v="28"/>
    <n v="4300"/>
    <n v="6.67"/>
    <n v="379"/>
    <x v="0"/>
    <n v="0.16802251386123404"/>
    <n v="14.502016783054668"/>
    <n v="26.134296054798"/>
    <x v="3"/>
  </r>
  <r>
    <x v="2"/>
    <x v="186"/>
    <n v="128"/>
    <n v="179"/>
    <n v="8"/>
    <n v="16"/>
    <n v="64"/>
    <m/>
    <m/>
    <s v="Dimensity 800U"/>
    <x v="2"/>
    <n v="36"/>
    <n v="3800"/>
    <n v="6.53"/>
    <n v="319"/>
    <x v="0"/>
    <n v="0.21730178895886493"/>
    <n v="10.927109641131185"/>
    <n v="29.193447350362341"/>
    <x v="3"/>
  </r>
  <r>
    <x v="2"/>
    <x v="187"/>
    <n v="128"/>
    <n v="179"/>
    <n v="8"/>
    <n v="32"/>
    <n v="108"/>
    <m/>
    <m/>
    <s v="Snapdragon 778G"/>
    <x v="2"/>
    <n v="60"/>
    <n v="4800"/>
    <n v="6.67"/>
    <n v="549"/>
    <x v="0"/>
    <n v="0.19727929388966464"/>
    <n v="13.057328996180095"/>
    <n v="42.04535247297585"/>
    <x v="3"/>
  </r>
  <r>
    <x v="2"/>
    <x v="188"/>
    <n v="128"/>
    <n v="192"/>
    <n v="8"/>
    <n v="50"/>
    <n v="108"/>
    <m/>
    <m/>
    <s v="Snapdragon 778G+"/>
    <x v="2"/>
    <n v="62"/>
    <n v="4800"/>
    <n v="6.78"/>
    <n v="649"/>
    <x v="0"/>
    <n v="0.18627649871942081"/>
    <n v="14.180078603369939"/>
    <n v="45.768434587221762"/>
    <x v="3"/>
  </r>
  <r>
    <x v="2"/>
    <x v="189"/>
    <n v="128"/>
    <n v="191"/>
    <n v="8"/>
    <n v="16"/>
    <n v="64"/>
    <m/>
    <m/>
    <s v="Dimensity 900"/>
    <x v="2"/>
    <n v="28"/>
    <n v="4300"/>
    <n v="6.67"/>
    <n v="449"/>
    <x v="0"/>
    <n v="0.15661258694112581"/>
    <n v="15.959169517711388"/>
    <n v="28.134296054798"/>
    <x v="3"/>
  </r>
  <r>
    <x v="2"/>
    <x v="190"/>
    <n v="128"/>
    <n v="189"/>
    <n v="6"/>
    <n v="16"/>
    <n v="48"/>
    <m/>
    <m/>
    <s v="Snapdragon 695"/>
    <x v="2"/>
    <n v="40"/>
    <n v="4800"/>
    <n v="6.81"/>
    <n v="379"/>
    <x v="0"/>
    <n v="0.18840847198077051"/>
    <n v="12.932886140042283"/>
    <n v="29.305136989225893"/>
    <x v="3"/>
  </r>
  <r>
    <x v="2"/>
    <x v="191"/>
    <n v="128"/>
    <n v="175"/>
    <n v="6"/>
    <n v="16"/>
    <n v="48"/>
    <m/>
    <m/>
    <s v="Dimensity 810"/>
    <x v="2"/>
    <n v="25"/>
    <n v="4000"/>
    <n v="6.7"/>
    <n v="299"/>
    <x v="0"/>
    <n v="0.18952494700831782"/>
    <n v="12.407500299908497"/>
    <n v="24.098327041926815"/>
    <x v="3"/>
  </r>
  <r>
    <x v="2"/>
    <x v="192"/>
    <n v="128"/>
    <n v="228"/>
    <n v="8"/>
    <n v="8"/>
    <n v="64"/>
    <m/>
    <m/>
    <s v="Dimensity 900"/>
    <x v="2"/>
    <n v="28"/>
    <n v="5000"/>
    <n v="7.09"/>
    <n v="499"/>
    <x v="0"/>
    <n v="0.14418470986024842"/>
    <n v="17.611480814325159"/>
    <n v="28.333790057796499"/>
    <x v="3"/>
  </r>
  <r>
    <x v="2"/>
    <x v="193"/>
    <n v="128"/>
    <n v="178"/>
    <n v="8"/>
    <n v="32"/>
    <n v="54"/>
    <m/>
    <m/>
    <s v="Snapdragon 778G+"/>
    <x v="2"/>
    <n v="62"/>
    <n v="4800"/>
    <n v="6.67"/>
    <n v="549"/>
    <x v="0"/>
    <n v="0.18665562545821338"/>
    <n v="13.800498314089809"/>
    <n v="39.781172208795596"/>
    <x v="2"/>
  </r>
  <r>
    <x v="2"/>
    <x v="194"/>
    <n v="128"/>
    <n v="192"/>
    <n v="8"/>
    <n v="50"/>
    <n v="54"/>
    <m/>
    <m/>
    <s v="Dimensity 8000"/>
    <x v="2"/>
    <n v="65"/>
    <n v="4500"/>
    <n v="6.78"/>
    <n v="699"/>
    <x v="0"/>
    <n v="0.16533229715699543"/>
    <n v="16.155257192864717"/>
    <n v="43.267649140784144"/>
    <x v="2"/>
  </r>
  <r>
    <x v="2"/>
    <x v="195"/>
    <n v="128"/>
    <n v="172"/>
    <n v="6"/>
    <n v="8"/>
    <n v="50"/>
    <m/>
    <m/>
    <s v="Snapdragon 695"/>
    <x v="2"/>
    <n v="40"/>
    <n v="5100"/>
    <n v="6.67"/>
    <n v="299"/>
    <x v="0"/>
    <n v="0.22313344103312582"/>
    <n v="10.538675090376717"/>
    <n v="28.371687848411682"/>
    <x v="2"/>
  </r>
  <r>
    <x v="2"/>
    <x v="196"/>
    <n v="128"/>
    <n v="180"/>
    <n v="8"/>
    <n v="32"/>
    <n v="160"/>
    <m/>
    <m/>
    <s v="Snapdragon 782G"/>
    <x v="2"/>
    <n v="65"/>
    <n v="4800"/>
    <n v="6.67"/>
    <n v="549"/>
    <x v="0"/>
    <n v="0.21571576995618813"/>
    <n v="11.94136453248006"/>
    <n v="45.974645402268791"/>
    <x v="2"/>
  </r>
  <r>
    <x v="2"/>
    <x v="197"/>
    <n v="128"/>
    <n v="175"/>
    <n v="8"/>
    <n v="32"/>
    <n v="64"/>
    <m/>
    <m/>
    <s v="Dimensity 900"/>
    <x v="2"/>
    <n v="28"/>
    <n v="4600"/>
    <n v="6.67"/>
    <n v="399"/>
    <x v="0"/>
    <n v="0.19313203190481251"/>
    <n v="12.714275704231367"/>
    <n v="31.38204717923578"/>
    <x v="2"/>
  </r>
  <r>
    <x v="2"/>
    <x v="198"/>
    <n v="128"/>
    <n v="183"/>
    <n v="12"/>
    <n v="50"/>
    <n v="200"/>
    <m/>
    <m/>
    <s v="Snapdragon 7 Gen 1"/>
    <x v="2"/>
    <n v="55"/>
    <n v="5000"/>
    <n v="6.7"/>
    <n v="599"/>
    <x v="0"/>
    <n v="0.23075289119091097"/>
    <n v="11.310111129539619"/>
    <n v="52.961460160682122"/>
    <x v="1"/>
  </r>
  <r>
    <x v="2"/>
    <x v="199"/>
    <n v="128"/>
    <n v="175"/>
    <n v="8"/>
    <n v="32"/>
    <n v="64"/>
    <m/>
    <m/>
    <s v="Dimensity 900"/>
    <x v="2"/>
    <n v="28"/>
    <n v="4600"/>
    <n v="6.67"/>
    <n v="399"/>
    <x v="0"/>
    <n v="0.19313203190481251"/>
    <n v="12.714275704231367"/>
    <n v="31.38204717923578"/>
    <x v="1"/>
  </r>
  <r>
    <x v="2"/>
    <x v="200"/>
    <n v="128"/>
    <n v="480"/>
    <n v="6"/>
    <n v="8"/>
    <n v="13"/>
    <m/>
    <m/>
    <s v="Dimensity 800"/>
    <x v="2"/>
    <n v="35"/>
    <n v="7250"/>
    <n v="10.4"/>
    <n v="399"/>
    <x v="1"/>
    <n v="0.20064282673330122"/>
    <n v="12.238333863887114"/>
    <n v="32.602477137624881"/>
    <x v="3"/>
  </r>
  <r>
    <x v="2"/>
    <x v="201"/>
    <n v="128"/>
    <n v="485"/>
    <n v="8"/>
    <n v="8"/>
    <n v="13"/>
    <m/>
    <m/>
    <s v="Dimensity 1300T"/>
    <x v="2"/>
    <n v="42"/>
    <n v="7250"/>
    <n v="11"/>
    <n v="499"/>
    <x v="1"/>
    <n v="0.18826057231278817"/>
    <n v="13.488253117619546"/>
    <n v="36.995153905301656"/>
    <x v="3"/>
  </r>
  <r>
    <x v="2"/>
    <x v="202"/>
    <n v="128"/>
    <n v="520"/>
    <n v="6"/>
    <n v="5"/>
    <n v="5"/>
    <m/>
    <m/>
    <s v="Snapdragon 680"/>
    <x v="2"/>
    <n v="32"/>
    <n v="7250"/>
    <n v="12"/>
    <n v="299"/>
    <x v="1"/>
    <n v="0.25626236120280105"/>
    <n v="9.1762630524772604"/>
    <n v="32.584070257149044"/>
    <x v="2"/>
  </r>
  <r>
    <x v="2"/>
    <x v="203"/>
    <n v="128"/>
    <n v="510"/>
    <n v="6"/>
    <n v="5"/>
    <n v="13"/>
    <m/>
    <m/>
    <s v="Dimensity 8020"/>
    <x v="2"/>
    <n v="58"/>
    <n v="7250"/>
    <n v="11"/>
    <n v="449"/>
    <x v="1"/>
    <n v="0.21441635469857895"/>
    <n v="11.656791885648564"/>
    <n v="38.518316566395349"/>
    <x v="1"/>
  </r>
  <r>
    <x v="2"/>
    <x v="204"/>
    <n v="128"/>
    <n v="560"/>
    <n v="12"/>
    <n v="8"/>
    <n v="13"/>
    <m/>
    <m/>
    <s v="Dimensity 8100"/>
    <x v="2"/>
    <n v="65"/>
    <n v="9000"/>
    <n v="12.6"/>
    <n v="499"/>
    <x v="1"/>
    <n v="0.26117279908463448"/>
    <n v="9.7227056581796969"/>
    <n v="51.323162249614342"/>
    <x v="0"/>
  </r>
  <r>
    <x v="2"/>
    <x v="205"/>
    <n v="128"/>
    <n v="495"/>
    <n v="6"/>
    <n v="5"/>
    <n v="8"/>
    <m/>
    <m/>
    <s v="Snapdragon 685"/>
    <x v="2"/>
    <n v="35"/>
    <n v="7250"/>
    <n v="11.5"/>
    <n v="299"/>
    <x v="1"/>
    <n v="0.25933420429943993"/>
    <n v="9.0675691746803011"/>
    <n v="32.974658835237612"/>
    <x v="1"/>
  </r>
  <r>
    <x v="2"/>
    <x v="206"/>
    <n v="128"/>
    <n v="505"/>
    <n v="8"/>
    <n v="8"/>
    <n v="13"/>
    <m/>
    <m/>
    <s v="Snapdragon 7s Gen 2"/>
    <x v="2"/>
    <n v="50"/>
    <n v="8000"/>
    <n v="11.6"/>
    <n v="399"/>
    <x v="1"/>
    <n v="0.25148102439232933"/>
    <n v="9.7642909912971305"/>
    <n v="40.863182012460193"/>
    <x v="0"/>
  </r>
  <r>
    <x v="2"/>
    <x v="207"/>
    <n v="128"/>
    <n v="475"/>
    <n v="6"/>
    <n v="5"/>
    <n v="8"/>
    <m/>
    <m/>
    <s v="Snapdragon 685"/>
    <x v="2"/>
    <n v="35"/>
    <n v="8850"/>
    <n v="12.1"/>
    <n v="399"/>
    <x v="1"/>
    <n v="0.22283419033002097"/>
    <n v="11.019556277784437"/>
    <n v="36.208354487411526"/>
    <x v="0"/>
  </r>
  <r>
    <x v="2"/>
    <x v="208"/>
    <n v="128"/>
    <n v="485"/>
    <n v="8"/>
    <n v="8"/>
    <n v="13"/>
    <m/>
    <m/>
    <s v="Snapdragon 7s Gen 2"/>
    <x v="2"/>
    <n v="50"/>
    <n v="9000"/>
    <n v="12.6"/>
    <n v="499"/>
    <x v="1"/>
    <n v="0.22154191874118029"/>
    <n v="11.461967404865659"/>
    <n v="43.53528346173556"/>
    <x v="0"/>
  </r>
  <r>
    <x v="3"/>
    <x v="209"/>
    <n v="128"/>
    <n v="181"/>
    <n v="8"/>
    <n v="13"/>
    <n v="50"/>
    <m/>
    <m/>
    <s v="Snapdragon 888 4G"/>
    <x v="0"/>
    <n v="85"/>
    <n v="4100"/>
    <n v="6.5"/>
    <n v="699"/>
    <x v="0"/>
    <n v="0.15586434388292705"/>
    <n v="17.136605565572008"/>
    <n v="40.789875061623256"/>
    <x v="3"/>
  </r>
  <r>
    <x v="3"/>
    <x v="210"/>
    <n v="128"/>
    <n v="195"/>
    <n v="8"/>
    <n v="13"/>
    <n v="50"/>
    <m/>
    <m/>
    <s v="Snapdragon 888 4G"/>
    <x v="0"/>
    <n v="85"/>
    <n v="4360"/>
    <n v="6.6"/>
    <n v="899"/>
    <x v="0"/>
    <n v="0.12748030032582927"/>
    <n v="21.75809535989595"/>
    <n v="41.317954771768179"/>
    <x v="3"/>
  </r>
  <r>
    <x v="3"/>
    <x v="211"/>
    <n v="128"/>
    <n v="190"/>
    <n v="8"/>
    <n v="10.7"/>
    <n v="40"/>
    <m/>
    <m/>
    <s v="Snapdragon 888 4G"/>
    <x v="0"/>
    <n v="85"/>
    <n v="4000"/>
    <n v="6.9"/>
    <n v="1299"/>
    <x v="1"/>
    <n v="9.0562005520955877E-2"/>
    <n v="32.366470359338344"/>
    <n v="40.134126013070613"/>
    <x v="3"/>
  </r>
  <r>
    <x v="3"/>
    <x v="212"/>
    <n v="128"/>
    <n v="295"/>
    <n v="8"/>
    <n v="16"/>
    <n v="50"/>
    <m/>
    <m/>
    <s v="Kirin 9000 5G"/>
    <x v="0"/>
    <n v="85"/>
    <n v="4500"/>
    <n v="8"/>
    <n v="2699"/>
    <x v="1"/>
    <n v="5.2745364845439187E-2"/>
    <n v="62.014912025634573"/>
    <n v="43.521790353977082"/>
    <x v="3"/>
  </r>
  <r>
    <x v="3"/>
    <x v="213"/>
    <n v="128"/>
    <n v="255"/>
    <n v="8"/>
    <n v="10.7"/>
    <n v="50"/>
    <m/>
    <m/>
    <s v="Snapdragon 888 4G"/>
    <x v="0"/>
    <n v="85"/>
    <n v="4600"/>
    <n v="7.8"/>
    <n v="2499"/>
    <x v="1"/>
    <n v="5.5071629607266109E-2"/>
    <n v="58.713370293422024"/>
    <n v="42.562707395456336"/>
    <x v="2"/>
  </r>
  <r>
    <x v="3"/>
    <x v="214"/>
    <n v="128"/>
    <n v="202"/>
    <n v="8"/>
    <n v="13"/>
    <n v="50"/>
    <m/>
    <m/>
    <s v="Snapdragon 8+ Gen 1 4G"/>
    <x v="0"/>
    <n v="92"/>
    <n v="4460"/>
    <n v="6.7"/>
    <n v="999"/>
    <x v="0"/>
    <n v="0.12228886235695391"/>
    <n v="23.043472150525997"/>
    <n v="43.352841684372493"/>
    <x v="2"/>
  </r>
  <r>
    <x v="3"/>
    <x v="215"/>
    <n v="128"/>
    <n v="205"/>
    <n v="8"/>
    <n v="13"/>
    <n v="50"/>
    <m/>
    <m/>
    <s v="Snapdragon 8+ Gen 1 4G"/>
    <x v="0"/>
    <n v="92"/>
    <n v="4700"/>
    <n v="6.74"/>
    <n v="1199"/>
    <x v="0"/>
    <n v="0.10576381536425315"/>
    <n v="27.383298975082706"/>
    <n v="43.785812698865243"/>
    <x v="2"/>
  </r>
  <r>
    <x v="3"/>
    <x v="216"/>
    <n v="128"/>
    <n v="197"/>
    <n v="8"/>
    <n v="13"/>
    <n v="48"/>
    <n v="13"/>
    <n v="48"/>
    <s v="Snapdragon 8+ Gen 1 4G"/>
    <x v="0"/>
    <n v="92"/>
    <n v="4815"/>
    <n v="6.67"/>
    <n v="999"/>
    <x v="0"/>
    <n v="0.12354408228576992"/>
    <n v="22.809348225386859"/>
    <n v="43.797831929634476"/>
    <x v="1"/>
  </r>
  <r>
    <x v="3"/>
    <x v="217"/>
    <n v="128"/>
    <n v="200"/>
    <n v="8"/>
    <n v="13"/>
    <n v="48"/>
    <n v="13"/>
    <n v="48"/>
    <s v="Snapdragon 8+ Gen 1 4G"/>
    <x v="0"/>
    <n v="92"/>
    <n v="4815"/>
    <n v="6.67"/>
    <n v="1099"/>
    <x v="0"/>
    <n v="0.11392120606708576"/>
    <n v="25.092566265966123"/>
    <n v="43.797831929634476"/>
    <x v="1"/>
  </r>
  <r>
    <x v="3"/>
    <x v="218"/>
    <n v="128"/>
    <n v="206"/>
    <n v="8"/>
    <n v="13"/>
    <n v="48"/>
    <n v="40"/>
    <n v="48"/>
    <s v="Snapdragon 8+ Gen 1 4G"/>
    <x v="0"/>
    <n v="92"/>
    <n v="5100"/>
    <n v="6.73"/>
    <n v="1299"/>
    <x v="0"/>
    <n v="0.10001865800026882"/>
    <n v="29.306256712306375"/>
    <n v="44.325005842677953"/>
    <x v="1"/>
  </r>
  <r>
    <x v="3"/>
    <x v="219"/>
    <n v="128"/>
    <n v="239"/>
    <n v="12"/>
    <n v="8"/>
    <n v="50"/>
    <n v="13"/>
    <n v="12"/>
    <s v="Snapdragon 8+ Gen 1 4G"/>
    <x v="0"/>
    <n v="92"/>
    <n v="4800"/>
    <n v="7.85"/>
    <n v="2499"/>
    <x v="1"/>
    <n v="6.2421373992080718E-2"/>
    <n v="51.800221222362381"/>
    <n v="48.243037211608872"/>
    <x v="1"/>
  </r>
  <r>
    <x v="3"/>
    <x v="220"/>
    <n v="128"/>
    <n v="209"/>
    <n v="12"/>
    <n v="13"/>
    <n v="50"/>
    <n v="12"/>
    <n v="12"/>
    <s v="Kirin 9000S"/>
    <x v="0"/>
    <n v="88"/>
    <n v="4750"/>
    <n v="6.7"/>
    <n v="1099"/>
    <x v="0"/>
    <n v="0.12177054418405264"/>
    <n v="23.475097623087549"/>
    <n v="46.815566761228006"/>
    <x v="1"/>
  </r>
  <r>
    <x v="3"/>
    <x v="221"/>
    <n v="128"/>
    <n v="225"/>
    <n v="12"/>
    <n v="13"/>
    <n v="50"/>
    <n v="40"/>
    <n v="48"/>
    <s v="Kirin 9000S"/>
    <x v="0"/>
    <n v="88"/>
    <n v="5000"/>
    <n v="6.82"/>
    <n v="1299"/>
    <x v="0"/>
    <n v="0.10684039128537895"/>
    <n v="27.435059270298492"/>
    <n v="47.348175456880178"/>
    <x v="1"/>
  </r>
  <r>
    <x v="3"/>
    <x v="222"/>
    <n v="128"/>
    <n v="235"/>
    <n v="12"/>
    <n v="13"/>
    <n v="50"/>
    <n v="48"/>
    <n v="48"/>
    <s v="Kirin 9000S"/>
    <x v="0"/>
    <n v="88"/>
    <n v="5200"/>
    <n v="6.82"/>
    <n v="1499"/>
    <x v="0"/>
    <n v="9.524728272913377E-2"/>
    <n v="31.44254203665686"/>
    <n v="47.67426241340192"/>
    <x v="1"/>
  </r>
  <r>
    <x v="3"/>
    <x v="223"/>
    <n v="128"/>
    <n v="220"/>
    <n v="12"/>
    <n v="13"/>
    <n v="50"/>
    <n v="13"/>
    <n v="12"/>
    <s v="Kirin 9010"/>
    <x v="0"/>
    <n v="90"/>
    <n v="4900"/>
    <n v="6.8"/>
    <n v="999"/>
    <x v="0"/>
    <n v="0.13446478363129827"/>
    <n v="20.956862592132715"/>
    <n v="47.66934915033648"/>
    <x v="0"/>
  </r>
  <r>
    <x v="3"/>
    <x v="224"/>
    <n v="128"/>
    <n v="220"/>
    <n v="12"/>
    <n v="13"/>
    <n v="50"/>
    <n v="12"/>
    <n v="48"/>
    <s v="Kirin 9010"/>
    <x v="0"/>
    <n v="90"/>
    <n v="5050"/>
    <n v="6.8"/>
    <n v="1099"/>
    <x v="0"/>
    <n v="0.12462742267553545"/>
    <n v="22.936969656986047"/>
    <n v="47.913914367727784"/>
    <x v="0"/>
  </r>
  <r>
    <x v="3"/>
    <x v="225"/>
    <n v="128"/>
    <n v="220"/>
    <n v="12"/>
    <n v="13"/>
    <n v="50"/>
    <n v="12"/>
    <n v="48"/>
    <s v="Kirin 9010"/>
    <x v="0"/>
    <n v="90"/>
    <n v="5050"/>
    <n v="6.8"/>
    <n v="1199"/>
    <x v="0"/>
    <n v="0.11573516808786626"/>
    <n v="25.024046058895607"/>
    <n v="47.913914367727784"/>
    <x v="0"/>
  </r>
  <r>
    <x v="3"/>
    <x v="226"/>
    <n v="128"/>
    <n v="226"/>
    <n v="16"/>
    <n v="13"/>
    <n v="50"/>
    <n v="40"/>
    <n v="50"/>
    <s v="Kirin 9010"/>
    <x v="0"/>
    <n v="90"/>
    <n v="5200"/>
    <n v="6.8"/>
    <n v="1299"/>
    <x v="0"/>
    <n v="0.11769476466520977"/>
    <n v="24.904867057716288"/>
    <n v="52.158479585119089"/>
    <x v="0"/>
  </r>
  <r>
    <x v="3"/>
    <x v="227"/>
    <n v="128"/>
    <n v="220"/>
    <n v="12"/>
    <n v="13"/>
    <n v="50"/>
    <n v="12"/>
    <m/>
    <s v="Kirin 9010"/>
    <x v="0"/>
    <n v="90"/>
    <n v="4900"/>
    <n v="6.7"/>
    <n v="899"/>
    <x v="0"/>
    <n v="0.14675517657070158"/>
    <n v="18.900379501511356"/>
    <n v="47.565182483669815"/>
    <x v="0"/>
  </r>
  <r>
    <x v="3"/>
    <x v="228"/>
    <n v="128"/>
    <n v="220"/>
    <n v="12"/>
    <n v="13"/>
    <n v="50"/>
    <n v="12"/>
    <n v="40"/>
    <s v="Kirin 9010"/>
    <x v="0"/>
    <n v="90"/>
    <n v="5000"/>
    <n v="6.8"/>
    <n v="999"/>
    <x v="0"/>
    <n v="0.13492469354023578"/>
    <n v="20.885428160721613"/>
    <n v="47.832392628597347"/>
    <x v="0"/>
  </r>
  <r>
    <x v="3"/>
    <x v="229"/>
    <n v="128"/>
    <n v="220"/>
    <n v="12"/>
    <n v="13"/>
    <n v="50"/>
    <n v="12"/>
    <n v="40"/>
    <s v="Kirin 9010"/>
    <x v="0"/>
    <n v="90"/>
    <n v="5000"/>
    <n v="6.8"/>
    <n v="1099"/>
    <x v="0"/>
    <n v="0.1244153789639347"/>
    <n v="22.976061610243299"/>
    <n v="47.832392628597347"/>
    <x v="0"/>
  </r>
  <r>
    <x v="3"/>
    <x v="230"/>
    <n v="128"/>
    <n v="241"/>
    <n v="12"/>
    <n v="8"/>
    <n v="50"/>
    <n v="13"/>
    <n v="12"/>
    <s v="Kirin 9010"/>
    <x v="0"/>
    <n v="90"/>
    <n v="4800"/>
    <n v="7.93"/>
    <n v="2499"/>
    <x v="0"/>
    <n v="6.1875716694859272E-2"/>
    <n v="52.257026738604836"/>
    <n v="47.821320039891702"/>
    <x v="0"/>
  </r>
  <r>
    <x v="3"/>
    <x v="231"/>
    <n v="128"/>
    <n v="168"/>
    <n v="8"/>
    <n v="60"/>
    <n v="50"/>
    <n v="8"/>
    <m/>
    <s v="Kirin 9000S"/>
    <x v="0"/>
    <n v="88"/>
    <n v="4500"/>
    <n v="6.7"/>
    <n v="499"/>
    <x v="0"/>
    <n v="0.25704194366928013"/>
    <n v="9.8789567771475166"/>
    <n v="50.511406341437905"/>
    <x v="0"/>
  </r>
  <r>
    <x v="3"/>
    <x v="232"/>
    <n v="128"/>
    <n v="188"/>
    <n v="8"/>
    <n v="60"/>
    <n v="50"/>
    <n v="8"/>
    <m/>
    <s v="Kirin 9000S"/>
    <x v="0"/>
    <n v="88"/>
    <n v="4500"/>
    <n v="6.78"/>
    <n v="599"/>
    <x v="0"/>
    <n v="0.22044109855702637"/>
    <n v="11.839175452832457"/>
    <n v="50.594739674771233"/>
    <x v="0"/>
  </r>
  <r>
    <x v="3"/>
    <x v="233"/>
    <n v="256"/>
    <n v="245"/>
    <n v="12"/>
    <n v="13"/>
    <n v="50"/>
    <n v="12"/>
    <n v="48"/>
    <s v="Kirin 9010"/>
    <x v="0"/>
    <n v="90"/>
    <n v="5000"/>
    <n v="7.92"/>
    <n v="2599"/>
    <x v="0"/>
    <n v="6.6164372027609095E-2"/>
    <n v="49.158287703755789"/>
    <n v="52.870027037199492"/>
    <x v="0"/>
  </r>
  <r>
    <x v="3"/>
    <x v="234"/>
    <n v="512"/>
    <n v="245"/>
    <n v="12"/>
    <n v="13"/>
    <n v="50"/>
    <n v="12"/>
    <n v="48"/>
    <s v="Kirin 9010"/>
    <x v="0"/>
    <n v="90"/>
    <n v="5000"/>
    <n v="7.92"/>
    <n v="2799"/>
    <x v="0"/>
    <n v="7.1220641693406764E-2"/>
    <n v="46.179003014907941"/>
    <n v="60.61196252107046"/>
    <x v="0"/>
  </r>
  <r>
    <x v="3"/>
    <x v="235"/>
    <n v="256"/>
    <n v="170"/>
    <n v="8"/>
    <n v="50"/>
    <n v="50"/>
    <n v="8"/>
    <m/>
    <s v="Kirin 9000S"/>
    <x v="0"/>
    <n v="88"/>
    <n v="4600"/>
    <n v="6.7"/>
    <n v="529"/>
    <x v="0"/>
    <n v="0.25578295292664205"/>
    <n v="10.014903154552627"/>
    <n v="52.821279630599768"/>
    <x v="0"/>
  </r>
  <r>
    <x v="3"/>
    <x v="236"/>
    <n v="512"/>
    <n v="170"/>
    <n v="8"/>
    <n v="50"/>
    <n v="50"/>
    <n v="8"/>
    <m/>
    <s v="Kirin 9000S"/>
    <x v="0"/>
    <n v="88"/>
    <n v="4600"/>
    <n v="6.7"/>
    <n v="599"/>
    <x v="0"/>
    <n v="0.2638737101485007"/>
    <n v="9.8904920894280153"/>
    <n v="60.563215114470736"/>
    <x v="0"/>
  </r>
  <r>
    <x v="3"/>
    <x v="237"/>
    <n v="256"/>
    <n v="190"/>
    <n v="8"/>
    <n v="60"/>
    <n v="50"/>
    <n v="8"/>
    <m/>
    <s v="Kirin 9000S"/>
    <x v="0"/>
    <n v="88"/>
    <n v="4600"/>
    <n v="6.78"/>
    <n v="649"/>
    <x v="0"/>
    <n v="0.22233778668434234"/>
    <n v="11.880191096585847"/>
    <n v="54.628750894967581"/>
    <x v="0"/>
  </r>
  <r>
    <x v="3"/>
    <x v="238"/>
    <n v="512"/>
    <n v="190"/>
    <n v="8"/>
    <n v="60"/>
    <n v="50"/>
    <n v="8"/>
    <m/>
    <s v="Kirin 9000S"/>
    <x v="0"/>
    <n v="88"/>
    <n v="4600"/>
    <n v="6.78"/>
    <n v="729"/>
    <x v="0"/>
    <n v="0.22996520208722379"/>
    <n v="11.688183060421457"/>
    <n v="62.370686378838549"/>
    <x v="0"/>
  </r>
  <r>
    <x v="3"/>
    <x v="239"/>
    <n v="512"/>
    <n v="508"/>
    <n v="12"/>
    <n v="16"/>
    <n v="13"/>
    <m/>
    <m/>
    <s v="Kirin 9000S"/>
    <x v="0"/>
    <n v="88"/>
    <n v="10100"/>
    <n v="12.2"/>
    <n v="999"/>
    <x v="1"/>
    <n v="0.20168658199636244"/>
    <n v="13.971975558060665"/>
    <n v="71.500268222532085"/>
    <x v="0"/>
  </r>
  <r>
    <x v="3"/>
    <x v="240"/>
    <n v="512"/>
    <n v="580"/>
    <n v="12"/>
    <n v="16"/>
    <n v="13"/>
    <m/>
    <m/>
    <s v="Kirin 9000S"/>
    <x v="0"/>
    <n v="88"/>
    <n v="10100"/>
    <n v="13.2"/>
    <n v="877"/>
    <x v="1"/>
    <n v="0.22858065920415477"/>
    <n v="12.08955897495067"/>
    <n v="72.541934889198757"/>
    <x v="0"/>
  </r>
  <r>
    <x v="3"/>
    <x v="241"/>
    <n v="128"/>
    <n v="188"/>
    <n v="8"/>
    <n v="13"/>
    <n v="64"/>
    <m/>
    <m/>
    <s v="Kirin 990E 5G"/>
    <x v="2"/>
    <n v="42"/>
    <n v="4200"/>
    <n v="6.5"/>
    <n v="799"/>
    <x v="0"/>
    <n v="0.10508944370054536"/>
    <n v="25.931218453026542"/>
    <n v="30.812281399246988"/>
    <x v="3"/>
  </r>
  <r>
    <x v="3"/>
    <x v="242"/>
    <n v="128"/>
    <n v="175"/>
    <n v="8"/>
    <n v="32"/>
    <n v="50"/>
    <m/>
    <m/>
    <s v="Snapdragon 778G 4G"/>
    <x v="2"/>
    <n v="60"/>
    <n v="4300"/>
    <n v="6.57"/>
    <n v="499"/>
    <x v="0"/>
    <n v="0.19414553177249172"/>
    <n v="13.079395792628778"/>
    <n v="38.151609440645871"/>
    <x v="3"/>
  </r>
  <r>
    <x v="3"/>
    <x v="243"/>
    <n v="128"/>
    <n v="186"/>
    <n v="8"/>
    <n v="32"/>
    <n v="50"/>
    <m/>
    <m/>
    <s v="Snapdragon 778G 4G"/>
    <x v="2"/>
    <n v="60"/>
    <n v="4000"/>
    <n v="6.72"/>
    <n v="599"/>
    <x v="0"/>
    <n v="0.1647760660826183"/>
    <n v="15.838713138855974"/>
    <n v="37.818729005863261"/>
    <x v="3"/>
  </r>
  <r>
    <x v="3"/>
    <x v="244"/>
    <n v="128"/>
    <n v="181"/>
    <n v="8"/>
    <n v="13"/>
    <n v="50"/>
    <m/>
    <m/>
    <s v="Snapdragon 778G 4G"/>
    <x v="2"/>
    <n v="60"/>
    <n v="4100"/>
    <n v="6.5"/>
    <n v="649"/>
    <x v="0"/>
    <n v="0.14031957113317561"/>
    <n v="18.824283544132214"/>
    <n v="34.476743748491941"/>
    <x v="2"/>
  </r>
  <r>
    <x v="3"/>
    <x v="245"/>
    <n v="128"/>
    <n v="168"/>
    <n v="8"/>
    <n v="60"/>
    <n v="50"/>
    <m/>
    <m/>
    <s v="Snapdragon 778G 4G"/>
    <x v="2"/>
    <n v="60"/>
    <n v="4000"/>
    <n v="6.67"/>
    <n v="499"/>
    <x v="0"/>
    <n v="0.2167531047815234"/>
    <n v="11.715201283886117"/>
    <n v="42.594231879426474"/>
    <x v="2"/>
  </r>
  <r>
    <x v="3"/>
    <x v="246"/>
    <n v="128"/>
    <n v="191"/>
    <n v="8"/>
    <n v="60"/>
    <n v="50"/>
    <m/>
    <m/>
    <s v="Snapdragon 778G 4G"/>
    <x v="2"/>
    <n v="60"/>
    <n v="4500"/>
    <n v="6.78"/>
    <n v="599"/>
    <x v="0"/>
    <n v="0.18963405331356947"/>
    <n v="13.762511517466029"/>
    <n v="43.524032604064161"/>
    <x v="2"/>
  </r>
  <r>
    <x v="3"/>
    <x v="247"/>
    <n v="128"/>
    <n v="184"/>
    <n v="8"/>
    <n v="16"/>
    <n v="108"/>
    <m/>
    <m/>
    <s v="Snapdragon 680 4G"/>
    <x v="2"/>
    <n v="32"/>
    <n v="4500"/>
    <n v="6.67"/>
    <n v="399"/>
    <x v="0"/>
    <n v="0.19525429692046906"/>
    <n v="12.576081242178155"/>
    <n v="31.726894277831008"/>
    <x v="2"/>
  </r>
  <r>
    <x v="3"/>
    <x v="248"/>
    <n v="128"/>
    <n v="168"/>
    <n v="8"/>
    <n v="60"/>
    <n v="50"/>
    <n v="8"/>
    <m/>
    <s v="Snapdragon 778G 4G"/>
    <x v="2"/>
    <n v="60"/>
    <n v="4500"/>
    <n v="6.7"/>
    <n v="499"/>
    <x v="0"/>
    <n v="0.22106059964798572"/>
    <n v="11.48692374609662"/>
    <n v="43.440699270730825"/>
    <x v="1"/>
  </r>
  <r>
    <x v="3"/>
    <x v="249"/>
    <n v="128"/>
    <n v="188"/>
    <n v="8"/>
    <n v="60"/>
    <n v="50"/>
    <n v="8"/>
    <m/>
    <s v="Snapdragon 778G 4G"/>
    <x v="2"/>
    <n v="60"/>
    <n v="4500"/>
    <n v="6.78"/>
    <n v="599"/>
    <x v="0"/>
    <n v="0.18963405331356947"/>
    <n v="13.762511517466029"/>
    <n v="43.524032604064161"/>
    <x v="1"/>
  </r>
  <r>
    <x v="3"/>
    <x v="250"/>
    <n v="128"/>
    <n v="188"/>
    <n v="12"/>
    <n v="60"/>
    <n v="50"/>
    <n v="8"/>
    <m/>
    <s v="Snapdragon 778G 4G"/>
    <x v="2"/>
    <n v="60"/>
    <n v="4500"/>
    <n v="6.78"/>
    <n v="699"/>
    <x v="0"/>
    <n v="0.1815965885973595"/>
    <n v="14.708347791601822"/>
    <n v="47.524032604064153"/>
    <x v="1"/>
  </r>
  <r>
    <x v="4"/>
    <x v="251"/>
    <n v="128"/>
    <n v="450"/>
    <n v="6"/>
    <n v="8"/>
    <n v="13"/>
    <m/>
    <m/>
    <s v="Helio G99"/>
    <x v="1"/>
    <n v="22"/>
    <n v="7000"/>
    <n v="10.1"/>
    <n v="299"/>
    <x v="1"/>
    <n v="0.22492542007972996"/>
    <n v="10.454713549105705"/>
    <n v="28.599540159144428"/>
    <x v="0"/>
  </r>
  <r>
    <x v="4"/>
    <x v="252"/>
    <n v="128"/>
    <n v="420"/>
    <n v="4"/>
    <n v="5"/>
    <n v="8"/>
    <m/>
    <m/>
    <s v="Unisoc T606"/>
    <x v="1"/>
    <n v="4"/>
    <n v="6000"/>
    <n v="9.6999999999999993"/>
    <n v="219"/>
    <x v="1"/>
    <n v="0.19709565152719091"/>
    <n v="11.386482278787476"/>
    <n v="19.233332528693918"/>
    <x v="0"/>
  </r>
  <r>
    <x v="4"/>
    <x v="253"/>
    <n v="128"/>
    <n v="192"/>
    <n v="6"/>
    <n v="8"/>
    <n v="50"/>
    <m/>
    <m/>
    <s v="Helio G85"/>
    <x v="1"/>
    <n v="12"/>
    <n v="5000"/>
    <n v="6.78"/>
    <n v="219"/>
    <x v="0"/>
    <n v="0.21778749961625679"/>
    <n v="10.304660034642826"/>
    <n v="21.252520632777077"/>
    <x v="0"/>
  </r>
  <r>
    <x v="4"/>
    <x v="254"/>
    <n v="128"/>
    <n v="190"/>
    <n v="4"/>
    <n v="8"/>
    <n v="50"/>
    <m/>
    <m/>
    <s v="Unisoc T606"/>
    <x v="1"/>
    <n v="4"/>
    <n v="5000"/>
    <n v="6.6"/>
    <n v="179"/>
    <x v="0"/>
    <n v="0.20733246332308647"/>
    <n v="10.501725132348444"/>
    <n v="17.044818612575057"/>
    <x v="0"/>
  </r>
  <r>
    <x v="4"/>
    <x v="255"/>
    <n v="128"/>
    <n v="194"/>
    <n v="8"/>
    <n v="16"/>
    <n v="50"/>
    <m/>
    <m/>
    <s v="Helio G99"/>
    <x v="1"/>
    <n v="22"/>
    <n v="5000"/>
    <n v="6.8"/>
    <n v="269"/>
    <x v="0"/>
    <n v="0.23384426716136425"/>
    <n v="9.8977416709803006"/>
    <n v="27.177916836190519"/>
    <x v="0"/>
  </r>
  <r>
    <x v="4"/>
    <x v="256"/>
    <n v="128"/>
    <n v="196"/>
    <n v="8"/>
    <n v="32"/>
    <n v="50"/>
    <m/>
    <m/>
    <s v="Helio G99"/>
    <x v="1"/>
    <n v="22"/>
    <n v="5000"/>
    <n v="6.78"/>
    <n v="279"/>
    <x v="0"/>
    <n v="0.24953740674284572"/>
    <n v="9.3262053336465076"/>
    <n v="29.915704192512361"/>
    <x v="0"/>
  </r>
  <r>
    <x v="4"/>
    <x v="257"/>
    <n v="128"/>
    <n v="196"/>
    <n v="8"/>
    <n v="32"/>
    <n v="50"/>
    <m/>
    <m/>
    <s v="Helio G88"/>
    <x v="1"/>
    <n v="14"/>
    <n v="5000"/>
    <n v="6.78"/>
    <n v="199"/>
    <x v="0"/>
    <n v="0.3101052144463895"/>
    <n v="7.1337665395223304"/>
    <n v="27.895502172310341"/>
    <x v="1"/>
  </r>
  <r>
    <x v="4"/>
    <x v="258"/>
    <n v="128"/>
    <n v="195"/>
    <n v="4"/>
    <n v="8"/>
    <n v="13"/>
    <m/>
    <m/>
    <s v="Unisoc T606"/>
    <x v="1"/>
    <n v="4"/>
    <n v="5000"/>
    <n v="6.6"/>
    <n v="159"/>
    <x v="0"/>
    <n v="0.20377459694746405"/>
    <n v="10.496862922799615"/>
    <n v="15.147382715139159"/>
    <x v="1"/>
  </r>
  <r>
    <x v="4"/>
    <x v="259"/>
    <n v="128"/>
    <n v="195"/>
    <n v="8"/>
    <n v="32"/>
    <n v="108"/>
    <m/>
    <m/>
    <s v="Helio G99"/>
    <x v="1"/>
    <n v="22"/>
    <n v="5000"/>
    <n v="6.78"/>
    <n v="229"/>
    <x v="0"/>
    <n v="0.32449241346217567"/>
    <n v="6.962589242779603"/>
    <n v="32.890063166871336"/>
    <x v="1"/>
  </r>
  <r>
    <x v="4"/>
    <x v="260"/>
    <n v="128"/>
    <n v="190"/>
    <n v="8"/>
    <n v="32"/>
    <n v="108"/>
    <m/>
    <m/>
    <s v="Helio G99"/>
    <x v="1"/>
    <n v="22"/>
    <n v="5000"/>
    <n v="6.78"/>
    <n v="279"/>
    <x v="0"/>
    <n v="0.27434758070390591"/>
    <n v="8.4828052346528793"/>
    <n v="32.890063166871336"/>
    <x v="0"/>
  </r>
  <r>
    <x v="4"/>
    <x v="261"/>
    <n v="128"/>
    <n v="196"/>
    <n v="8"/>
    <n v="8"/>
    <n v="50"/>
    <m/>
    <m/>
    <s v="Helio G88"/>
    <x v="1"/>
    <n v="14"/>
    <n v="5000"/>
    <n v="6.78"/>
    <n v="199"/>
    <x v="0"/>
    <n v="0.26410518250982978"/>
    <n v="8.3762771390020454"/>
    <n v="23.757571137827583"/>
    <x v="1"/>
  </r>
  <r>
    <x v="4"/>
    <x v="262"/>
    <n v="128"/>
    <n v="191"/>
    <n v="4"/>
    <n v="8"/>
    <n v="13"/>
    <m/>
    <m/>
    <s v="Unisoc T606"/>
    <x v="1"/>
    <n v="4"/>
    <n v="5000"/>
    <n v="6.6"/>
    <n v="159"/>
    <x v="0"/>
    <n v="0.20377459694746405"/>
    <n v="10.496862922799615"/>
    <n v="15.147382715139159"/>
    <x v="1"/>
  </r>
  <r>
    <x v="4"/>
    <x v="263"/>
    <n v="128"/>
    <n v="191"/>
    <n v="4"/>
    <n v="8"/>
    <n v="13"/>
    <m/>
    <m/>
    <s v="Unisoc T606"/>
    <x v="1"/>
    <n v="4"/>
    <n v="5000"/>
    <n v="6.6"/>
    <n v="159"/>
    <x v="0"/>
    <n v="0.20377459694746405"/>
    <n v="10.496862922799615"/>
    <n v="15.147382715139159"/>
    <x v="1"/>
  </r>
  <r>
    <x v="4"/>
    <x v="264"/>
    <n v="128"/>
    <n v="205"/>
    <n v="4"/>
    <n v="8"/>
    <n v="16"/>
    <m/>
    <m/>
    <s v="Helio G37"/>
    <x v="1"/>
    <n v="6"/>
    <n v="6000"/>
    <n v="6.82"/>
    <n v="179"/>
    <x v="0"/>
    <n v="0.21488703817399177"/>
    <n v="10.132526183681646"/>
    <n v="17.665880823311181"/>
    <x v="1"/>
  </r>
  <r>
    <x v="4"/>
    <x v="265"/>
    <n v="128"/>
    <n v="195"/>
    <n v="6"/>
    <n v="8"/>
    <n v="13"/>
    <m/>
    <m/>
    <s v="Helio G85"/>
    <x v="1"/>
    <n v="12"/>
    <n v="5000"/>
    <n v="6.82"/>
    <n v="179"/>
    <x v="0"/>
    <n v="0.23594127576557736"/>
    <n v="9.2283494431686588"/>
    <n v="19.396751402007844"/>
    <x v="2"/>
  </r>
  <r>
    <x v="4"/>
    <x v="266"/>
    <n v="128"/>
    <n v="209"/>
    <n v="4"/>
    <n v="8"/>
    <n v="13"/>
    <m/>
    <m/>
    <s v="Unisoc T610"/>
    <x v="1"/>
    <n v="5"/>
    <n v="6000"/>
    <n v="6.82"/>
    <n v="159"/>
    <x v="0"/>
    <n v="0.23218859925105892"/>
    <n v="9.2123128276140633"/>
    <n v="17.259509416939775"/>
    <x v="2"/>
  </r>
  <r>
    <x v="4"/>
    <x v="267"/>
    <n v="128"/>
    <n v="191"/>
    <n v="8"/>
    <n v="8"/>
    <n v="50"/>
    <m/>
    <m/>
    <s v="Unisoc T616"/>
    <x v="1"/>
    <n v="8"/>
    <n v="5000"/>
    <n v="6.6"/>
    <n v="199"/>
    <x v="0"/>
    <n v="0.24517736002532778"/>
    <n v="9.0229301853993356"/>
    <n v="22.054919622676067"/>
    <x v="2"/>
  </r>
  <r>
    <x v="4"/>
    <x v="268"/>
    <n v="64"/>
    <n v="190"/>
    <n v="4"/>
    <n v="8"/>
    <n v="13"/>
    <m/>
    <m/>
    <s v="Helio A22"/>
    <x v="1"/>
    <n v="2"/>
    <n v="5000"/>
    <n v="6.6"/>
    <n v="139"/>
    <x v="0"/>
    <n v="0.19163519204924778"/>
    <n v="10.938983160132398"/>
    <n v="12.706848339120913"/>
    <x v="2"/>
  </r>
  <r>
    <x v="4"/>
    <x v="269"/>
    <n v="128"/>
    <n v="198"/>
    <n v="6"/>
    <n v="8"/>
    <n v="50"/>
    <m/>
    <m/>
    <s v="Helio G85"/>
    <x v="1"/>
    <n v="12"/>
    <n v="5000"/>
    <n v="6.82"/>
    <n v="199"/>
    <x v="0"/>
    <n v="0.23672054649406155"/>
    <n v="9.345273299310108"/>
    <n v="21.294187299443742"/>
    <x v="2"/>
  </r>
  <r>
    <x v="4"/>
    <x v="270"/>
    <n v="128"/>
    <n v="209"/>
    <n v="4"/>
    <n v="8"/>
    <n v="13"/>
    <m/>
    <m/>
    <s v="Helio G37"/>
    <x v="1"/>
    <n v="6"/>
    <n v="6000"/>
    <n v="6.82"/>
    <n v="159"/>
    <x v="0"/>
    <n v="0.23558576908033635"/>
    <n v="9.0794703757206126"/>
    <n v="17.512034669465024"/>
    <x v="2"/>
  </r>
  <r>
    <x v="4"/>
    <x v="271"/>
    <n v="128"/>
    <n v="202"/>
    <n v="8"/>
    <n v="8"/>
    <n v="50"/>
    <m/>
    <m/>
    <s v="Helio G96"/>
    <x v="1"/>
    <n v="20"/>
    <n v="5000"/>
    <n v="6.78"/>
    <n v="219"/>
    <x v="0"/>
    <n v="0.25898495384113068"/>
    <n v="8.6654692099105795"/>
    <n v="25.272722652979098"/>
    <x v="2"/>
  </r>
  <r>
    <x v="4"/>
    <x v="272"/>
    <n v="64"/>
    <n v="195"/>
    <n v="4"/>
    <n v="8"/>
    <n v="13"/>
    <m/>
    <m/>
    <s v="Helio G25"/>
    <x v="1"/>
    <n v="3"/>
    <n v="5000"/>
    <n v="6.6"/>
    <n v="139"/>
    <x v="0"/>
    <n v="0.19544358922008467"/>
    <n v="10.725827063863779"/>
    <n v="12.959373591646166"/>
    <x v="2"/>
  </r>
  <r>
    <x v="4"/>
    <x v="273"/>
    <n v="128"/>
    <n v="205"/>
    <n v="4"/>
    <n v="8"/>
    <n v="48"/>
    <m/>
    <m/>
    <s v="Helio G70"/>
    <x v="1"/>
    <n v="8"/>
    <n v="5000"/>
    <n v="6.82"/>
    <n v="149"/>
    <x v="0"/>
    <n v="0.25847700457075673"/>
    <n v="8.1951334145361532"/>
    <n v="18.181522186778633"/>
    <x v="3"/>
  </r>
  <r>
    <x v="4"/>
    <x v="274"/>
    <n v="128"/>
    <n v="211"/>
    <n v="6"/>
    <n v="8"/>
    <n v="48"/>
    <m/>
    <m/>
    <s v="Helio G85"/>
    <x v="1"/>
    <n v="12"/>
    <n v="6000"/>
    <n v="6.82"/>
    <n v="169"/>
    <x v="0"/>
    <n v="0.29150842127239468"/>
    <n v="7.4051165829081356"/>
    <n v="22.822057979488335"/>
    <x v="3"/>
  </r>
  <r>
    <x v="4"/>
    <x v="275"/>
    <n v="128"/>
    <n v="211"/>
    <n v="6"/>
    <n v="8"/>
    <n v="48"/>
    <m/>
    <m/>
    <s v="Helio G85"/>
    <x v="1"/>
    <n v="12"/>
    <n v="6000"/>
    <n v="6.82"/>
    <n v="179"/>
    <x v="0"/>
    <n v="0.27760656223696623"/>
    <n v="7.843289161778439"/>
    <n v="22.822057979488335"/>
    <x v="3"/>
  </r>
  <r>
    <x v="4"/>
    <x v="276"/>
    <n v="64"/>
    <n v="195"/>
    <n v="3"/>
    <n v="8"/>
    <n v="13"/>
    <m/>
    <m/>
    <s v="Helio A25"/>
    <x v="1"/>
    <n v="3"/>
    <n v="5000"/>
    <n v="6.6"/>
    <n v="109"/>
    <x v="0"/>
    <n v="0.22176648323866804"/>
    <n v="9.1141897328250057"/>
    <n v="11.959373591646166"/>
    <x v="4"/>
  </r>
  <r>
    <x v="4"/>
    <x v="277"/>
    <n v="64"/>
    <n v="207"/>
    <n v="4"/>
    <n v="8"/>
    <n v="13"/>
    <m/>
    <m/>
    <s v="Helio G25"/>
    <x v="1"/>
    <n v="3"/>
    <n v="6000"/>
    <n v="6.82"/>
    <n v="139"/>
    <x v="0"/>
    <n v="0.22348870877737043"/>
    <n v="9.3798659904724548"/>
    <n v="14.818975040921529"/>
    <x v="3"/>
  </r>
  <r>
    <x v="4"/>
    <x v="278"/>
    <n v="128"/>
    <n v="201"/>
    <n v="4"/>
    <n v="8"/>
    <n v="13"/>
    <m/>
    <m/>
    <s v="Helio G70"/>
    <x v="1"/>
    <n v="8"/>
    <n v="5200"/>
    <n v="6.6"/>
    <n v="159"/>
    <x v="0"/>
    <n v="0.22175005643542356"/>
    <n v="9.6459682837969112"/>
    <n v="16.483570681761908"/>
    <x v="3"/>
  </r>
  <r>
    <x v="4"/>
    <x v="279"/>
    <n v="128"/>
    <n v="209"/>
    <n v="4"/>
    <n v="8"/>
    <n v="13"/>
    <m/>
    <m/>
    <s v="Helio G35"/>
    <x v="1"/>
    <n v="4"/>
    <n v="6000"/>
    <n v="6.82"/>
    <n v="169"/>
    <x v="0"/>
    <n v="0.21723190383745766"/>
    <n v="9.9370939824602313"/>
    <n v="17.006984164414522"/>
    <x v="3"/>
  </r>
  <r>
    <x v="4"/>
    <x v="280"/>
    <n v="128"/>
    <n v="205"/>
    <n v="6"/>
    <n v="8"/>
    <n v="50"/>
    <m/>
    <m/>
    <s v="Helio G88"/>
    <x v="1"/>
    <n v="14"/>
    <n v="5000"/>
    <n v="6.78"/>
    <n v="189"/>
    <x v="0"/>
    <n v="0.25270735292917251"/>
    <n v="8.6866313708797094"/>
    <n v="21.757571137827583"/>
    <x v="3"/>
  </r>
  <r>
    <x v="4"/>
    <x v="281"/>
    <n v="32"/>
    <n v="195"/>
    <n v="2"/>
    <n v="5"/>
    <n v="8"/>
    <m/>
    <m/>
    <s v="Helio A20"/>
    <x v="1"/>
    <n v="1"/>
    <n v="5000"/>
    <n v="6.1"/>
    <n v="79"/>
    <x v="0"/>
    <n v="0.19971561179135114"/>
    <n v="9.643441464105857"/>
    <n v="8.1920961820578544"/>
    <x v="4"/>
  </r>
  <r>
    <x v="4"/>
    <x v="282"/>
    <n v="128"/>
    <n v="210"/>
    <n v="6"/>
    <n v="8"/>
    <n v="48"/>
    <m/>
    <m/>
    <s v="Helio G80"/>
    <x v="1"/>
    <n v="10"/>
    <n v="5200"/>
    <n v="6.78"/>
    <n v="199"/>
    <x v="0"/>
    <n v="0.2331277005005537"/>
    <n v="9.4892979161169908"/>
    <n v="20.970992981684208"/>
    <x v="4"/>
  </r>
  <r>
    <x v="4"/>
    <x v="276"/>
    <n v="64"/>
    <n v="195"/>
    <n v="3"/>
    <n v="8"/>
    <n v="13"/>
    <m/>
    <m/>
    <s v="Helio A25"/>
    <x v="1"/>
    <n v="3"/>
    <n v="5000"/>
    <n v="6.6"/>
    <n v="109"/>
    <x v="0"/>
    <n v="0.22176648323866804"/>
    <n v="9.1141897328250057"/>
    <n v="11.959373591646166"/>
    <x v="4"/>
  </r>
  <r>
    <x v="4"/>
    <x v="283"/>
    <n v="128"/>
    <n v="210"/>
    <n v="6"/>
    <n v="16"/>
    <n v="64"/>
    <m/>
    <m/>
    <s v="Helio G80"/>
    <x v="1"/>
    <n v="10"/>
    <n v="5200"/>
    <n v="6.95"/>
    <n v="229"/>
    <x v="0"/>
    <n v="0.23034970207308109"/>
    <n v="9.8081628367747768"/>
    <n v="23.347899480357952"/>
    <x v="4"/>
  </r>
  <r>
    <x v="4"/>
    <x v="284"/>
    <n v="128"/>
    <n v="210"/>
    <n v="8"/>
    <n v="16"/>
    <n v="48"/>
    <m/>
    <m/>
    <s v="Helio G90T"/>
    <x v="1"/>
    <n v="15"/>
    <n v="4500"/>
    <n v="6.85"/>
    <n v="249"/>
    <x v="0"/>
    <n v="0.22552021969340008"/>
    <n v="10.14482164440226"/>
    <n v="24.544541907978633"/>
    <x v="4"/>
  </r>
  <r>
    <x v="4"/>
    <x v="285"/>
    <n v="128"/>
    <n v="204"/>
    <n v="4"/>
    <n v="8"/>
    <n v="16"/>
    <m/>
    <m/>
    <s v="Helio G70"/>
    <x v="1"/>
    <n v="8"/>
    <n v="5200"/>
    <n v="6.78"/>
    <n v="159"/>
    <x v="0"/>
    <n v="0.22634211542196037"/>
    <n v="9.4502695944085868"/>
    <n v="16.824916835608061"/>
    <x v="4"/>
  </r>
  <r>
    <x v="4"/>
    <x v="286"/>
    <n v="128"/>
    <n v="205"/>
    <n v="8"/>
    <n v="48"/>
    <n v="64"/>
    <m/>
    <m/>
    <s v="Helio G90T"/>
    <x v="1"/>
    <n v="15"/>
    <n v="4500"/>
    <n v="6.85"/>
    <n v="279"/>
    <x v="0"/>
    <n v="0.25760008975267096"/>
    <n v="9.0343023402821458"/>
    <n v="30.8822961078018"/>
    <x v="4"/>
  </r>
  <r>
    <x v="4"/>
    <x v="287"/>
    <n v="64"/>
    <n v="195"/>
    <n v="3"/>
    <n v="8"/>
    <n v="13"/>
    <m/>
    <m/>
    <s v="Helio A20"/>
    <x v="1"/>
    <n v="1"/>
    <n v="5000"/>
    <n v="6.6"/>
    <n v="99"/>
    <x v="0"/>
    <n v="0.23050455583619886"/>
    <n v="8.6430249305481901"/>
    <n v="11.454323086595661"/>
    <x v="4"/>
  </r>
  <r>
    <x v="4"/>
    <x v="288"/>
    <n v="128"/>
    <n v="480"/>
    <n v="12"/>
    <n v="32"/>
    <n v="50"/>
    <m/>
    <m/>
    <s v="Dimensity 9200"/>
    <x v="0"/>
    <n v="95"/>
    <n v="9000"/>
    <n v="11"/>
    <n v="549"/>
    <x v="1"/>
    <n v="0.29685543546293519"/>
    <n v="8.6774245532488479"/>
    <n v="63.267620090623907"/>
    <x v="0"/>
  </r>
  <r>
    <x v="4"/>
    <x v="289"/>
    <n v="128"/>
    <n v="196"/>
    <n v="12"/>
    <n v="32"/>
    <n v="108"/>
    <m/>
    <m/>
    <s v="Dimensity 9200"/>
    <x v="0"/>
    <n v="95"/>
    <n v="5300"/>
    <n v="6.9"/>
    <n v="379"/>
    <x v="0"/>
    <n v="0.35963982327285499"/>
    <n v="6.7752933859551447"/>
    <n v="55.938537035997385"/>
    <x v="0"/>
  </r>
  <r>
    <x v="4"/>
    <x v="290"/>
    <n v="128"/>
    <n v="195"/>
    <n v="12"/>
    <n v="32"/>
    <n v="108"/>
    <m/>
    <m/>
    <s v="Dimensity 9000"/>
    <x v="0"/>
    <n v="90"/>
    <n v="5300"/>
    <n v="6.8"/>
    <n v="399"/>
    <x v="0"/>
    <n v="0.33584653555969735"/>
    <n v="7.3114760492139101"/>
    <n v="54.571744106704458"/>
    <x v="0"/>
  </r>
  <r>
    <x v="4"/>
    <x v="291"/>
    <n v="128"/>
    <n v="196"/>
    <n v="12"/>
    <n v="32"/>
    <n v="108"/>
    <m/>
    <m/>
    <s v="Dimensity 9200"/>
    <x v="0"/>
    <n v="95"/>
    <n v="5500"/>
    <n v="6.9"/>
    <n v="449"/>
    <x v="0"/>
    <n v="0.31320308493147475"/>
    <n v="7.9801475267958519"/>
    <n v="56.26462399251912"/>
    <x v="0"/>
  </r>
  <r>
    <x v="4"/>
    <x v="292"/>
    <n v="128"/>
    <n v="470"/>
    <n v="8"/>
    <n v="16"/>
    <n v="50"/>
    <m/>
    <m/>
    <s v="Dimensity 810"/>
    <x v="2"/>
    <n v="25"/>
    <n v="8000"/>
    <n v="10.4"/>
    <n v="399"/>
    <x v="1"/>
    <n v="0.22510166636208254"/>
    <n v="10.908554968253313"/>
    <n v="36.57679694159237"/>
    <x v="0"/>
  </r>
  <r>
    <x v="4"/>
    <x v="293"/>
    <n v="128"/>
    <n v="195"/>
    <n v="8"/>
    <n v="16"/>
    <n v="50"/>
    <m/>
    <m/>
    <s v="Dimensity 810"/>
    <x v="2"/>
    <n v="25"/>
    <n v="5200"/>
    <n v="6.78"/>
    <n v="289"/>
    <x v="0"/>
    <n v="0.22861935846528714"/>
    <n v="10.233440638565536"/>
    <n v="28.240746216954683"/>
    <x v="0"/>
  </r>
  <r>
    <x v="4"/>
    <x v="294"/>
    <n v="128"/>
    <n v="198"/>
    <n v="12"/>
    <n v="32"/>
    <n v="108"/>
    <m/>
    <m/>
    <s v="Dimensity 8200"/>
    <x v="2"/>
    <n v="70"/>
    <n v="5500"/>
    <n v="6.9"/>
    <n v="449"/>
    <x v="0"/>
    <n v="0.27806036002651291"/>
    <n v="8.9887203748222966"/>
    <n v="49.951492679387812"/>
    <x v="0"/>
  </r>
  <r>
    <x v="4"/>
    <x v="295"/>
    <n v="128"/>
    <n v="198"/>
    <n v="8"/>
    <n v="32"/>
    <n v="108"/>
    <m/>
    <m/>
    <s v="Dimensity 7200"/>
    <x v="2"/>
    <n v="50"/>
    <n v="5200"/>
    <n v="6.8"/>
    <n v="349"/>
    <x v="0"/>
    <n v="0.27796255984458274"/>
    <n v="8.6583973289779532"/>
    <n v="40.307690527433479"/>
    <x v="0"/>
  </r>
  <r>
    <x v="4"/>
    <x v="296"/>
    <n v="128"/>
    <n v="195"/>
    <n v="8"/>
    <n v="32"/>
    <n v="108"/>
    <m/>
    <m/>
    <s v="Dimensity 8100"/>
    <x v="2"/>
    <n v="65"/>
    <n v="5200"/>
    <n v="6.8"/>
    <n v="319"/>
    <x v="0"/>
    <n v="0.3282259194119484"/>
    <n v="7.23428691256803"/>
    <n v="44.095569315312275"/>
    <x v="0"/>
  </r>
  <r>
    <x v="4"/>
    <x v="297"/>
    <n v="128"/>
    <n v="195"/>
    <n v="12"/>
    <n v="50"/>
    <n v="108"/>
    <m/>
    <m/>
    <s v="Dimensity 8200"/>
    <x v="2"/>
    <n v="70"/>
    <n v="5000"/>
    <n v="6.78"/>
    <n v="349"/>
    <x v="0"/>
    <n v="0.35938407231662006"/>
    <n v="6.696763911100323"/>
    <n v="52.114723563945525"/>
    <x v="0"/>
  </r>
  <r>
    <x v="4"/>
    <x v="298"/>
    <n v="128"/>
    <n v="195"/>
    <n v="12"/>
    <n v="50"/>
    <n v="108"/>
    <m/>
    <m/>
    <s v="Dimensity 8200"/>
    <x v="2"/>
    <n v="70"/>
    <n v="5000"/>
    <n v="6.78"/>
    <n v="379"/>
    <x v="0"/>
    <n v="0.33505577667127634"/>
    <n v="7.2724169693610961"/>
    <n v="52.114723563945525"/>
    <x v="0"/>
  </r>
  <r>
    <x v="4"/>
    <x v="299"/>
    <n v="128"/>
    <n v="190"/>
    <n v="8"/>
    <n v="32"/>
    <n v="108"/>
    <m/>
    <m/>
    <s v="Snapdragon 778G"/>
    <x v="2"/>
    <n v="60"/>
    <n v="4500"/>
    <n v="6.7"/>
    <n v="399"/>
    <x v="0"/>
    <n v="0.25593846477406346"/>
    <n v="9.5942354859551227"/>
    <n v="41.587472038193241"/>
    <x v="0"/>
  </r>
  <r>
    <x v="4"/>
    <x v="300"/>
    <n v="128"/>
    <n v="190"/>
    <n v="12"/>
    <n v="32"/>
    <n v="108"/>
    <m/>
    <m/>
    <s v="Dimensity 8100"/>
    <x v="2"/>
    <n v="65"/>
    <n v="5000"/>
    <n v="6.78"/>
    <n v="329"/>
    <x v="0"/>
    <n v="0.34621395974239066"/>
    <n v="6.8902472994491131"/>
    <n v="47.748649025457198"/>
    <x v="0"/>
  </r>
  <r>
    <x v="4"/>
    <x v="301"/>
    <n v="128"/>
    <n v="202"/>
    <n v="8"/>
    <n v="8"/>
    <n v="50"/>
    <m/>
    <m/>
    <s v="Dimensity 810"/>
    <x v="2"/>
    <n v="25"/>
    <n v="5000"/>
    <n v="6.78"/>
    <n v="239"/>
    <x v="0"/>
    <n v="0.25245651733042368"/>
    <n v="9.0068534904187665"/>
    <n v="26.535348915605361"/>
    <x v="1"/>
  </r>
  <r>
    <x v="4"/>
    <x v="302"/>
    <n v="256"/>
    <n v="185"/>
    <n v="8"/>
    <n v="50"/>
    <n v="108"/>
    <m/>
    <m/>
    <s v="Dimensity 8020"/>
    <x v="2"/>
    <n v="58"/>
    <n v="5000"/>
    <n v="6.78"/>
    <n v="349"/>
    <x v="0"/>
    <n v="0.33759723926637925"/>
    <n v="7.1289394751691324"/>
    <n v="48.955388275577981"/>
    <x v="1"/>
  </r>
  <r>
    <x v="4"/>
    <x v="303"/>
    <n v="256"/>
    <n v="185"/>
    <n v="12"/>
    <n v="50"/>
    <n v="108"/>
    <m/>
    <m/>
    <s v="Dimensity 8020"/>
    <x v="2"/>
    <n v="58"/>
    <n v="5000"/>
    <n v="6.78"/>
    <n v="379"/>
    <x v="0"/>
    <n v="0.34046057494350618"/>
    <n v="7.1569676352422782"/>
    <n v="52.955388275577981"/>
    <x v="1"/>
  </r>
  <r>
    <x v="4"/>
    <x v="304"/>
    <n v="256"/>
    <n v="187"/>
    <n v="8"/>
    <n v="32"/>
    <n v="108"/>
    <m/>
    <m/>
    <s v="Dimensity 8050"/>
    <x v="2"/>
    <n v="60"/>
    <n v="5000"/>
    <n v="6.67"/>
    <n v="399"/>
    <x v="0"/>
    <n v="0.28458596108088674"/>
    <n v="8.6284435522744154"/>
    <n v="46.242407171433086"/>
    <x v="1"/>
  </r>
  <r>
    <x v="4"/>
    <x v="305"/>
    <n v="128"/>
    <n v="204"/>
    <n v="6"/>
    <n v="8"/>
    <n v="50"/>
    <m/>
    <m/>
    <s v="Dimensity 810"/>
    <x v="2"/>
    <n v="25"/>
    <n v="5000"/>
    <n v="6.6"/>
    <n v="239"/>
    <x v="0"/>
    <n v="0.23164470764151748"/>
    <n v="9.8160622249802447"/>
    <n v="24.347848915605361"/>
    <x v="2"/>
  </r>
  <r>
    <x v="5"/>
    <x v="306"/>
    <n v="128"/>
    <n v="520"/>
    <n v="6"/>
    <n v="8"/>
    <n v="13"/>
    <m/>
    <m/>
    <s v="Snapdragon 870"/>
    <x v="0"/>
    <n v="82"/>
    <n v="8040"/>
    <n v="11"/>
    <n v="349"/>
    <x v="1"/>
    <n v="0.31986633022298849"/>
    <n v="7.5241126005241608"/>
    <n v="46.384207484572627"/>
    <x v="1"/>
  </r>
  <r>
    <x v="5"/>
    <x v="307"/>
    <n v="256"/>
    <n v="540"/>
    <n v="8"/>
    <n v="8"/>
    <n v="50"/>
    <m/>
    <m/>
    <s v="Snapdragon 888"/>
    <x v="0"/>
    <n v="85"/>
    <n v="8040"/>
    <n v="12.3"/>
    <n v="399"/>
    <x v="1"/>
    <n v="0.3462632269497663"/>
    <n v="7.0915237595022722"/>
    <n v="56.264353548186428"/>
    <x v="0"/>
  </r>
  <r>
    <x v="5"/>
    <x v="308"/>
    <n v="256"/>
    <n v="555"/>
    <n v="8"/>
    <n v="8"/>
    <n v="50"/>
    <m/>
    <m/>
    <s v="Snapdragon 8 Gen 1"/>
    <x v="0"/>
    <n v="90"/>
    <n v="8040"/>
    <n v="12.3"/>
    <n v="449"/>
    <x v="1"/>
    <n v="0.32023012445498272"/>
    <n v="7.8050334204335634"/>
    <n v="57.526979810812698"/>
    <x v="0"/>
  </r>
  <r>
    <x v="6"/>
    <x v="309"/>
    <n v="64"/>
    <n v="198"/>
    <n v="4"/>
    <n v="8"/>
    <n v="48"/>
    <m/>
    <m/>
    <s v="Unisoc T700"/>
    <x v="1"/>
    <n v="12"/>
    <n v="5000"/>
    <n v="6.5"/>
    <n v="199"/>
    <x v="0"/>
    <n v="0.18812532389441433"/>
    <n v="11.759279169617066"/>
    <n v="16.922805992578567"/>
    <x v="2"/>
  </r>
  <r>
    <x v="6"/>
    <x v="310"/>
    <n v="128"/>
    <n v="198"/>
    <n v="6"/>
    <n v="8"/>
    <n v="48"/>
    <m/>
    <m/>
    <s v="Unisoc T700"/>
    <x v="1"/>
    <n v="12"/>
    <n v="5000"/>
    <n v="6.5"/>
    <n v="229"/>
    <x v="0"/>
    <n v="0.20578728548424421"/>
    <n v="10.978848289965494"/>
    <n v="20.858289863546307"/>
    <x v="2"/>
  </r>
  <r>
    <x v="6"/>
    <x v="311"/>
    <n v="128"/>
    <n v="200"/>
    <n v="6"/>
    <n v="16"/>
    <n v="64"/>
    <m/>
    <m/>
    <s v="Snapdragon 662"/>
    <x v="1"/>
    <n v="20"/>
    <n v="5000"/>
    <n v="6.8"/>
    <n v="249"/>
    <x v="0"/>
    <n v="0.23329594862813871"/>
    <n v="9.8066958275503051"/>
    <n v="25.390815049088737"/>
    <x v="3"/>
  </r>
  <r>
    <x v="6"/>
    <x v="312"/>
    <n v="32"/>
    <n v="190"/>
    <n v="2"/>
    <n v="5"/>
    <n v="13"/>
    <m/>
    <m/>
    <s v="Unisoc SC9863A"/>
    <x v="1"/>
    <n v="3"/>
    <n v="5000"/>
    <n v="6.52"/>
    <n v="149"/>
    <x v="0"/>
    <n v="0.13350764823636446"/>
    <n v="15.866158718464026"/>
    <n v="9.3910569435186151"/>
    <x v="3"/>
  </r>
  <r>
    <x v="6"/>
    <x v="313"/>
    <n v="64"/>
    <n v="200"/>
    <n v="4"/>
    <n v="8"/>
    <n v="48"/>
    <m/>
    <m/>
    <s v="Snapdragon 460"/>
    <x v="1"/>
    <n v="18"/>
    <n v="5000"/>
    <n v="6.5"/>
    <n v="199"/>
    <x v="0"/>
    <n v="0.20496876993179097"/>
    <n v="10.792952522890326"/>
    <n v="18.437957507730079"/>
    <x v="3"/>
  </r>
  <r>
    <x v="6"/>
    <x v="314"/>
    <n v="64"/>
    <n v="172"/>
    <n v="4"/>
    <n v="16"/>
    <n v="13"/>
    <m/>
    <m/>
    <s v="Snapdragon 632"/>
    <x v="1"/>
    <n v="14"/>
    <n v="4050"/>
    <n v="6.22"/>
    <n v="179"/>
    <x v="0"/>
    <n v="0.18454811313904926"/>
    <n v="11.798270401124222"/>
    <n v="15.171715337439936"/>
    <x v="5"/>
  </r>
  <r>
    <x v="6"/>
    <x v="315"/>
    <n v="32"/>
    <n v="172"/>
    <n v="3"/>
    <n v="5"/>
    <n v="13"/>
    <m/>
    <m/>
    <s v="Helio P22"/>
    <x v="1"/>
    <n v="4"/>
    <n v="4000"/>
    <n v="6.09"/>
    <n v="149"/>
    <x v="0"/>
    <n v="0.12176731761722348"/>
    <n v="17.395911961416193"/>
    <n v="8.5652307467685063"/>
    <x v="5"/>
  </r>
  <r>
    <x v="6"/>
    <x v="316"/>
    <n v="64"/>
    <n v="164"/>
    <n v="4"/>
    <n v="16"/>
    <n v="16"/>
    <m/>
    <m/>
    <s v="Snapdragon 710"/>
    <x v="1"/>
    <n v="28"/>
    <n v="4050"/>
    <n v="6.3"/>
    <n v="219"/>
    <x v="0"/>
    <n v="0.19413323029856339"/>
    <n v="11.560236956284957"/>
    <n v="18.944248359972953"/>
    <x v="5"/>
  </r>
  <r>
    <x v="6"/>
    <x v="317"/>
    <n v="128"/>
    <n v="164"/>
    <n v="6"/>
    <n v="16"/>
    <n v="16"/>
    <m/>
    <m/>
    <s v="Snapdragon 710"/>
    <x v="1"/>
    <n v="28"/>
    <n v="4050"/>
    <n v="6.3"/>
    <n v="249"/>
    <x v="0"/>
    <n v="0.21022361136716172"/>
    <n v="10.882994498653813"/>
    <n v="22.879732230940704"/>
    <x v="5"/>
  </r>
  <r>
    <x v="6"/>
    <x v="318"/>
    <n v="64"/>
    <n v="210"/>
    <n v="6"/>
    <n v="16"/>
    <n v="16"/>
    <m/>
    <m/>
    <s v="Snapdragon 710"/>
    <x v="1"/>
    <n v="28"/>
    <n v="3350"/>
    <n v="6.39"/>
    <n v="299"/>
    <x v="0"/>
    <n v="0.15648056695936272"/>
    <n v="15.027622167655661"/>
    <n v="19.896694012146874"/>
    <x v="7"/>
  </r>
  <r>
    <x v="6"/>
    <x v="319"/>
    <n v="128"/>
    <n v="209"/>
    <n v="8"/>
    <n v="16"/>
    <n v="50"/>
    <m/>
    <m/>
    <s v="Snapdragon 8+ Gen 1"/>
    <x v="0"/>
    <n v="92"/>
    <n v="5100"/>
    <n v="6.67"/>
    <n v="499"/>
    <x v="0"/>
    <n v="0.228396660771023"/>
    <n v="11.117965748056902"/>
    <n v="44.882311324552404"/>
    <x v="2"/>
  </r>
  <r>
    <x v="6"/>
    <x v="320"/>
    <n v="256"/>
    <n v="209"/>
    <n v="12"/>
    <n v="16"/>
    <n v="50"/>
    <m/>
    <m/>
    <s v="Snapdragon 8+ Gen 1"/>
    <x v="0"/>
    <n v="92"/>
    <n v="5100"/>
    <n v="6.67"/>
    <n v="549"/>
    <x v="0"/>
    <n v="0.24752152217751572"/>
    <n v="10.406936018291201"/>
    <n v="52.753279066487885"/>
    <x v="2"/>
  </r>
  <r>
    <x v="6"/>
    <x v="321"/>
    <n v="512"/>
    <n v="209"/>
    <n v="16"/>
    <n v="16"/>
    <n v="50"/>
    <m/>
    <m/>
    <s v="Snapdragon 8+ Gen 1"/>
    <x v="0"/>
    <n v="92"/>
    <n v="5100"/>
    <n v="6.67"/>
    <n v="599"/>
    <x v="0"/>
    <n v="0.28100541753042435"/>
    <n v="9.2875107738775196"/>
    <n v="64.495214550358853"/>
    <x v="2"/>
  </r>
  <r>
    <x v="6"/>
    <x v="322"/>
    <n v="128"/>
    <n v="185"/>
    <n v="6"/>
    <n v="32"/>
    <n v="48"/>
    <m/>
    <m/>
    <s v="Snapdragon 855"/>
    <x v="0"/>
    <n v="75"/>
    <n v="4000"/>
    <n v="6.39"/>
    <n v="429"/>
    <x v="0"/>
    <n v="0.22659861020036759"/>
    <n v="10.95497401993809"/>
    <n v="39.160293691177955"/>
    <x v="5"/>
  </r>
  <r>
    <x v="6"/>
    <x v="323"/>
    <n v="256"/>
    <n v="185"/>
    <n v="8"/>
    <n v="32"/>
    <n v="48"/>
    <m/>
    <m/>
    <s v="Snapdragon 855"/>
    <x v="0"/>
    <n v="75"/>
    <n v="4000"/>
    <n v="6.39"/>
    <n v="479"/>
    <x v="0"/>
    <n v="0.23726240394059114"/>
    <n v="10.637054898217233"/>
    <n v="45.031261433113428"/>
    <x v="5"/>
  </r>
  <r>
    <x v="7"/>
    <x v="324"/>
    <n v="64"/>
    <n v="195"/>
    <n v="4"/>
    <n v="16"/>
    <n v="50"/>
    <m/>
    <m/>
    <s v="Helio G88"/>
    <x v="1"/>
    <n v="14"/>
    <n v="5000"/>
    <n v="6.8"/>
    <n v="199"/>
    <x v="0"/>
    <n v="0.2136872823626963"/>
    <n v="10.352596458193529"/>
    <n v="19.222230945020762"/>
    <x v="1"/>
  </r>
  <r>
    <x v="7"/>
    <x v="325"/>
    <n v="128"/>
    <n v="195"/>
    <n v="6"/>
    <n v="16"/>
    <n v="50"/>
    <m/>
    <m/>
    <s v="Helio G88"/>
    <x v="1"/>
    <n v="14"/>
    <n v="5000"/>
    <n v="6.8"/>
    <n v="249"/>
    <x v="0"/>
    <n v="0.21277777163162928"/>
    <n v="10.752356265657351"/>
    <n v="23.157714815988498"/>
    <x v="1"/>
  </r>
  <r>
    <x v="7"/>
    <x v="326"/>
    <n v="64"/>
    <n v="198"/>
    <n v="4"/>
    <n v="8"/>
    <n v="48"/>
    <m/>
    <m/>
    <s v="Unisoc T700"/>
    <x v="1"/>
    <n v="12"/>
    <n v="5000"/>
    <n v="6.5"/>
    <n v="199"/>
    <x v="0"/>
    <n v="0.18812532389441433"/>
    <n v="11.759279169617066"/>
    <n v="16.922805992578567"/>
    <x v="1"/>
  </r>
  <r>
    <x v="7"/>
    <x v="327"/>
    <n v="128"/>
    <n v="198"/>
    <n v="6"/>
    <n v="8"/>
    <n v="48"/>
    <m/>
    <m/>
    <s v="Unisoc T700"/>
    <x v="1"/>
    <n v="12"/>
    <n v="5000"/>
    <n v="6.5"/>
    <n v="229"/>
    <x v="0"/>
    <n v="0.20578728548424421"/>
    <n v="10.978848289965494"/>
    <n v="20.858289863546307"/>
    <x v="1"/>
  </r>
  <r>
    <x v="7"/>
    <x v="328"/>
    <n v="64"/>
    <n v="206"/>
    <n v="4"/>
    <n v="16"/>
    <n v="50"/>
    <m/>
    <m/>
    <s v="Snapdragon 662"/>
    <x v="1"/>
    <n v="20"/>
    <n v="5000"/>
    <n v="6.6"/>
    <n v="249"/>
    <x v="0"/>
    <n v="0.18862505914915245"/>
    <n v="12.129154081202248"/>
    <n v="20.529049126838942"/>
    <x v="2"/>
  </r>
  <r>
    <x v="7"/>
    <x v="329"/>
    <n v="128"/>
    <n v="206"/>
    <n v="6"/>
    <n v="16"/>
    <n v="50"/>
    <m/>
    <m/>
    <s v="Snapdragon 662"/>
    <x v="1"/>
    <n v="20"/>
    <n v="5000"/>
    <n v="6.6"/>
    <n v="279"/>
    <x v="0"/>
    <n v="0.20406727122858234"/>
    <n v="11.404264288429832"/>
    <n v="24.464532997806685"/>
    <x v="2"/>
  </r>
  <r>
    <x v="7"/>
    <x v="330"/>
    <n v="32"/>
    <n v="203"/>
    <n v="3"/>
    <n v="5"/>
    <n v="13"/>
    <m/>
    <m/>
    <s v="Helio G25"/>
    <x v="1"/>
    <n v="3"/>
    <n v="5000"/>
    <n v="6.5"/>
    <n v="149"/>
    <x v="0"/>
    <n v="0.1474279385385471"/>
    <n v="14.368060477852882"/>
    <n v="10.370223610185283"/>
    <x v="2"/>
  </r>
  <r>
    <x v="7"/>
    <x v="331"/>
    <n v="64"/>
    <n v="203"/>
    <n v="4"/>
    <n v="5"/>
    <n v="13"/>
    <m/>
    <m/>
    <s v="Helio G25"/>
    <x v="1"/>
    <n v="3"/>
    <n v="5000"/>
    <n v="6.5"/>
    <n v="179"/>
    <x v="0"/>
    <n v="0.15007849875807472"/>
    <n v="14.508064505240265"/>
    <n v="12.337965545669155"/>
    <x v="2"/>
  </r>
  <r>
    <x v="7"/>
    <x v="332"/>
    <n v="128"/>
    <n v="205"/>
    <n v="8"/>
    <n v="16"/>
    <n v="50"/>
    <m/>
    <m/>
    <s v="Snapdragon 6 Gen 3"/>
    <x v="1"/>
    <n v="35"/>
    <n v="5000"/>
    <n v="6.78"/>
    <n v="320"/>
    <x v="0"/>
    <n v="0.22597786851970597"/>
    <n v="10.512514039231931"/>
    <n v="30.439911785685467"/>
    <x v="0"/>
  </r>
  <r>
    <x v="7"/>
    <x v="333"/>
    <n v="256"/>
    <n v="205"/>
    <n v="8"/>
    <n v="16"/>
    <n v="50"/>
    <m/>
    <m/>
    <s v="Snapdragon 6 Gen 3"/>
    <x v="1"/>
    <n v="35"/>
    <n v="5000"/>
    <n v="6.78"/>
    <n v="370"/>
    <x v="0"/>
    <n v="0.22514400404598467"/>
    <n v="10.783751541610657"/>
    <n v="34.310879527620955"/>
    <x v="0"/>
  </r>
  <r>
    <x v="7"/>
    <x v="334"/>
    <n v="128"/>
    <n v="188"/>
    <n v="4"/>
    <n v="16"/>
    <n v="50"/>
    <m/>
    <m/>
    <s v="Unisoc T760"/>
    <x v="1"/>
    <n v="15"/>
    <n v="5000"/>
    <n v="6.72"/>
    <n v="200"/>
    <x v="0"/>
    <n v="0.23607629104727718"/>
    <n v="9.377825039675546"/>
    <n v="21.326906735180422"/>
    <x v="0"/>
  </r>
  <r>
    <x v="7"/>
    <x v="335"/>
    <n v="256"/>
    <n v="188"/>
    <n v="8"/>
    <n v="16"/>
    <n v="50"/>
    <m/>
    <m/>
    <s v="Unisoc T760"/>
    <x v="1"/>
    <n v="15"/>
    <n v="5000"/>
    <n v="6.72"/>
    <n v="250"/>
    <x v="0"/>
    <n v="0.26736356893153862"/>
    <n v="8.5622670991321552"/>
    <n v="29.197874477115903"/>
    <x v="0"/>
  </r>
  <r>
    <x v="7"/>
    <x v="336"/>
    <n v="128"/>
    <n v="183"/>
    <n v="6"/>
    <n v="16"/>
    <n v="50"/>
    <m/>
    <m/>
    <s v="Snapdragon 6s Gen 3"/>
    <x v="1"/>
    <n v="28"/>
    <n v="5000"/>
    <n v="6.5"/>
    <n v="250"/>
    <x v="0"/>
    <n v="0.24156562870304868"/>
    <n v="9.4766722486963388"/>
    <n v="26.380568351342035"/>
    <x v="0"/>
  </r>
  <r>
    <x v="7"/>
    <x v="337"/>
    <n v="256"/>
    <n v="183"/>
    <n v="8"/>
    <n v="16"/>
    <n v="50"/>
    <m/>
    <m/>
    <s v="Snapdragon 6s Gen 3"/>
    <x v="1"/>
    <n v="28"/>
    <n v="5000"/>
    <n v="6.5"/>
    <n v="300"/>
    <x v="0"/>
    <n v="0.25292824918120854"/>
    <n v="9.3018825252956479"/>
    <n v="32.251536093277515"/>
    <x v="0"/>
  </r>
  <r>
    <x v="7"/>
    <x v="338"/>
    <n v="128"/>
    <n v="173"/>
    <n v="8"/>
    <n v="32"/>
    <n v="50"/>
    <m/>
    <m/>
    <s v="Snapdragon 6s Gen 3"/>
    <x v="1"/>
    <n v="28"/>
    <n v="5000"/>
    <n v="6.67"/>
    <n v="320"/>
    <x v="0"/>
    <n v="0.2324837381579293"/>
    <n v="10.218329824666458"/>
    <n v="31.316272374330538"/>
    <x v="0"/>
  </r>
  <r>
    <x v="7"/>
    <x v="339"/>
    <n v="256"/>
    <n v="173"/>
    <n v="12"/>
    <n v="32"/>
    <n v="50"/>
    <m/>
    <m/>
    <s v="Snapdragon 6s Gen 3"/>
    <x v="1"/>
    <n v="28"/>
    <n v="5000"/>
    <n v="6.67"/>
    <n v="370"/>
    <x v="0"/>
    <n v="0.25714211552592403"/>
    <n v="9.4418489003623058"/>
    <n v="39.187240116266025"/>
    <x v="0"/>
  </r>
  <r>
    <x v="7"/>
    <x v="340"/>
    <n v="64"/>
    <n v="180"/>
    <n v="4"/>
    <n v="8"/>
    <n v="13"/>
    <m/>
    <m/>
    <s v="Unisoc T606"/>
    <x v="1"/>
    <n v="4"/>
    <n v="5000"/>
    <n v="6.5"/>
    <n v="150"/>
    <x v="0"/>
    <n v="0.1852891499555574"/>
    <n v="11.443627163623866"/>
    <n v="13.107732177504753"/>
    <x v="0"/>
  </r>
  <r>
    <x v="7"/>
    <x v="341"/>
    <n v="128"/>
    <n v="180"/>
    <n v="4"/>
    <n v="8"/>
    <n v="13"/>
    <m/>
    <m/>
    <s v="Unisoc T606"/>
    <x v="1"/>
    <n v="4"/>
    <n v="5000"/>
    <n v="6.5"/>
    <n v="180"/>
    <x v="0"/>
    <n v="0.18212059624941546"/>
    <n v="11.965526481837468"/>
    <n v="15.043216048472493"/>
    <x v="0"/>
  </r>
  <r>
    <x v="7"/>
    <x v="342"/>
    <n v="256"/>
    <n v="195"/>
    <n v="6"/>
    <n v="16"/>
    <n v="50"/>
    <m/>
    <m/>
    <s v="Snapdragon 6 Gen 1"/>
    <x v="1"/>
    <n v="30"/>
    <n v="5000"/>
    <n v="6.8"/>
    <n v="300"/>
    <x v="0"/>
    <n v="0.24365505116552963"/>
    <n v="9.6559002161378125"/>
    <n v="31.069086598328028"/>
    <x v="0"/>
  </r>
  <r>
    <x v="7"/>
    <x v="343"/>
    <n v="512"/>
    <n v="195"/>
    <n v="8"/>
    <n v="16"/>
    <n v="50"/>
    <m/>
    <m/>
    <s v="Snapdragon 6 Gen 1"/>
    <x v="1"/>
    <n v="30"/>
    <n v="5000"/>
    <n v="6.8"/>
    <n v="350"/>
    <x v="0"/>
    <n v="0.28074991522827325"/>
    <n v="8.5761145431509167"/>
    <n v="40.811022082198996"/>
    <x v="0"/>
  </r>
  <r>
    <x v="7"/>
    <x v="344"/>
    <n v="128"/>
    <n v="184"/>
    <n v="4"/>
    <n v="16"/>
    <n v="50"/>
    <m/>
    <m/>
    <s v="Snapdragon 480+ 5G"/>
    <x v="1"/>
    <n v="22"/>
    <n v="5000"/>
    <n v="6.5"/>
    <n v="349"/>
    <x v="0"/>
    <n v="0.15768032632321657"/>
    <n v="15.263224917361487"/>
    <n v="22.865416836190519"/>
    <x v="2"/>
  </r>
  <r>
    <x v="7"/>
    <x v="345"/>
    <n v="256"/>
    <n v="184"/>
    <n v="6"/>
    <n v="16"/>
    <n v="50"/>
    <m/>
    <m/>
    <s v="Snapdragon 480+ 5G"/>
    <x v="1"/>
    <n v="22"/>
    <n v="5000"/>
    <n v="6.5"/>
    <n v="399"/>
    <x v="0"/>
    <n v="0.17685004140978244"/>
    <n v="13.88483644890098"/>
    <n v="28.736384578126007"/>
    <x v="2"/>
  </r>
  <r>
    <x v="7"/>
    <x v="346"/>
    <n v="64"/>
    <n v="185"/>
    <n v="3"/>
    <n v="8"/>
    <n v="16"/>
    <m/>
    <m/>
    <s v="Helio G37"/>
    <x v="1"/>
    <n v="6"/>
    <n v="5000"/>
    <n v="6.5"/>
    <n v="199"/>
    <x v="0"/>
    <n v="0.14192245576419499"/>
    <n v="15.587513551940393"/>
    <n v="12.766628836401411"/>
    <x v="2"/>
  </r>
  <r>
    <x v="7"/>
    <x v="347"/>
    <n v="32"/>
    <n v="169"/>
    <n v="2"/>
    <n v="5"/>
    <n v="16"/>
    <m/>
    <m/>
    <s v="Helio G37"/>
    <x v="1"/>
    <n v="6"/>
    <n v="4020"/>
    <n v="6.5"/>
    <n v="179"/>
    <x v="0"/>
    <n v="0.10562961773677765"/>
    <n v="20.613049516638263"/>
    <n v="8.6838194346506725"/>
    <x v="2"/>
  </r>
  <r>
    <x v="7"/>
    <x v="348"/>
    <n v="64"/>
    <n v="169"/>
    <n v="4"/>
    <n v="5"/>
    <n v="16"/>
    <m/>
    <m/>
    <s v="Helio G37"/>
    <x v="1"/>
    <n v="6"/>
    <n v="4020"/>
    <n v="6.5"/>
    <n v="199"/>
    <x v="0"/>
    <n v="0.12952661382476877"/>
    <n v="17.079256048041749"/>
    <n v="11.651561370134543"/>
    <x v="2"/>
  </r>
  <r>
    <x v="7"/>
    <x v="349"/>
    <n v="64"/>
    <n v="185"/>
    <n v="4"/>
    <n v="16"/>
    <n v="50"/>
    <m/>
    <m/>
    <s v="Helio G37"/>
    <x v="1"/>
    <n v="6"/>
    <n v="5000"/>
    <n v="6.5"/>
    <n v="249"/>
    <x v="0"/>
    <n v="0.15518441077138206"/>
    <n v="14.742862344378398"/>
    <n v="16.889528924818741"/>
    <x v="2"/>
  </r>
  <r>
    <x v="7"/>
    <x v="350"/>
    <n v="128"/>
    <n v="192"/>
    <n v="8"/>
    <n v="32"/>
    <n v="50"/>
    <m/>
    <m/>
    <s v="Snapdragon 8+ Gen 1"/>
    <x v="0"/>
    <n v="92"/>
    <n v="3500"/>
    <n v="6.7"/>
    <n v="999"/>
    <x v="1"/>
    <n v="0.12711421597624323"/>
    <n v="22.168724185567342"/>
    <n v="45.063486362033672"/>
    <x v="1"/>
  </r>
  <r>
    <x v="7"/>
    <x v="351"/>
    <n v="256"/>
    <n v="192"/>
    <n v="12"/>
    <n v="32"/>
    <n v="50"/>
    <m/>
    <m/>
    <s v="Snapdragon 8+ Gen 1"/>
    <x v="0"/>
    <n v="92"/>
    <n v="3500"/>
    <n v="6.7"/>
    <n v="1099"/>
    <x v="1"/>
    <n v="0.13768619560245182"/>
    <n v="20.761525146579238"/>
    <n v="52.934454103969145"/>
    <x v="1"/>
  </r>
  <r>
    <x v="7"/>
    <x v="352"/>
    <n v="512"/>
    <n v="189"/>
    <n v="12"/>
    <n v="32"/>
    <n v="50"/>
    <m/>
    <m/>
    <s v="Snapdragon 8+ Gen 1"/>
    <x v="0"/>
    <n v="92"/>
    <n v="4000"/>
    <n v="6.9"/>
    <n v="1199"/>
    <x v="1"/>
    <n v="0.14903505708741727"/>
    <n v="19.432757858884379"/>
    <n v="61.699940312477793"/>
    <x v="0"/>
  </r>
  <r>
    <x v="7"/>
    <x v="353"/>
    <n v="512"/>
    <n v="198"/>
    <n v="12"/>
    <n v="60"/>
    <n v="200"/>
    <m/>
    <m/>
    <s v="Snapdragon 8 Gen 3"/>
    <x v="0"/>
    <n v="100"/>
    <n v="5000"/>
    <n v="6.9"/>
    <n v="1499"/>
    <x v="0"/>
    <n v="0.15557557460780339"/>
    <n v="19.249915667275413"/>
    <n v="77.87047101449275"/>
    <x v="0"/>
  </r>
  <r>
    <x v="7"/>
    <x v="354"/>
    <n v="512"/>
    <n v="198"/>
    <n v="12"/>
    <n v="60"/>
    <n v="200"/>
    <m/>
    <m/>
    <s v="Snapdragon 8 Gen 3"/>
    <x v="0"/>
    <n v="100"/>
    <n v="5000"/>
    <n v="6.9"/>
    <n v="1499"/>
    <x v="0"/>
    <n v="0.15557557460780339"/>
    <n v="19.249915667275413"/>
    <n v="77.87047101449275"/>
    <x v="0"/>
  </r>
  <r>
    <x v="7"/>
    <x v="355"/>
    <n v="128"/>
    <n v="168"/>
    <n v="8"/>
    <n v="32"/>
    <n v="50"/>
    <m/>
    <m/>
    <s v="Snapdragon 888+ 5G"/>
    <x v="0"/>
    <n v="88"/>
    <n v="4400"/>
    <n v="6.55"/>
    <n v="699"/>
    <x v="0"/>
    <n v="0.17334478647357074"/>
    <n v="15.408515232534167"/>
    <n v="45.364526656280475"/>
    <x v="2"/>
  </r>
  <r>
    <x v="7"/>
    <x v="356"/>
    <n v="256"/>
    <n v="168"/>
    <n v="12"/>
    <n v="32"/>
    <n v="50"/>
    <m/>
    <m/>
    <s v="Snapdragon 888+ 5G"/>
    <x v="0"/>
    <n v="88"/>
    <n v="4400"/>
    <n v="6.55"/>
    <n v="749"/>
    <x v="0"/>
    <n v="0.19181905481038378"/>
    <n v="14.069560327500229"/>
    <n v="53.235494398215963"/>
    <x v="2"/>
  </r>
  <r>
    <x v="7"/>
    <x v="357"/>
    <n v="128"/>
    <n v="168"/>
    <n v="8"/>
    <n v="32"/>
    <n v="50"/>
    <m/>
    <m/>
    <s v="Snapdragon 7 Gen 1"/>
    <x v="2"/>
    <n v="55"/>
    <n v="5000"/>
    <n v="6.7"/>
    <n v="499"/>
    <x v="0"/>
    <n v="0.19421725700601236"/>
    <n v="13.074565517853008"/>
    <n v="38.165704192512351"/>
    <x v="0"/>
  </r>
  <r>
    <x v="7"/>
    <x v="358"/>
    <n v="256"/>
    <n v="168"/>
    <n v="12"/>
    <n v="32"/>
    <n v="50"/>
    <m/>
    <m/>
    <s v="Snapdragon 7 Gen 1"/>
    <x v="2"/>
    <n v="55"/>
    <n v="5000"/>
    <n v="6.7"/>
    <n v="549"/>
    <x v="0"/>
    <n v="0.21600680213337281"/>
    <n v="11.925275588594406"/>
    <n v="46.036671934447838"/>
    <x v="0"/>
  </r>
  <r>
    <x v="7"/>
    <x v="359"/>
    <n v="128"/>
    <n v="186"/>
    <n v="8"/>
    <n v="50"/>
    <n v="50"/>
    <m/>
    <m/>
    <s v="Snapdragon 7 Gen 3"/>
    <x v="2"/>
    <n v="60"/>
    <n v="4500"/>
    <n v="6.7"/>
    <n v="549"/>
    <x v="0"/>
    <n v="0.19573658634185054"/>
    <n v="13.160240977905977"/>
    <n v="41.716561339696341"/>
    <x v="0"/>
  </r>
  <r>
    <x v="7"/>
    <x v="360"/>
    <n v="256"/>
    <n v="186"/>
    <n v="12"/>
    <n v="50"/>
    <n v="50"/>
    <m/>
    <m/>
    <s v="Snapdragon 7 Gen 3"/>
    <x v="2"/>
    <n v="60"/>
    <n v="4500"/>
    <n v="6.7"/>
    <n v="599"/>
    <x v="0"/>
    <n v="0.21605268562996788"/>
    <n v="12.079650087301509"/>
    <n v="49.587529081631828"/>
    <x v="0"/>
  </r>
  <r>
    <x v="7"/>
    <x v="361"/>
    <n v="128"/>
    <n v="166"/>
    <n v="8"/>
    <n v="16"/>
    <n v="50"/>
    <m/>
    <m/>
    <s v="Snapdragon 695"/>
    <x v="2"/>
    <n v="40"/>
    <n v="5000"/>
    <n v="6.5"/>
    <n v="299"/>
    <x v="0"/>
    <n v="0.24703556075631114"/>
    <n v="9.5189973040582565"/>
    <n v="31.410871381645066"/>
    <x v="1"/>
  </r>
  <r>
    <x v="7"/>
    <x v="362"/>
    <n v="256"/>
    <n v="166"/>
    <n v="12"/>
    <n v="16"/>
    <n v="50"/>
    <m/>
    <m/>
    <s v="Snapdragon 695"/>
    <x v="2"/>
    <n v="40"/>
    <n v="5000"/>
    <n v="6.5"/>
    <n v="349"/>
    <x v="0"/>
    <n v="0.27088827008737015"/>
    <n v="8.8845127363321001"/>
    <n v="39.281839123580554"/>
    <x v="1"/>
  </r>
  <r>
    <x v="7"/>
    <x v="363"/>
    <n v="128"/>
    <n v="180"/>
    <n v="6"/>
    <n v="25"/>
    <n v="48"/>
    <m/>
    <m/>
    <s v="Exynos 9609"/>
    <x v="2"/>
    <n v="35"/>
    <n v="3500"/>
    <n v="6.3"/>
    <n v="299"/>
    <x v="0"/>
    <n v="0.21190060919841605"/>
    <n v="11.097329289147805"/>
    <n v="26.943419647139358"/>
    <x v="0"/>
  </r>
  <r>
    <x v="7"/>
    <x v="364"/>
    <n v="256"/>
    <n v="180"/>
    <n v="8"/>
    <n v="25"/>
    <n v="48"/>
    <m/>
    <m/>
    <s v="Exynos 9609"/>
    <x v="2"/>
    <n v="35"/>
    <n v="3500"/>
    <n v="6.3"/>
    <n v="349"/>
    <x v="0"/>
    <n v="0.22628860644325813"/>
    <n v="10.63557871314079"/>
    <n v="32.814387389074845"/>
    <x v="0"/>
  </r>
  <r>
    <x v="7"/>
    <x v="365"/>
    <n v="128"/>
    <n v="170"/>
    <n v="6"/>
    <n v="32"/>
    <n v="64"/>
    <m/>
    <m/>
    <s v="Snapdragon 695"/>
    <x v="2"/>
    <n v="40"/>
    <n v="5000"/>
    <n v="6.7"/>
    <n v="399"/>
    <x v="0"/>
    <n v="0.20367868505360792"/>
    <n v="12.055919844091207"/>
    <n v="33.095774122582284"/>
    <x v="0"/>
  </r>
  <r>
    <x v="7"/>
    <x v="366"/>
    <n v="256"/>
    <n v="170"/>
    <n v="8"/>
    <n v="32"/>
    <n v="64"/>
    <m/>
    <m/>
    <s v="Snapdragon 695"/>
    <x v="2"/>
    <n v="40"/>
    <n v="5000"/>
    <n v="6.7"/>
    <n v="449"/>
    <x v="0"/>
    <n v="0.2169125623823259"/>
    <n v="11.522646711421597"/>
    <n v="38.966741864517772"/>
    <x v="0"/>
  </r>
  <r>
    <x v="7"/>
    <x v="367"/>
    <n v="128"/>
    <n v="190"/>
    <n v="8"/>
    <n v="32"/>
    <n v="64"/>
    <m/>
    <m/>
    <s v="Dimensity 8100"/>
    <x v="2"/>
    <n v="65"/>
    <n v="4500"/>
    <n v="6.7"/>
    <n v="300"/>
    <x v="0"/>
    <n v="0.31835043190456574"/>
    <n v="7.3903115102969164"/>
    <n v="40.593688044409248"/>
    <x v="0"/>
  </r>
  <r>
    <x v="7"/>
    <x v="368"/>
    <n v="256"/>
    <n v="190"/>
    <n v="12"/>
    <n v="32"/>
    <n v="64"/>
    <m/>
    <m/>
    <s v="Dimensity 8100"/>
    <x v="2"/>
    <n v="65"/>
    <n v="4500"/>
    <n v="6.7"/>
    <n v="350"/>
    <x v="0"/>
    <n v="0.33340130458331757"/>
    <n v="7.2217576772435264"/>
    <n v="48.464655786344736"/>
    <x v="0"/>
  </r>
  <r>
    <x v="7"/>
    <x v="369"/>
    <n v="256"/>
    <n v="171"/>
    <n v="8"/>
    <n v="32"/>
    <n v="50"/>
    <m/>
    <m/>
    <s v="Dimensity 7300"/>
    <x v="2"/>
    <n v="55"/>
    <n v="4310"/>
    <n v="6.4"/>
    <n v="400"/>
    <x v="0"/>
    <n v="0.24932520403491235"/>
    <n v="9.8524176957561416"/>
    <n v="40.599171934447838"/>
    <x v="0"/>
  </r>
  <r>
    <x v="7"/>
    <x v="370"/>
    <n v="512"/>
    <n v="171"/>
    <n v="12"/>
    <n v="32"/>
    <n v="50"/>
    <m/>
    <m/>
    <s v="Dimensity 7300"/>
    <x v="2"/>
    <n v="55"/>
    <n v="4310"/>
    <n v="6.4"/>
    <n v="450"/>
    <x v="0"/>
    <n v="0.29081196463504178"/>
    <n v="8.5974489688100277"/>
    <n v="52.341107418318813"/>
    <x v="0"/>
  </r>
  <r>
    <x v="7"/>
    <x v="371"/>
    <n v="128"/>
    <n v="182"/>
    <n v="8"/>
    <n v="16"/>
    <n v="50"/>
    <m/>
    <m/>
    <s v="Dimensity 7025"/>
    <x v="2"/>
    <n v="45"/>
    <n v="5000"/>
    <n v="6.49"/>
    <n v="270"/>
    <x v="0"/>
    <n v="0.2801547227547932"/>
    <n v="8.2662134715682427"/>
    <n v="32.663080977604658"/>
    <x v="0"/>
  </r>
  <r>
    <x v="7"/>
    <x v="372"/>
    <n v="256"/>
    <n v="182"/>
    <n v="8"/>
    <n v="16"/>
    <n v="50"/>
    <m/>
    <m/>
    <s v="Dimensity 7025"/>
    <x v="2"/>
    <n v="45"/>
    <n v="5000"/>
    <n v="6.49"/>
    <n v="320"/>
    <x v="0"/>
    <n v="0.27121913217630117"/>
    <n v="8.7589525720659811"/>
    <n v="36.534048719540145"/>
    <x v="0"/>
  </r>
  <r>
    <x v="7"/>
    <x v="373"/>
    <n v="256"/>
    <n v="180"/>
    <n v="8"/>
    <n v="32"/>
    <n v="50"/>
    <m/>
    <m/>
    <s v="Snapdragon 7s Gen 2"/>
    <x v="2"/>
    <n v="50"/>
    <n v="4700"/>
    <n v="6.7"/>
    <n v="450"/>
    <x v="0"/>
    <n v="0.22382666174042767"/>
    <n v="11.170434326401624"/>
    <n v="40.284915237038973"/>
    <x v="0"/>
  </r>
  <r>
    <x v="7"/>
    <x v="374"/>
    <n v="512"/>
    <n v="180"/>
    <n v="12"/>
    <n v="32"/>
    <n v="50"/>
    <m/>
    <m/>
    <s v="Snapdragon 7s Gen 2"/>
    <x v="2"/>
    <n v="50"/>
    <n v="4700"/>
    <n v="6.7"/>
    <n v="500"/>
    <x v="0"/>
    <n v="0.26430357310748082"/>
    <n v="9.6104221776208085"/>
    <n v="52.026850720909934"/>
    <x v="0"/>
  </r>
  <r>
    <x v="7"/>
    <x v="375"/>
    <n v="256"/>
    <n v="188"/>
    <n v="8"/>
    <n v="32"/>
    <n v="50"/>
    <m/>
    <m/>
    <s v="Snapdragon 7 Gen 1"/>
    <x v="2"/>
    <n v="55"/>
    <n v="3800"/>
    <n v="6.7"/>
    <n v="999"/>
    <x v="1"/>
    <n v="0.11305731712272078"/>
    <n v="24.925056296737981"/>
    <n v="40.080150195317401"/>
    <x v="0"/>
  </r>
  <r>
    <x v="7"/>
    <x v="376"/>
    <n v="256"/>
    <n v="170"/>
    <n v="8"/>
    <n v="32"/>
    <n v="50"/>
    <m/>
    <m/>
    <s v="Dimensity 7200"/>
    <x v="2"/>
    <n v="50"/>
    <n v="4300"/>
    <n v="6.5"/>
    <n v="300"/>
    <x v="0"/>
    <n v="0.30918051342560054"/>
    <n v="7.6094991729756929"/>
    <n v="39.424407990662161"/>
    <x v="0"/>
  </r>
  <r>
    <x v="7"/>
    <x v="377"/>
    <n v="512"/>
    <n v="170"/>
    <n v="12"/>
    <n v="32"/>
    <n v="50"/>
    <m/>
    <m/>
    <s v="Dimensity 7200"/>
    <x v="2"/>
    <n v="50"/>
    <n v="4300"/>
    <n v="6.5"/>
    <n v="350"/>
    <x v="0"/>
    <n v="0.35198693539414216"/>
    <n v="6.8404340867977895"/>
    <n v="51.166343474533122"/>
    <x v="0"/>
  </r>
  <r>
    <x v="7"/>
    <x v="378"/>
    <n v="256"/>
    <n v="174"/>
    <n v="8"/>
    <n v="32"/>
    <n v="50"/>
    <m/>
    <m/>
    <s v="Snapdragon 7s Gen 2"/>
    <x v="2"/>
    <n v="50"/>
    <n v="4700"/>
    <n v="6.7"/>
    <n v="450"/>
    <x v="0"/>
    <n v="0.22382666174042767"/>
    <n v="11.170434326401624"/>
    <n v="40.284915237038973"/>
    <x v="0"/>
  </r>
  <r>
    <x v="7"/>
    <x v="379"/>
    <n v="512"/>
    <n v="174"/>
    <n v="12"/>
    <n v="32"/>
    <n v="50"/>
    <m/>
    <m/>
    <s v="Snapdragon 7s Gen 2"/>
    <x v="2"/>
    <n v="50"/>
    <n v="4700"/>
    <n v="6.7"/>
    <n v="500"/>
    <x v="0"/>
    <n v="0.26430357310748082"/>
    <n v="9.6104221776208085"/>
    <n v="52.026850720909934"/>
    <x v="0"/>
  </r>
  <r>
    <x v="7"/>
    <x v="380"/>
    <n v="128"/>
    <n v="155"/>
    <n v="6"/>
    <n v="32"/>
    <n v="64"/>
    <m/>
    <m/>
    <s v="Snapdragon 695 5G"/>
    <x v="2"/>
    <n v="40"/>
    <n v="4020"/>
    <n v="6.28"/>
    <n v="499"/>
    <x v="0"/>
    <n v="0.15806009993759057"/>
    <n v="16.065447588768073"/>
    <n v="31.060448035625768"/>
    <x v="2"/>
  </r>
  <r>
    <x v="7"/>
    <x v="381"/>
    <n v="256"/>
    <n v="155"/>
    <n v="8"/>
    <n v="32"/>
    <n v="64"/>
    <m/>
    <m/>
    <s v="Snapdragon 695 5G"/>
    <x v="2"/>
    <n v="40"/>
    <n v="4020"/>
    <n v="6.28"/>
    <n v="549"/>
    <x v="0"/>
    <n v="0.17328439883161328"/>
    <n v="14.865392740604349"/>
    <n v="36.931415777561256"/>
    <x v="2"/>
  </r>
  <r>
    <x v="7"/>
    <x v="382"/>
    <n v="128"/>
    <n v="173"/>
    <n v="6"/>
    <n v="16"/>
    <n v="50"/>
    <m/>
    <m/>
    <s v="Snapdragon 695 5G"/>
    <x v="2"/>
    <n v="40"/>
    <n v="5000"/>
    <n v="6.6"/>
    <n v="399"/>
    <x v="0"/>
    <n v="0.18164204640511633"/>
    <n v="13.518532462905734"/>
    <n v="29.51503804831173"/>
    <x v="2"/>
  </r>
  <r>
    <x v="7"/>
    <x v="383"/>
    <n v="256"/>
    <n v="173"/>
    <n v="8"/>
    <n v="16"/>
    <n v="50"/>
    <m/>
    <m/>
    <s v="Snapdragon 695 5G"/>
    <x v="2"/>
    <n v="40"/>
    <n v="5000"/>
    <n v="6.6"/>
    <n v="449"/>
    <x v="0"/>
    <n v="0.19698000964837234"/>
    <n v="12.688631846766652"/>
    <n v="35.386005790247218"/>
    <x v="2"/>
  </r>
  <r>
    <x v="7"/>
    <x v="384"/>
    <n v="128"/>
    <n v="175"/>
    <n v="4"/>
    <n v="16"/>
    <n v="50"/>
    <m/>
    <m/>
    <s v="Snapdragon 680 4G"/>
    <x v="2"/>
    <n v="32"/>
    <n v="5000"/>
    <n v="6.4"/>
    <n v="299"/>
    <x v="0"/>
    <n v="0.19886953459114456"/>
    <n v="11.824490069232334"/>
    <n v="25.286502694776381"/>
    <x v="2"/>
  </r>
  <r>
    <x v="7"/>
    <x v="385"/>
    <n v="128"/>
    <n v="184"/>
    <n v="4"/>
    <n v="16"/>
    <n v="50"/>
    <m/>
    <m/>
    <s v="Snapdragon 680 4G"/>
    <x v="2"/>
    <n v="32"/>
    <n v="5000"/>
    <n v="6.5"/>
    <n v="279"/>
    <x v="0"/>
    <n v="0.21179250025828741"/>
    <n v="10.988288494027453"/>
    <n v="25.390669361443045"/>
    <x v="2"/>
  </r>
  <r>
    <x v="8"/>
    <x v="386"/>
    <n v="128"/>
    <n v="193"/>
    <n v="4"/>
    <n v="8"/>
    <n v="50"/>
    <m/>
    <m/>
    <s v="Snapdragon 480+"/>
    <x v="1"/>
    <n v="22"/>
    <n v="5000"/>
    <n v="6.56"/>
    <n v="229"/>
    <x v="0"/>
    <n v="0.21259792940051725"/>
    <n v="10.62713730893862"/>
    <n v="21.548606491362936"/>
    <x v="1"/>
  </r>
  <r>
    <x v="8"/>
    <x v="387"/>
    <n v="64"/>
    <n v="197"/>
    <n v="4"/>
    <n v="8"/>
    <n v="48"/>
    <m/>
    <m/>
    <s v="Helio G35"/>
    <x v="1"/>
    <n v="4"/>
    <n v="5050"/>
    <n v="6.52"/>
    <n v="169"/>
    <x v="0"/>
    <n v="0.19165983744102311"/>
    <n v="11.262943104007556"/>
    <n v="15.004959044840312"/>
    <x v="3"/>
  </r>
  <r>
    <x v="8"/>
    <x v="388"/>
    <n v="128"/>
    <n v="197"/>
    <n v="4"/>
    <n v="8"/>
    <n v="48"/>
    <m/>
    <m/>
    <s v="Helio G35"/>
    <x v="1"/>
    <n v="4"/>
    <n v="5050"/>
    <n v="6.52"/>
    <n v="189"/>
    <x v="0"/>
    <n v="0.19675792208527954"/>
    <n v="11.156733087753787"/>
    <n v="16.940442915808056"/>
    <x v="3"/>
  </r>
  <r>
    <x v="8"/>
    <x v="389"/>
    <n v="64"/>
    <n v="199"/>
    <n v="3"/>
    <n v="8"/>
    <n v="50"/>
    <m/>
    <m/>
    <s v="Unisoc SC9863A"/>
    <x v="1"/>
    <n v="3"/>
    <n v="5000"/>
    <n v="6.52"/>
    <n v="139"/>
    <x v="0"/>
    <n v="0.20772127579160576"/>
    <n v="10.091860502621527"/>
    <n v="13.77347615574873"/>
    <x v="1"/>
  </r>
  <r>
    <x v="8"/>
    <x v="390"/>
    <n v="128"/>
    <n v="199"/>
    <n v="4"/>
    <n v="8"/>
    <n v="50"/>
    <m/>
    <m/>
    <s v="Unisoc SC9863A"/>
    <x v="1"/>
    <n v="3"/>
    <n v="5000"/>
    <n v="6.52"/>
    <n v="159"/>
    <x v="0"/>
    <n v="0.22478217253020374"/>
    <n v="9.5158525572968049"/>
    <n v="16.708960026716468"/>
    <x v="1"/>
  </r>
  <r>
    <x v="8"/>
    <x v="391"/>
    <n v="64"/>
    <n v="190"/>
    <n v="4"/>
    <n v="8"/>
    <n v="50"/>
    <m/>
    <m/>
    <s v="Unisoc T606"/>
    <x v="1"/>
    <n v="4"/>
    <n v="5050"/>
    <n v="6.5"/>
    <n v="169"/>
    <x v="0"/>
    <n v="0.19270379270260618"/>
    <n v="11.201927134630735"/>
    <n v="15.086689814071084"/>
    <x v="2"/>
  </r>
  <r>
    <x v="8"/>
    <x v="392"/>
    <n v="128"/>
    <n v="190"/>
    <n v="6"/>
    <n v="8"/>
    <n v="50"/>
    <m/>
    <m/>
    <s v="Unisoc T606"/>
    <x v="1"/>
    <n v="4"/>
    <n v="5050"/>
    <n v="6.5"/>
    <n v="189"/>
    <x v="0"/>
    <n v="0.22093657092760818"/>
    <n v="9.9357730157122273"/>
    <n v="19.022173685038826"/>
    <x v="2"/>
  </r>
  <r>
    <x v="8"/>
    <x v="393"/>
    <n v="64"/>
    <n v="190"/>
    <n v="2"/>
    <n v="8"/>
    <n v="13"/>
    <m/>
    <m/>
    <s v="Unisoc SC9863A"/>
    <x v="1"/>
    <n v="3"/>
    <n v="5000"/>
    <n v="6.5"/>
    <n v="119"/>
    <x v="0"/>
    <n v="0.18681992325123126"/>
    <n v="10.962481030754255"/>
    <n v="10.8552069249795"/>
    <x v="1"/>
  </r>
  <r>
    <x v="8"/>
    <x v="394"/>
    <n v="128"/>
    <n v="190"/>
    <n v="3"/>
    <n v="8"/>
    <n v="13"/>
    <m/>
    <m/>
    <s v="Unisoc SC9863A"/>
    <x v="1"/>
    <n v="3"/>
    <n v="5000"/>
    <n v="6.5"/>
    <n v="139"/>
    <x v="0"/>
    <n v="0.20798089413224052"/>
    <n v="10.079263037414256"/>
    <n v="13.79069079594724"/>
    <x v="1"/>
  </r>
  <r>
    <x v="8"/>
    <x v="395"/>
    <n v="128"/>
    <n v="198"/>
    <n v="6"/>
    <n v="16"/>
    <n v="48"/>
    <m/>
    <m/>
    <s v="Snapdragon 480"/>
    <x v="1"/>
    <n v="20"/>
    <n v="5000"/>
    <n v="6.58"/>
    <n v="239"/>
    <x v="0"/>
    <n v="0.2315808369948899"/>
    <n v="9.8187695225692071"/>
    <n v="24.341135561909248"/>
    <x v="2"/>
  </r>
  <r>
    <x v="8"/>
    <x v="396"/>
    <n v="128"/>
    <n v="466"/>
    <n v="4"/>
    <n v="8"/>
    <n v="8"/>
    <m/>
    <m/>
    <s v="Unisoc T612"/>
    <x v="1"/>
    <n v="6"/>
    <n v="8200"/>
    <n v="10.4"/>
    <n v="396"/>
    <x v="1"/>
    <n v="0.15219316111399564"/>
    <n v="16.116069822256414"/>
    <n v="24.571747601460565"/>
    <x v="2"/>
  </r>
  <r>
    <x v="9"/>
    <x v="397"/>
    <n v="128"/>
    <n v="192"/>
    <n v="8"/>
    <n v="16"/>
    <n v="64"/>
    <n v="2"/>
    <m/>
    <s v="Dimensity 6020"/>
    <x v="1"/>
    <n v="20"/>
    <n v="5000"/>
    <n v="6.72"/>
    <n v="249"/>
    <x v="0"/>
    <n v="0.25090666995943284"/>
    <n v="9.1183801784379206"/>
    <n v="27.307481715755401"/>
    <x v="1"/>
  </r>
  <r>
    <x v="9"/>
    <x v="398"/>
    <n v="64"/>
    <n v="189"/>
    <n v="4"/>
    <n v="16"/>
    <n v="13"/>
    <n v="2"/>
    <m/>
    <s v="Snapdragon 480"/>
    <x v="1"/>
    <n v="20"/>
    <n v="5000"/>
    <n v="6.49"/>
    <n v="199"/>
    <x v="0"/>
    <n v="0.20584779192578068"/>
    <n v="10.746863893233671"/>
    <n v="18.517029896069708"/>
    <x v="3"/>
  </r>
  <r>
    <x v="9"/>
    <x v="399"/>
    <n v="64"/>
    <n v="185"/>
    <n v="4"/>
    <n v="8"/>
    <n v="13"/>
    <n v="2"/>
    <m/>
    <s v="Snapdragon 460"/>
    <x v="1"/>
    <n v="18"/>
    <n v="5000"/>
    <n v="6.52"/>
    <n v="179"/>
    <x v="0"/>
    <n v="0.20269921687019016"/>
    <n v="10.741770858572959"/>
    <n v="16.663919046191616"/>
    <x v="4"/>
  </r>
  <r>
    <x v="9"/>
    <x v="400"/>
    <n v="64"/>
    <n v="185"/>
    <n v="4"/>
    <n v="8"/>
    <n v="13"/>
    <n v="2"/>
    <m/>
    <s v="Snapdragon 460"/>
    <x v="1"/>
    <n v="18"/>
    <n v="5000"/>
    <n v="6.52"/>
    <n v="179"/>
    <x v="0"/>
    <n v="0.20269921687019016"/>
    <n v="10.741770858572959"/>
    <n v="16.663919046191616"/>
    <x v="4"/>
  </r>
  <r>
    <x v="9"/>
    <x v="401"/>
    <n v="256"/>
    <n v="205"/>
    <n v="12"/>
    <n v="32"/>
    <n v="50"/>
    <n v="48"/>
    <m/>
    <s v="Snapdragon 8 Gen 3"/>
    <x v="0"/>
    <n v="100"/>
    <n v="5000"/>
    <n v="6.7"/>
    <n v="799"/>
    <x v="0"/>
    <n v="0.19577149738197852"/>
    <n v="13.919785863356893"/>
    <n v="57.400308298084212"/>
    <x v="0"/>
  </r>
  <r>
    <x v="9"/>
    <x v="402"/>
    <n v="256"/>
    <n v="203"/>
    <n v="12"/>
    <n v="16"/>
    <n v="50"/>
    <n v="8"/>
    <m/>
    <s v="Snapdragon 8 Gen 2"/>
    <x v="0"/>
    <n v="95"/>
    <n v="4500"/>
    <n v="6.7"/>
    <n v="699"/>
    <x v="0"/>
    <n v="0.20085447767503953"/>
    <n v="13.298114205747302"/>
    <n v="52.563843954498431"/>
    <x v="0"/>
  </r>
  <r>
    <x v="9"/>
    <x v="403"/>
    <n v="256"/>
    <n v="205"/>
    <n v="12"/>
    <n v="16"/>
    <n v="50"/>
    <n v="48"/>
    <m/>
    <s v="Snapdragon 8 Gen 1"/>
    <x v="0"/>
    <n v="90"/>
    <n v="5000"/>
    <n v="6.7"/>
    <n v="699"/>
    <x v="0"/>
    <n v="0.19914486002922327"/>
    <n v="13.412275779884286"/>
    <n v="52.116435083176512"/>
    <x v="1"/>
  </r>
  <r>
    <x v="9"/>
    <x v="404"/>
    <n v="256"/>
    <n v="202"/>
    <n v="12"/>
    <n v="16"/>
    <n v="50"/>
    <n v="8"/>
    <m/>
    <s v="Snapdragon 8 Gen 1"/>
    <x v="0"/>
    <n v="90"/>
    <n v="5000"/>
    <n v="6.7"/>
    <n v="599"/>
    <x v="0"/>
    <n v="0.22707111997139307"/>
    <n v="11.493495267740611"/>
    <n v="52.116435083176512"/>
    <x v="1"/>
  </r>
  <r>
    <x v="9"/>
    <x v="405"/>
    <n v="256"/>
    <n v="190"/>
    <n v="12"/>
    <n v="16"/>
    <n v="50"/>
    <n v="8"/>
    <m/>
    <s v="Dimensity 9000"/>
    <x v="0"/>
    <n v="90"/>
    <n v="5000"/>
    <n v="6.74"/>
    <n v="499"/>
    <x v="0"/>
    <n v="0.26542163093331367"/>
    <n v="9.5670659640426869"/>
    <n v="52.158101749843176"/>
    <x v="1"/>
  </r>
  <r>
    <x v="9"/>
    <x v="406"/>
    <n v="256"/>
    <n v="238"/>
    <n v="16"/>
    <n v="32"/>
    <n v="48"/>
    <n v="48"/>
    <m/>
    <s v="Snapdragon 8 Gen 2"/>
    <x v="0"/>
    <n v="95"/>
    <n v="4800"/>
    <n v="7.8"/>
    <n v="1099"/>
    <x v="0"/>
    <n v="0.15828773324552903"/>
    <n v="18.059361605128515"/>
    <n v="60.854864309705434"/>
    <x v="0"/>
  </r>
  <r>
    <x v="9"/>
    <x v="407"/>
    <n v="256"/>
    <n v="200"/>
    <n v="12"/>
    <n v="32"/>
    <n v="50"/>
    <n v="48"/>
    <m/>
    <s v="Snapdragon 8 Gen 1"/>
    <x v="0"/>
    <n v="90"/>
    <n v="5000"/>
    <n v="6.7"/>
    <n v="899"/>
    <x v="0"/>
    <n v="0.16930868502467858"/>
    <n v="16.38267127639239"/>
    <n v="54.875055772831686"/>
    <x v="2"/>
  </r>
  <r>
    <x v="9"/>
    <x v="408"/>
    <n v="256"/>
    <n v="203"/>
    <n v="12"/>
    <n v="16"/>
    <n v="50"/>
    <n v="8"/>
    <m/>
    <s v="Snapdragon 8+ Gen 1"/>
    <x v="0"/>
    <n v="92"/>
    <n v="4500"/>
    <n v="6.7"/>
    <n v="749"/>
    <x v="0"/>
    <n v="0.18666924222497644"/>
    <n v="14.457709965769954"/>
    <n v="51.806268196922673"/>
    <x v="2"/>
  </r>
  <r>
    <x v="9"/>
    <x v="409"/>
    <n v="256"/>
    <n v="192"/>
    <n v="12"/>
    <n v="16"/>
    <n v="48"/>
    <n v="50"/>
    <m/>
    <s v="Snapdragon 888"/>
    <x v="0"/>
    <n v="85"/>
    <n v="4500"/>
    <n v="6.7"/>
    <n v="699"/>
    <x v="0"/>
    <n v="0.19081318890128116"/>
    <n v="13.997909674054318"/>
    <n v="49.936027326681803"/>
    <x v="3"/>
  </r>
  <r>
    <x v="9"/>
    <x v="410"/>
    <n v="128"/>
    <n v="183"/>
    <n v="8"/>
    <n v="16"/>
    <n v="48"/>
    <n v="50"/>
    <m/>
    <s v="Snapdragon 888"/>
    <x v="0"/>
    <n v="85"/>
    <n v="4500"/>
    <n v="6.55"/>
    <n v="599"/>
    <x v="0"/>
    <n v="0.18259653243527604"/>
    <n v="14.292937593198065"/>
    <n v="41.908809584746315"/>
    <x v="3"/>
  </r>
  <r>
    <x v="9"/>
    <x v="411"/>
    <n v="256"/>
    <n v="204"/>
    <n v="16"/>
    <n v="32"/>
    <n v="50"/>
    <n v="48"/>
    <m/>
    <s v="Snapdragon 8 Gen 2"/>
    <x v="0"/>
    <n v="95"/>
    <n v="5000"/>
    <n v="6.7"/>
    <n v="899"/>
    <x v="0"/>
    <n v="0.1855457224135813"/>
    <n v="14.949029785849381"/>
    <n v="60.137682035457942"/>
    <x v="1"/>
  </r>
  <r>
    <x v="9"/>
    <x v="412"/>
    <n v="256"/>
    <n v="188"/>
    <n v="12"/>
    <n v="16"/>
    <n v="48"/>
    <n v="16"/>
    <m/>
    <s v="Snapdragon 865"/>
    <x v="0"/>
    <n v="80"/>
    <n v="4500"/>
    <n v="6.55"/>
    <n v="749"/>
    <x v="0"/>
    <n v="0.17481783844411186"/>
    <n v="15.437839682942652"/>
    <n v="48.517151064055547"/>
    <x v="4"/>
  </r>
  <r>
    <x v="9"/>
    <x v="413"/>
    <n v="128"/>
    <n v="192"/>
    <n v="8"/>
    <n v="16"/>
    <n v="48"/>
    <n v="50"/>
    <m/>
    <s v="Snapdragon 888"/>
    <x v="0"/>
    <n v="85"/>
    <n v="4500"/>
    <n v="6.55"/>
    <n v="649"/>
    <x v="0"/>
    <n v="0.17056791182290088"/>
    <n v="15.486004170259672"/>
    <n v="41.908809584746315"/>
    <x v="3"/>
  </r>
  <r>
    <x v="9"/>
    <x v="414"/>
    <n v="256"/>
    <n v="188"/>
    <n v="12"/>
    <n v="16"/>
    <n v="48"/>
    <n v="16"/>
    <m/>
    <s v="Snapdragon 865"/>
    <x v="0"/>
    <n v="80"/>
    <n v="4500"/>
    <n v="6.55"/>
    <n v="599"/>
    <x v="0"/>
    <n v="0.21138905246212167"/>
    <n v="12.346149492767221"/>
    <n v="48.517151064055547"/>
    <x v="4"/>
  </r>
  <r>
    <x v="9"/>
    <x v="415"/>
    <n v="256"/>
    <n v="203"/>
    <n v="12"/>
    <n v="16"/>
    <n v="50"/>
    <n v="8"/>
    <m/>
    <s v="Snapdragon 8+ Gen 1"/>
    <x v="0"/>
    <n v="92"/>
    <n v="4500"/>
    <n v="6.7"/>
    <n v="749"/>
    <x v="0"/>
    <n v="0.18666924222497644"/>
    <n v="14.457709965769954"/>
    <n v="51.806268196922673"/>
    <x v="2"/>
  </r>
  <r>
    <x v="9"/>
    <x v="416"/>
    <n v="128"/>
    <n v="189"/>
    <n v="8"/>
    <n v="16"/>
    <n v="48"/>
    <n v="5"/>
    <m/>
    <s v="Snapdragon 870"/>
    <x v="0"/>
    <n v="82"/>
    <n v="4500"/>
    <n v="6.55"/>
    <n v="599"/>
    <x v="0"/>
    <n v="0.17929577758776283"/>
    <n v="14.556064163609683"/>
    <n v="41.151233827170564"/>
    <x v="3"/>
  </r>
  <r>
    <x v="9"/>
    <x v="417"/>
    <n v="256"/>
    <n v="199"/>
    <n v="12"/>
    <n v="16"/>
    <n v="48"/>
    <n v="48"/>
    <m/>
    <s v="Snapdragon 865"/>
    <x v="0"/>
    <n v="80"/>
    <n v="4510"/>
    <n v="6.78"/>
    <n v="749"/>
    <x v="0"/>
    <n v="0.17573985736574443"/>
    <n v="15.356845078132087"/>
    <n v="48.773038745214961"/>
    <x v="4"/>
  </r>
  <r>
    <x v="9"/>
    <x v="418"/>
    <n v="128"/>
    <n v="180"/>
    <n v="8"/>
    <n v="16"/>
    <n v="48"/>
    <n v="16"/>
    <m/>
    <s v="Snapdragon 865"/>
    <x v="0"/>
    <n v="80"/>
    <n v="4300"/>
    <n v="6.55"/>
    <n v="699"/>
    <x v="0"/>
    <n v="0.15406924771959032"/>
    <n v="17.336268089785538"/>
    <n v="40.320096365598317"/>
    <x v="4"/>
  </r>
  <r>
    <x v="9"/>
    <x v="419"/>
    <n v="128"/>
    <n v="192"/>
    <n v="8"/>
    <n v="16"/>
    <n v="48"/>
    <n v="5"/>
    <m/>
    <s v="Snapdragon 865"/>
    <x v="0"/>
    <n v="80"/>
    <n v="4300"/>
    <n v="6.55"/>
    <n v="649"/>
    <x v="0"/>
    <n v="0.16410188477606863"/>
    <n v="16.096191688513326"/>
    <n v="40.320096365598317"/>
    <x v="4"/>
  </r>
  <r>
    <x v="9"/>
    <x v="420"/>
    <n v="128"/>
    <n v="190"/>
    <n v="6"/>
    <n v="16"/>
    <n v="48"/>
    <n v="5"/>
    <m/>
    <s v="Snapdragon 855"/>
    <x v="0"/>
    <n v="75"/>
    <n v="3700"/>
    <n v="6.41"/>
    <n v="599"/>
    <x v="0"/>
    <n v="0.15656158939038151"/>
    <n v="16.669739065590406"/>
    <n v="35.9333759000735"/>
    <x v="4"/>
  </r>
  <r>
    <x v="9"/>
    <x v="421"/>
    <n v="256"/>
    <n v="185"/>
    <n v="10"/>
    <n v="16"/>
    <n v="20"/>
    <n v="16"/>
    <m/>
    <s v="Snapdragon 845"/>
    <x v="0"/>
    <n v="70"/>
    <n v="3700"/>
    <n v="6.41"/>
    <n v="799"/>
    <x v="0"/>
    <n v="0.14019694597561419"/>
    <n v="19.437636838250945"/>
    <n v="41.105819943485287"/>
    <x v="7"/>
  </r>
  <r>
    <x v="9"/>
    <x v="422"/>
    <n v="128"/>
    <n v="162"/>
    <n v="6"/>
    <n v="16"/>
    <n v="16"/>
    <n v="20"/>
    <m/>
    <s v="Snapdragon 835"/>
    <x v="0"/>
    <n v="65"/>
    <n v="3300"/>
    <n v="6.01"/>
    <n v="649"/>
    <x v="0"/>
    <n v="0.12494121573141874"/>
    <n v="21.141265340975028"/>
    <n v="30.698257154085191"/>
    <x v="6"/>
  </r>
  <r>
    <x v="9"/>
    <x v="423"/>
    <n v="128"/>
    <n v="210"/>
    <n v="8"/>
    <n v="16"/>
    <n v="50"/>
    <n v="8"/>
    <m/>
    <s v="Snapdragon 8 Gen 2"/>
    <x v="0"/>
    <n v="95"/>
    <n v="4500"/>
    <n v="6.7"/>
    <n v="849"/>
    <x v="0"/>
    <n v="0.14476606441213985"/>
    <n v="18.996316011573903"/>
    <n v="44.69287621256295"/>
    <x v="1"/>
  </r>
  <r>
    <x v="9"/>
    <x v="424"/>
    <n v="128"/>
    <n v="202"/>
    <n v="12"/>
    <n v="32"/>
    <n v="50"/>
    <n v="48"/>
    <m/>
    <s v="Snapdragon 8 Gen 2"/>
    <x v="0"/>
    <n v="95"/>
    <n v="5000"/>
    <n v="6.7"/>
    <n v="799"/>
    <x v="0"/>
    <n v="0.17826268227239586"/>
    <n v="15.286975865996265"/>
    <n v="52.266714293522469"/>
    <x v="1"/>
  </r>
  <r>
    <x v="9"/>
    <x v="425"/>
    <n v="256"/>
    <n v="206"/>
    <n v="12"/>
    <n v="16"/>
    <n v="48"/>
    <n v="8"/>
    <m/>
    <s v="Snapdragon 855"/>
    <x v="0"/>
    <n v="75"/>
    <n v="4000"/>
    <n v="6.67"/>
    <n v="799"/>
    <x v="0"/>
    <n v="0.1588138540806264"/>
    <n v="17.159065482551679"/>
    <n v="46.564307410124925"/>
    <x v="5"/>
  </r>
  <r>
    <x v="9"/>
    <x v="426"/>
    <n v="128"/>
    <n v="177"/>
    <n v="6"/>
    <n v="16"/>
    <n v="20"/>
    <n v="16"/>
    <m/>
    <s v="Snapdragon 845"/>
    <x v="0"/>
    <n v="70"/>
    <n v="3300"/>
    <n v="6.28"/>
    <n v="599"/>
    <x v="0"/>
    <n v="0.14137260203459909"/>
    <n v="18.460725807345913"/>
    <n v="32.447261621839658"/>
    <x v="7"/>
  </r>
  <r>
    <x v="9"/>
    <x v="427"/>
    <n v="128"/>
    <n v="155"/>
    <n v="8"/>
    <n v="16"/>
    <n v="20"/>
    <n v="16"/>
    <m/>
    <s v="Snapdragon 835"/>
    <x v="0"/>
    <n v="65"/>
    <n v="3300"/>
    <n v="5.5"/>
    <n v="599"/>
    <x v="0"/>
    <n v="0.14104527717888737"/>
    <n v="18.503567755208934"/>
    <n v="32.372135359213395"/>
    <x v="6"/>
  </r>
  <r>
    <x v="9"/>
    <x v="428"/>
    <n v="256"/>
    <n v="199"/>
    <n v="12"/>
    <n v="16"/>
    <n v="48"/>
    <n v="8"/>
    <m/>
    <s v="Snapdragon 865"/>
    <x v="0"/>
    <n v="80"/>
    <n v="4510"/>
    <n v="6.78"/>
    <n v="899"/>
    <x v="0"/>
    <n v="0.15048183438381821"/>
    <n v="18.432314719947591"/>
    <n v="48.773038745214961"/>
    <x v="4"/>
  </r>
  <r>
    <x v="9"/>
    <x v="429"/>
    <n v="256"/>
    <n v="188"/>
    <n v="12"/>
    <n v="16"/>
    <n v="48"/>
    <n v="16"/>
    <m/>
    <s v="Snapdragon 865"/>
    <x v="0"/>
    <n v="80"/>
    <n v="4500"/>
    <n v="6.55"/>
    <n v="799"/>
    <x v="0"/>
    <n v="0.1654742908904345"/>
    <n v="16.468403079667794"/>
    <n v="48.517151064055547"/>
    <x v="4"/>
  </r>
  <r>
    <x v="9"/>
    <x v="430"/>
    <n v="256"/>
    <n v="206"/>
    <n v="12"/>
    <n v="16"/>
    <n v="48"/>
    <n v="8"/>
    <m/>
    <s v="Snapdragon 855"/>
    <x v="0"/>
    <n v="75"/>
    <n v="4085"/>
    <n v="6.67"/>
    <n v="899"/>
    <x v="0"/>
    <n v="0.14409471700215068"/>
    <n v="19.249342298622711"/>
    <n v="46.702894366646667"/>
    <x v="5"/>
  </r>
  <r>
    <x v="9"/>
    <x v="431"/>
    <n v="128"/>
    <n v="210"/>
    <n v="12"/>
    <n v="32"/>
    <n v="50"/>
    <n v="8"/>
    <m/>
    <s v="Snapdragon 8 Gen 3"/>
    <x v="0"/>
    <n v="100"/>
    <n v="5000"/>
    <n v="6.7"/>
    <n v="849"/>
    <x v="0"/>
    <n v="0.1733885267539019"/>
    <n v="15.860460659130583"/>
    <n v="53.529340556148725"/>
    <x v="1"/>
  </r>
  <r>
    <x v="9"/>
    <x v="432"/>
    <n v="128"/>
    <n v="202"/>
    <n v="8"/>
    <n v="16"/>
    <n v="64"/>
    <n v="8"/>
    <m/>
    <s v="Snapdragon 8 Gen 2"/>
    <x v="0"/>
    <n v="95"/>
    <n v="4800"/>
    <n v="6.55"/>
    <n v="799"/>
    <x v="0"/>
    <n v="0.1560150800699201"/>
    <n v="17.466884101745741"/>
    <n v="45.743705365294282"/>
    <x v="1"/>
  </r>
  <r>
    <x v="9"/>
    <x v="433"/>
    <n v="256"/>
    <n v="215"/>
    <n v="12"/>
    <n v="32"/>
    <n v="50"/>
    <n v="48"/>
    <m/>
    <s v="Snapdragon 8 Gen 2"/>
    <x v="0"/>
    <n v="95"/>
    <n v="5000"/>
    <n v="6.7"/>
    <n v="899"/>
    <x v="0"/>
    <n v="0.17320432739245753"/>
    <n v="16.014198794887353"/>
    <n v="56.137682035457942"/>
    <x v="1"/>
  </r>
  <r>
    <x v="9"/>
    <x v="434"/>
    <n v="256"/>
    <n v="200"/>
    <n v="12"/>
    <n v="16"/>
    <n v="50"/>
    <n v="8"/>
    <m/>
    <s v="Snapdragon 8 Gen 2"/>
    <x v="0"/>
    <n v="95"/>
    <n v="5000"/>
    <n v="6.7"/>
    <n v="849"/>
    <x v="0"/>
    <n v="0.17290175276018357"/>
    <n v="15.905112952435934"/>
    <n v="53.379061345802775"/>
    <x v="1"/>
  </r>
  <r>
    <x v="9"/>
    <x v="435"/>
    <n v="128"/>
    <n v="550"/>
    <n v="8"/>
    <n v="8"/>
    <n v="13"/>
    <m/>
    <m/>
    <s v="Dimensity 9000"/>
    <x v="0"/>
    <n v="90"/>
    <n v="9510"/>
    <n v="11.61"/>
    <n v="499"/>
    <x v="1"/>
    <n v="0.27192746357839059"/>
    <n v="9.3381750339122327"/>
    <n v="53.436565301876094"/>
    <x v="1"/>
  </r>
  <r>
    <x v="9"/>
    <x v="436"/>
    <n v="128"/>
    <n v="550"/>
    <n v="8"/>
    <n v="8"/>
    <n v="13"/>
    <m/>
    <m/>
    <s v="Dimensity 9000"/>
    <x v="0"/>
    <n v="90"/>
    <n v="9510"/>
    <n v="11.61"/>
    <n v="549"/>
    <x v="1"/>
    <n v="0.25072754182329116"/>
    <n v="10.273863915065762"/>
    <n v="53.436565301876094"/>
    <x v="0"/>
  </r>
  <r>
    <x v="9"/>
    <x v="437"/>
    <n v="128"/>
    <n v="610"/>
    <n v="12"/>
    <n v="16"/>
    <n v="50"/>
    <m/>
    <m/>
    <s v="Snapdragon 8 Gen 3"/>
    <x v="0"/>
    <n v="100"/>
    <n v="11000"/>
    <n v="12.4"/>
    <n v="799"/>
    <x v="1"/>
    <n v="0.22677594347022265"/>
    <n v="12.016694892788314"/>
    <n v="66.490828562145737"/>
    <x v="0"/>
  </r>
  <r>
    <x v="9"/>
    <x v="438"/>
    <n v="128"/>
    <n v="179"/>
    <n v="8"/>
    <n v="16"/>
    <n v="50"/>
    <n v="2"/>
    <m/>
    <s v="Snapdragon 782G"/>
    <x v="2"/>
    <n v="65"/>
    <n v="5000"/>
    <n v="6.72"/>
    <n v="399"/>
    <x v="0"/>
    <n v="0.23357216545302101"/>
    <n v="10.512956011661771"/>
    <n v="37.953169361443045"/>
    <x v="1"/>
  </r>
  <r>
    <x v="9"/>
    <x v="439"/>
    <n v="128"/>
    <n v="195"/>
    <n v="8"/>
    <n v="16"/>
    <n v="108"/>
    <m/>
    <m/>
    <s v="Snapdragon 695"/>
    <x v="2"/>
    <n v="40"/>
    <n v="5000"/>
    <n v="6.72"/>
    <n v="299"/>
    <x v="0"/>
    <n v="0.27223017390513438"/>
    <n v="8.6380242245493939"/>
    <n v="34.614397022670708"/>
    <x v="1"/>
  </r>
  <r>
    <x v="9"/>
    <x v="440"/>
    <n v="128"/>
    <n v="190"/>
    <n v="8"/>
    <n v="32"/>
    <n v="50"/>
    <n v="8"/>
    <m/>
    <s v="Dimensity 1300"/>
    <x v="2"/>
    <n v="40"/>
    <n v="4500"/>
    <n v="6.43"/>
    <n v="399"/>
    <x v="0"/>
    <n v="0.20482080920198004"/>
    <n v="11.98869348541006"/>
    <n v="33.281358013329225"/>
    <x v="2"/>
  </r>
  <r>
    <x v="9"/>
    <x v="441"/>
    <n v="128"/>
    <n v="190"/>
    <n v="8"/>
    <n v="32"/>
    <n v="50"/>
    <n v="8"/>
    <m/>
    <s v="Dimensity 1200-AI"/>
    <x v="2"/>
    <n v="40"/>
    <n v="4500"/>
    <n v="6.43"/>
    <n v="349"/>
    <x v="0"/>
    <n v="0.22950884427855725"/>
    <n v="10.486350943378724"/>
    <n v="33.281358013329225"/>
    <x v="3"/>
  </r>
  <r>
    <x v="9"/>
    <x v="442"/>
    <n v="128"/>
    <n v="195"/>
    <n v="6"/>
    <n v="16"/>
    <n v="64"/>
    <n v="2"/>
    <m/>
    <s v="Dimensity 900"/>
    <x v="2"/>
    <n v="28"/>
    <n v="5000"/>
    <n v="6.59"/>
    <n v="249"/>
    <x v="0"/>
    <n v="0.24984805446438632"/>
    <n v="9.1570150942362964"/>
    <n v="27.19226706929075"/>
    <x v="2"/>
  </r>
  <r>
    <x v="9"/>
    <x v="443"/>
    <n v="128"/>
    <n v="173"/>
    <n v="8"/>
    <n v="16"/>
    <n v="64"/>
    <n v="8"/>
    <m/>
    <s v="Dimensity 1200"/>
    <x v="2"/>
    <n v="38"/>
    <n v="4500"/>
    <n v="6.43"/>
    <n v="299"/>
    <x v="0"/>
    <n v="0.24172506606790864"/>
    <n v="9.7281216015273397"/>
    <n v="30.735635536572268"/>
    <x v="2"/>
  </r>
  <r>
    <x v="9"/>
    <x v="444"/>
    <n v="128"/>
    <n v="184"/>
    <n v="6"/>
    <n v="16"/>
    <n v="48"/>
    <n v="5"/>
    <m/>
    <s v="Snapdragon 765G"/>
    <x v="2"/>
    <n v="52"/>
    <n v="4115"/>
    <n v="6.44"/>
    <n v="349"/>
    <x v="0"/>
    <n v="0.21262613375794201"/>
    <n v="11.318976850014394"/>
    <n v="30.8331755267753"/>
    <x v="4"/>
  </r>
  <r>
    <x v="9"/>
    <x v="445"/>
    <n v="128"/>
    <n v="170"/>
    <n v="6"/>
    <n v="16"/>
    <n v="64"/>
    <n v="8"/>
    <m/>
    <s v="Snapdragon 750G"/>
    <x v="2"/>
    <n v="50"/>
    <n v="4500"/>
    <n v="6.43"/>
    <n v="299"/>
    <x v="0"/>
    <n v="0.2498280404727691"/>
    <n v="9.4125976907790641"/>
    <n v="31.765938566875292"/>
    <x v="3"/>
  </r>
  <r>
    <x v="9"/>
    <x v="446"/>
    <n v="128"/>
    <n v="189"/>
    <n v="8"/>
    <n v="32"/>
    <n v="50"/>
    <n v="8"/>
    <m/>
    <s v="Dimensity 1200-AI"/>
    <x v="2"/>
    <n v="40"/>
    <n v="4500"/>
    <n v="6.43"/>
    <n v="399"/>
    <x v="0"/>
    <n v="0.20482080920198004"/>
    <n v="11.98869348541006"/>
    <n v="33.281358013329225"/>
    <x v="3"/>
  </r>
  <r>
    <x v="9"/>
    <x v="447"/>
    <n v="128"/>
    <n v="190"/>
    <n v="6"/>
    <n v="16"/>
    <n v="64"/>
    <n v="8"/>
    <m/>
    <s v="Snapdragon 690"/>
    <x v="2"/>
    <n v="38"/>
    <n v="4300"/>
    <n v="6.49"/>
    <n v="299"/>
    <x v="0"/>
    <n v="0.2239227432246213"/>
    <n v="10.501527459794374"/>
    <n v="28.472048580050526"/>
    <x v="4"/>
  </r>
  <r>
    <x v="9"/>
    <x v="448"/>
    <n v="128"/>
    <n v="205"/>
    <n v="8"/>
    <n v="16"/>
    <n v="50"/>
    <n v="16"/>
    <m/>
    <s v="Dimensity 8100"/>
    <x v="2"/>
    <n v="65"/>
    <n v="4500"/>
    <n v="6.7"/>
    <n v="599"/>
    <x v="0"/>
    <n v="0.16171915223133021"/>
    <n v="16.138106135373103"/>
    <n v="37.117118636805365"/>
    <x v="2"/>
  </r>
  <r>
    <x v="9"/>
    <x v="449"/>
    <n v="128"/>
    <n v="190"/>
    <n v="8"/>
    <n v="32"/>
    <n v="64"/>
    <n v="8"/>
    <m/>
    <s v="Snapdragon 765G"/>
    <x v="2"/>
    <n v="52"/>
    <n v="4000"/>
    <n v="6.44"/>
    <n v="299"/>
    <x v="0"/>
    <n v="0.28489550337533176"/>
    <n v="8.2540117656678227"/>
    <n v="36.224809036943292"/>
    <x v="4"/>
  </r>
  <r>
    <x v="10"/>
    <x v="450"/>
    <n v="256"/>
    <n v="192"/>
    <n v="8"/>
    <n v="32"/>
    <n v="50"/>
    <n v="8"/>
    <n v="2"/>
    <s v="Helio G100"/>
    <x v="1"/>
    <n v="25"/>
    <n v="5800"/>
    <n v="6.67"/>
    <n v="499"/>
    <x v="0"/>
    <n v="0.18184288683211122"/>
    <n v="13.964286949355639"/>
    <n v="35.734012184777228"/>
    <x v="8"/>
  </r>
  <r>
    <x v="10"/>
    <x v="451"/>
    <n v="256"/>
    <n v="192"/>
    <n v="8"/>
    <n v="32"/>
    <n v="50"/>
    <n v="8"/>
    <n v="2"/>
    <s v="Helio G100"/>
    <x v="1"/>
    <n v="25"/>
    <n v="5800"/>
    <n v="6.67"/>
    <n v="499"/>
    <x v="0"/>
    <n v="0.18184288683211122"/>
    <n v="13.964286949355639"/>
    <n v="35.734012184777228"/>
    <x v="8"/>
  </r>
  <r>
    <x v="10"/>
    <x v="452"/>
    <n v="256"/>
    <n v="186"/>
    <n v="8"/>
    <n v="8"/>
    <n v="50"/>
    <n v="2"/>
    <m/>
    <s v="Dimensity 6300"/>
    <x v="1"/>
    <n v="15"/>
    <n v="5100"/>
    <n v="6.67"/>
    <n v="499"/>
    <x v="0"/>
    <n v="0.14212748616512869"/>
    <n v="17.866398118605645"/>
    <n v="27.929524277215855"/>
    <x v="0"/>
  </r>
  <r>
    <x v="10"/>
    <x v="453"/>
    <n v="128"/>
    <n v="186"/>
    <n v="4"/>
    <n v="5"/>
    <n v="50"/>
    <m/>
    <m/>
    <s v="Snapdragon 6s 4G Gen 1"/>
    <x v="1"/>
    <n v="26"/>
    <n v="5000"/>
    <n v="6.7"/>
    <n v="399"/>
    <x v="0"/>
    <n v="0.13654552878099019"/>
    <n v="17.9832611355199"/>
    <n v="22.187299455486933"/>
    <x v="0"/>
  </r>
  <r>
    <x v="10"/>
    <x v="454"/>
    <n v="128"/>
    <n v="186"/>
    <n v="4"/>
    <n v="8"/>
    <n v="8"/>
    <n v="2"/>
    <m/>
    <s v="Snapdragon 6s 4G Gen 1"/>
    <x v="1"/>
    <n v="26"/>
    <n v="5100"/>
    <n v="6.67"/>
    <n v="449"/>
    <x v="0"/>
    <n v="0.11513129628992418"/>
    <n v="21.709186851390275"/>
    <n v="20.682488159211992"/>
    <x v="0"/>
  </r>
  <r>
    <x v="10"/>
    <x v="455"/>
    <n v="256"/>
    <n v="186"/>
    <n v="6"/>
    <n v="8"/>
    <n v="8"/>
    <n v="2"/>
    <m/>
    <s v="Snapdragon 6s 4G Gen 1"/>
    <x v="1"/>
    <n v="26"/>
    <n v="5100"/>
    <n v="6.67"/>
    <n v="499"/>
    <x v="0"/>
    <n v="0.13512496305944602"/>
    <n v="18.792280818649907"/>
    <n v="26.55345590114748"/>
    <x v="0"/>
  </r>
  <r>
    <x v="10"/>
    <x v="456"/>
    <n v="128"/>
    <n v="186"/>
    <n v="4"/>
    <n v="5"/>
    <n v="50"/>
    <m/>
    <m/>
    <s v="Snapdragon 6s 4G Gen 1"/>
    <x v="1"/>
    <n v="26"/>
    <n v="5000"/>
    <n v="6.7"/>
    <n v="399"/>
    <x v="0"/>
    <n v="0.13654552878099019"/>
    <n v="17.9832611355199"/>
    <n v="22.187299455486933"/>
    <x v="0"/>
  </r>
  <r>
    <x v="10"/>
    <x v="457"/>
    <n v="128"/>
    <n v="186"/>
    <n v="4"/>
    <n v="8"/>
    <n v="8"/>
    <n v="2"/>
    <m/>
    <s v="Snapdragon 6s 4G Gen 1"/>
    <x v="1"/>
    <n v="26"/>
    <n v="5100"/>
    <n v="6.67"/>
    <n v="449"/>
    <x v="0"/>
    <n v="0.11513129628992418"/>
    <n v="21.709186851390275"/>
    <n v="20.682488159211992"/>
    <x v="0"/>
  </r>
  <r>
    <x v="10"/>
    <x v="458"/>
    <n v="256"/>
    <n v="186"/>
    <n v="6"/>
    <n v="8"/>
    <n v="8"/>
    <n v="2"/>
    <m/>
    <s v="Snapdragon 6s 4G Gen 1"/>
    <x v="1"/>
    <n v="26"/>
    <n v="5100"/>
    <n v="6.67"/>
    <n v="499"/>
    <x v="0"/>
    <n v="0.13512496305944602"/>
    <n v="18.792280818649907"/>
    <n v="26.55345590114748"/>
    <x v="0"/>
  </r>
  <r>
    <x v="10"/>
    <x v="456"/>
    <n v="128"/>
    <n v="186"/>
    <n v="4"/>
    <n v="5"/>
    <n v="50"/>
    <m/>
    <m/>
    <s v="Snapdragon 6s 4G Gen 1"/>
    <x v="1"/>
    <n v="26"/>
    <n v="5000"/>
    <n v="6.7"/>
    <n v="399"/>
    <x v="0"/>
    <n v="0.13654552878099019"/>
    <n v="17.9832611355199"/>
    <n v="22.187299455486933"/>
    <x v="0"/>
  </r>
  <r>
    <x v="10"/>
    <x v="459"/>
    <n v="128"/>
    <n v="186"/>
    <n v="6"/>
    <n v="8"/>
    <n v="13"/>
    <n v="2"/>
    <m/>
    <s v="Dimensity 6020"/>
    <x v="1"/>
    <n v="20"/>
    <n v="5000"/>
    <n v="6.56"/>
    <n v="199"/>
    <x v="0"/>
    <n v="0.23507453152713972"/>
    <n v="9.4107098211685525"/>
    <n v="21.146120088876533"/>
    <x v="1"/>
  </r>
  <r>
    <x v="10"/>
    <x v="460"/>
    <n v="256"/>
    <n v="186"/>
    <n v="8"/>
    <n v="8"/>
    <n v="13"/>
    <n v="2"/>
    <m/>
    <s v="Dimensity 6020"/>
    <x v="1"/>
    <n v="20"/>
    <n v="5000"/>
    <n v="6.56"/>
    <n v="229"/>
    <x v="0"/>
    <n v="0.26654980838620607"/>
    <n v="8.4761170942648274"/>
    <n v="27.017087830812017"/>
    <x v="1"/>
  </r>
  <r>
    <x v="10"/>
    <x v="461"/>
    <n v="256"/>
    <n v="188"/>
    <n v="8"/>
    <n v="8"/>
    <n v="50"/>
    <n v="2"/>
    <m/>
    <s v="Dimensity 700"/>
    <x v="1"/>
    <n v="18"/>
    <n v="5000"/>
    <n v="6.56"/>
    <n v="249"/>
    <x v="0"/>
    <n v="0.26103199101004887"/>
    <n v="8.7646820496721531"/>
    <n v="28.409473223197409"/>
    <x v="2"/>
  </r>
  <r>
    <x v="10"/>
    <x v="462"/>
    <n v="128"/>
    <n v="189"/>
    <n v="6"/>
    <n v="8"/>
    <n v="13"/>
    <n v="2"/>
    <m/>
    <s v="Dimensity 700"/>
    <x v="1"/>
    <n v="18"/>
    <n v="5000"/>
    <n v="6.5"/>
    <n v="199"/>
    <x v="0"/>
    <n v="0.22876525736563905"/>
    <n v="9.670254251121829"/>
    <n v="20.578569583826027"/>
    <x v="3"/>
  </r>
  <r>
    <x v="10"/>
    <x v="463"/>
    <n v="128"/>
    <n v="186"/>
    <n v="6"/>
    <n v="8"/>
    <n v="13"/>
    <n v="2"/>
    <n v="2"/>
    <s v="Dimensity 700"/>
    <x v="1"/>
    <n v="18"/>
    <n v="5000"/>
    <n v="6.5"/>
    <n v="189"/>
    <x v="0"/>
    <n v="0.23901362030048248"/>
    <n v="9.1843118264423396"/>
    <n v="20.578569583826027"/>
    <x v="3"/>
  </r>
  <r>
    <x v="10"/>
    <x v="464"/>
    <n v="128"/>
    <n v="190"/>
    <n v="6"/>
    <n v="16"/>
    <n v="48"/>
    <n v="8"/>
    <n v="2"/>
    <s v="Snapdragon 480"/>
    <x v="1"/>
    <n v="20"/>
    <n v="5000"/>
    <n v="6.5"/>
    <n v="219"/>
    <x v="0"/>
    <n v="0.2485844472207846"/>
    <n v="9.0280231463844647"/>
    <n v="24.257802228575912"/>
    <x v="3"/>
  </r>
  <r>
    <x v="10"/>
    <x v="465"/>
    <n v="128"/>
    <n v="175"/>
    <n v="4"/>
    <n v="8"/>
    <n v="16"/>
    <n v="2"/>
    <n v="2"/>
    <s v="Dimensity 720"/>
    <x v="1"/>
    <n v="19"/>
    <n v="4040"/>
    <n v="6.5"/>
    <n v="179"/>
    <x v="0"/>
    <n v="0.21189279195386926"/>
    <n v="10.27570839363802"/>
    <n v="17.419723598893089"/>
    <x v="4"/>
  </r>
  <r>
    <x v="10"/>
    <x v="466"/>
    <n v="128"/>
    <n v="184"/>
    <n v="4"/>
    <n v="8"/>
    <n v="12"/>
    <n v="8"/>
    <n v="2"/>
    <s v="Dimensity 720"/>
    <x v="1"/>
    <n v="19"/>
    <n v="4000"/>
    <n v="6.5"/>
    <n v="169"/>
    <x v="0"/>
    <n v="0.21905071452337463"/>
    <n v="9.8545848120994517"/>
    <n v="17.149378002460534"/>
    <x v="4"/>
  </r>
  <r>
    <x v="10"/>
    <x v="467"/>
    <n v="128"/>
    <n v="186"/>
    <n v="4"/>
    <n v="8"/>
    <n v="13"/>
    <n v="2"/>
    <n v="2"/>
    <s v="Dimensity 700"/>
    <x v="1"/>
    <n v="18"/>
    <n v="4000"/>
    <n v="6.5"/>
    <n v="149"/>
    <x v="0"/>
    <n v="0.24094259388609629"/>
    <n v="8.7915279024862247"/>
    <n v="16.948134801217332"/>
    <x v="4"/>
  </r>
  <r>
    <x v="10"/>
    <x v="468"/>
    <n v="128"/>
    <n v="185"/>
    <n v="4"/>
    <n v="8"/>
    <n v="13"/>
    <n v="2"/>
    <m/>
    <s v="Dimensity 700"/>
    <x v="1"/>
    <n v="18"/>
    <n v="4000"/>
    <n v="6.5"/>
    <n v="139"/>
    <x v="0"/>
    <n v="0.25559910536655678"/>
    <n v="8.2014924727891625"/>
    <n v="16.948134801217332"/>
    <x v="4"/>
  </r>
  <r>
    <x v="10"/>
    <x v="469"/>
    <n v="128"/>
    <n v="185"/>
    <n v="4"/>
    <n v="8"/>
    <n v="13"/>
    <n v="2"/>
    <m/>
    <s v="Dimensity 700"/>
    <x v="1"/>
    <n v="18"/>
    <n v="4000"/>
    <n v="6.5"/>
    <n v="129"/>
    <x v="0"/>
    <n v="0.27234578350732419"/>
    <n v="7.6114570430921002"/>
    <n v="16.948134801217332"/>
    <x v="4"/>
  </r>
  <r>
    <x v="10"/>
    <x v="470"/>
    <n v="128"/>
    <n v="186"/>
    <n v="4"/>
    <n v="5"/>
    <n v="50"/>
    <m/>
    <m/>
    <s v="Snapdragon 6s Gen 1"/>
    <x v="1"/>
    <n v="25"/>
    <n v="5100"/>
    <n v="6.67"/>
    <n v="199"/>
    <x v="0"/>
    <n v="0.24530684769940256"/>
    <n v="9.0181673414184029"/>
    <n v="22.066567681222548"/>
    <x v="0"/>
  </r>
  <r>
    <x v="10"/>
    <x v="471"/>
    <n v="256"/>
    <n v="186"/>
    <n v="6"/>
    <n v="5"/>
    <n v="50"/>
    <m/>
    <m/>
    <s v="Snapdragon 6s Gen 1"/>
    <x v="1"/>
    <n v="25"/>
    <n v="5100"/>
    <n v="6.67"/>
    <n v="229"/>
    <x v="0"/>
    <n v="0.27563091775320336"/>
    <n v="8.1968576158001714"/>
    <n v="27.937535423158035"/>
    <x v="0"/>
  </r>
  <r>
    <x v="10"/>
    <x v="472"/>
    <n v="128"/>
    <n v="194"/>
    <n v="6"/>
    <n v="16"/>
    <n v="48"/>
    <n v="8"/>
    <n v="2"/>
    <s v="Dimensity 720"/>
    <x v="1"/>
    <n v="19"/>
    <n v="5000"/>
    <n v="6.5"/>
    <n v="199"/>
    <x v="0"/>
    <n v="0.26685884765653711"/>
    <n v="8.2898439455014952"/>
    <n v="24.005276976050659"/>
    <x v="4"/>
  </r>
  <r>
    <x v="10"/>
    <x v="472"/>
    <n v="128"/>
    <n v="194"/>
    <n v="6"/>
    <n v="16"/>
    <n v="48"/>
    <n v="8"/>
    <n v="2"/>
    <s v="Dimensity 720"/>
    <x v="1"/>
    <n v="19"/>
    <n v="5000"/>
    <n v="6.5"/>
    <n v="199"/>
    <x v="0"/>
    <n v="0.26685884765653711"/>
    <n v="8.2898439455014952"/>
    <n v="24.005276976050659"/>
    <x v="4"/>
  </r>
  <r>
    <x v="10"/>
    <x v="473"/>
    <n v="512"/>
    <n v="239"/>
    <n v="12"/>
    <n v="32"/>
    <n v="48"/>
    <n v="64"/>
    <n v="48"/>
    <s v="Snapdragon 8 Gen 2"/>
    <x v="0"/>
    <n v="95"/>
    <n v="4805"/>
    <n v="7.82"/>
    <n v="1399"/>
    <x v="0"/>
    <n v="0.13691807235332223"/>
    <n v="21.647705996729893"/>
    <n v="64.625785300822784"/>
    <x v="1"/>
  </r>
  <r>
    <x v="10"/>
    <x v="474"/>
    <n v="256"/>
    <n v="198"/>
    <n v="12"/>
    <n v="32"/>
    <n v="50"/>
    <n v="32"/>
    <n v="48"/>
    <s v="Dimensity 9200"/>
    <x v="0"/>
    <n v="95"/>
    <n v="4300"/>
    <n v="6.8"/>
    <n v="999"/>
    <x v="0"/>
    <n v="0.15542655619654513"/>
    <n v="18.130492388176663"/>
    <n v="55.10054435429852"/>
    <x v="1"/>
  </r>
  <r>
    <x v="10"/>
    <x v="475"/>
    <n v="256"/>
    <n v="210"/>
    <n v="12"/>
    <n v="32"/>
    <n v="50"/>
    <n v="50"/>
    <n v="50"/>
    <s v="Snapdragon 8 Gen 2"/>
    <x v="0"/>
    <n v="95"/>
    <n v="5000"/>
    <n v="6.8"/>
    <n v="1299"/>
    <x v="0"/>
    <n v="0.12690882096228528"/>
    <n v="23.09668031859928"/>
    <n v="56.241848702124614"/>
    <x v="0"/>
  </r>
  <r>
    <x v="10"/>
    <x v="476"/>
    <n v="256"/>
    <n v="195"/>
    <n v="8"/>
    <n v="32"/>
    <n v="50"/>
    <n v="50"/>
    <m/>
    <s v="Snapdragon 8 Gen 2"/>
    <x v="0"/>
    <n v="95"/>
    <n v="4800"/>
    <n v="6.7"/>
    <n v="1099"/>
    <x v="0"/>
    <n v="0.13476556120711061"/>
    <n v="21.21146817282207"/>
    <n v="51.811595078936207"/>
    <x v="0"/>
  </r>
  <r>
    <x v="10"/>
    <x v="477"/>
    <n v="256"/>
    <n v="586"/>
    <n v="12"/>
    <n v="8"/>
    <n v="13"/>
    <m/>
    <m/>
    <s v="Snapdragon 8 Gen 3"/>
    <x v="0"/>
    <n v="100"/>
    <n v="9510"/>
    <n v="12.1"/>
    <n v="899"/>
    <x v="1"/>
    <n v="0.19852121892880195"/>
    <n v="13.971949930411942"/>
    <n v="64.343202235730772"/>
    <x v="0"/>
  </r>
  <r>
    <x v="10"/>
    <x v="478"/>
    <n v="512"/>
    <n v="586"/>
    <n v="16"/>
    <n v="8"/>
    <n v="13"/>
    <m/>
    <m/>
    <s v="Snapdragon 8 Gen 3"/>
    <x v="0"/>
    <n v="100"/>
    <n v="9510"/>
    <n v="12.1"/>
    <n v="999"/>
    <x v="1"/>
    <n v="0.21461949372874042"/>
    <n v="13.130028149277157"/>
    <n v="76.085137719601732"/>
    <x v="0"/>
  </r>
  <r>
    <x v="10"/>
    <x v="479"/>
    <n v="128"/>
    <n v="520"/>
    <n v="6"/>
    <n v="8"/>
    <n v="13"/>
    <m/>
    <m/>
    <s v="Snapdragon 870"/>
    <x v="0"/>
    <n v="82"/>
    <n v="8360"/>
    <n v="11"/>
    <n v="499"/>
    <x v="1"/>
    <n v="0.23869451596872279"/>
    <n v="10.638309980089955"/>
    <n v="46.905946615007409"/>
    <x v="1"/>
  </r>
  <r>
    <x v="10"/>
    <x v="480"/>
    <n v="256"/>
    <n v="520"/>
    <n v="8"/>
    <n v="8"/>
    <n v="13"/>
    <m/>
    <m/>
    <s v="Snapdragon 870"/>
    <x v="0"/>
    <n v="82"/>
    <n v="8360"/>
    <n v="11"/>
    <n v="599"/>
    <x v="1"/>
    <n v="0.22994882578862075"/>
    <n v="11.349659359560503"/>
    <n v="52.776914356942896"/>
    <x v="1"/>
  </r>
  <r>
    <x v="10"/>
    <x v="481"/>
    <n v="256"/>
    <n v="221"/>
    <n v="12"/>
    <n v="32"/>
    <n v="50"/>
    <n v="50"/>
    <n v="50"/>
    <s v="Snapdragon 8 Gen 3"/>
    <x v="0"/>
    <n v="100"/>
    <n v="5000"/>
    <n v="6.82"/>
    <n v="1199"/>
    <x v="0"/>
    <n v="0.13895131118048185"/>
    <n v="20.842999985102743"/>
    <n v="57.525308298084212"/>
    <x v="0"/>
  </r>
  <r>
    <x v="10"/>
    <x v="482"/>
    <n v="512"/>
    <n v="221"/>
    <n v="16"/>
    <n v="32"/>
    <n v="50"/>
    <n v="50"/>
    <n v="50"/>
    <s v="Snapdragon 8 Gen 3"/>
    <x v="0"/>
    <n v="100"/>
    <n v="5000"/>
    <n v="6.82"/>
    <n v="1299"/>
    <x v="0"/>
    <n v="0.1563004140605897"/>
    <n v="18.753452989830134"/>
    <n v="69.267243781955173"/>
    <x v="0"/>
  </r>
  <r>
    <x v="10"/>
    <x v="483"/>
    <n v="256"/>
    <n v="206"/>
    <n v="12"/>
    <n v="32"/>
    <n v="50"/>
    <n v="50"/>
    <n v="64"/>
    <s v="Dimensity 9300"/>
    <x v="0"/>
    <n v="100"/>
    <n v="5000"/>
    <n v="6.78"/>
    <n v="1099"/>
    <x v="0"/>
    <n v="0.14951894866166451"/>
    <n v="19.118482559729554"/>
    <n v="57.483641631417541"/>
    <x v="0"/>
  </r>
  <r>
    <x v="10"/>
    <x v="484"/>
    <n v="512"/>
    <n v="206"/>
    <n v="16"/>
    <n v="32"/>
    <n v="50"/>
    <n v="50"/>
    <n v="64"/>
    <s v="Dimensity 9300"/>
    <x v="0"/>
    <n v="100"/>
    <n v="5000"/>
    <n v="6.78"/>
    <n v="1199"/>
    <x v="0"/>
    <n v="0.16721309267133888"/>
    <n v="17.320187854890417"/>
    <n v="69.225577115288502"/>
    <x v="0"/>
  </r>
  <r>
    <x v="10"/>
    <x v="485"/>
    <n v="256"/>
    <n v="218"/>
    <n v="12"/>
    <n v="32"/>
    <n v="50"/>
    <n v="50"/>
    <n v="50"/>
    <s v="Snapdragon 8 Gen 2"/>
    <x v="0"/>
    <n v="95"/>
    <n v="5000"/>
    <n v="6.82"/>
    <n v="999"/>
    <x v="0"/>
    <n v="0.15870469182524979"/>
    <n v="17.755996761235252"/>
    <n v="56.262682035457942"/>
    <x v="1"/>
  </r>
  <r>
    <x v="10"/>
    <x v="486"/>
    <n v="512"/>
    <n v="218"/>
    <n v="16"/>
    <n v="32"/>
    <n v="50"/>
    <n v="50"/>
    <n v="50"/>
    <s v="Snapdragon 8 Gen 2"/>
    <x v="0"/>
    <n v="95"/>
    <n v="5000"/>
    <n v="6.82"/>
    <n v="1099"/>
    <x v="0"/>
    <n v="0.17688473845873029"/>
    <n v="16.160667320680567"/>
    <n v="68.004617519328917"/>
    <x v="1"/>
  </r>
  <r>
    <x v="10"/>
    <x v="487"/>
    <n v="256"/>
    <n v="207"/>
    <n v="12"/>
    <n v="32"/>
    <n v="50"/>
    <n v="50"/>
    <n v="50"/>
    <s v="Dimensity 9200"/>
    <x v="0"/>
    <n v="95"/>
    <n v="4800"/>
    <n v="6.74"/>
    <n v="899"/>
    <x v="0"/>
    <n v="0.17232679160517653"/>
    <n v="16.095747533863143"/>
    <n v="55.853261745602865"/>
    <x v="1"/>
  </r>
  <r>
    <x v="10"/>
    <x v="488"/>
    <n v="512"/>
    <n v="207"/>
    <n v="16"/>
    <n v="32"/>
    <n v="50"/>
    <n v="50"/>
    <n v="50"/>
    <s v="Dimensity 9200"/>
    <x v="0"/>
    <n v="95"/>
    <n v="4800"/>
    <n v="6.74"/>
    <n v="999"/>
    <x v="0"/>
    <n v="0.19067123281484902"/>
    <n v="14.779156522150091"/>
    <n v="67.59519722947384"/>
    <x v="1"/>
  </r>
  <r>
    <x v="10"/>
    <x v="489"/>
    <n v="256"/>
    <n v="218"/>
    <n v="12"/>
    <n v="32"/>
    <n v="50"/>
    <n v="50"/>
    <n v="13"/>
    <s v="Snapdragon 8 Gen 1"/>
    <x v="0"/>
    <n v="90"/>
    <n v="5000"/>
    <n v="6.7"/>
    <n v="899"/>
    <x v="0"/>
    <n v="0.16930868502467858"/>
    <n v="16.38267127639239"/>
    <n v="54.875055772831686"/>
    <x v="2"/>
  </r>
  <r>
    <x v="10"/>
    <x v="490"/>
    <n v="512"/>
    <n v="218"/>
    <n v="16"/>
    <n v="32"/>
    <n v="50"/>
    <n v="50"/>
    <n v="13"/>
    <s v="Snapdragon 8 Gen 1"/>
    <x v="0"/>
    <n v="90"/>
    <n v="5000"/>
    <n v="6.7"/>
    <n v="999"/>
    <x v="0"/>
    <n v="0.18791192821304509"/>
    <n v="14.996174116456903"/>
    <n v="66.616991256702647"/>
    <x v="2"/>
  </r>
  <r>
    <x v="10"/>
    <x v="491"/>
    <n v="256"/>
    <n v="196"/>
    <n v="8"/>
    <n v="32"/>
    <n v="50"/>
    <n v="50"/>
    <n v="13"/>
    <s v="Snapdragon 888"/>
    <x v="0"/>
    <n v="85"/>
    <n v="4800"/>
    <n v="6.55"/>
    <n v="799"/>
    <x v="0"/>
    <n v="0.16756481055469988"/>
    <n v="16.262945141553423"/>
    <n v="49.130092553683681"/>
    <x v="2"/>
  </r>
  <r>
    <x v="10"/>
    <x v="492"/>
    <n v="256"/>
    <n v="191"/>
    <n v="8"/>
    <n v="32"/>
    <n v="50"/>
    <n v="8"/>
    <m/>
    <s v="Dimensity 9000+"/>
    <x v="0"/>
    <n v="92"/>
    <n v="4300"/>
    <n v="6.8"/>
    <n v="899"/>
    <x v="0"/>
    <n v="0.15532561549704621"/>
    <n v="17.857508705963024"/>
    <n v="50.34296859672277"/>
    <x v="1"/>
  </r>
  <r>
    <x v="10"/>
    <x v="493"/>
    <n v="512"/>
    <n v="191"/>
    <n v="12"/>
    <n v="32"/>
    <n v="50"/>
    <n v="8"/>
    <m/>
    <s v="Dimensity 9000+"/>
    <x v="0"/>
    <n v="92"/>
    <n v="4300"/>
    <n v="6.8"/>
    <n v="999"/>
    <x v="0"/>
    <n v="0.17512790383688334"/>
    <n v="16.090868058734163"/>
    <n v="62.084904080593731"/>
    <x v="1"/>
  </r>
  <r>
    <x v="10"/>
    <x v="494"/>
    <n v="256"/>
    <n v="233"/>
    <n v="12"/>
    <n v="32"/>
    <n v="50"/>
    <n v="48"/>
    <n v="32"/>
    <s v="Snapdragon 8+ Gen 1"/>
    <x v="0"/>
    <n v="92"/>
    <n v="4520"/>
    <n v="7.1"/>
    <n v="1099"/>
    <x v="0"/>
    <n v="0.14309566628951093"/>
    <n v="19.976673553157553"/>
    <n v="55.014164248896677"/>
    <x v="2"/>
  </r>
  <r>
    <x v="10"/>
    <x v="495"/>
    <n v="256"/>
    <n v="194"/>
    <n v="16"/>
    <n v="32"/>
    <n v="50"/>
    <n v="64"/>
    <n v="8"/>
    <s v="Snapdragon 8+ Gen 1"/>
    <x v="0"/>
    <n v="92"/>
    <n v="4700"/>
    <n v="6.74"/>
    <n v="699"/>
    <x v="0"/>
    <n v="0.22519062988535343"/>
    <n v="11.86099876454993"/>
    <n v="58.932642509766239"/>
    <x v="1"/>
  </r>
  <r>
    <x v="10"/>
    <x v="496"/>
    <n v="256"/>
    <n v="192"/>
    <n v="16"/>
    <n v="32"/>
    <n v="50"/>
    <n v="8"/>
    <n v="2"/>
    <s v="Snapdragon 8+ Gen 1"/>
    <x v="0"/>
    <n v="92"/>
    <n v="4700"/>
    <n v="6.7"/>
    <n v="649"/>
    <x v="0"/>
    <n v="0.23968494629889162"/>
    <n v="11.020364168002578"/>
    <n v="58.890975843099582"/>
    <x v="2"/>
  </r>
  <r>
    <x v="10"/>
    <x v="497"/>
    <n v="256"/>
    <n v="188"/>
    <n v="12"/>
    <n v="32"/>
    <n v="50"/>
    <n v="13"/>
    <n v="16"/>
    <s v="Snapdragon 870"/>
    <x v="0"/>
    <n v="82"/>
    <n v="4500"/>
    <n v="6.55"/>
    <n v="599"/>
    <x v="0"/>
    <n v="0.22605572752956174"/>
    <n v="11.545121512085878"/>
    <n v="51.883386361325321"/>
    <x v="3"/>
  </r>
  <r>
    <x v="10"/>
    <x v="498"/>
    <n v="256"/>
    <n v="184"/>
    <n v="12"/>
    <n v="32"/>
    <n v="50"/>
    <n v="16"/>
    <n v="13"/>
    <s v="Snapdragon 865"/>
    <x v="0"/>
    <n v="80"/>
    <n v="4500"/>
    <n v="6.55"/>
    <n v="599"/>
    <x v="0"/>
    <n v="0.22385522429788623"/>
    <n v="11.658610385428519"/>
    <n v="51.378335856274816"/>
    <x v="4"/>
  </r>
  <r>
    <x v="10"/>
    <x v="499"/>
    <n v="512"/>
    <n v="210"/>
    <n v="12"/>
    <n v="50"/>
    <n v="50"/>
    <n v="50"/>
    <n v="8"/>
    <s v="Dimensity 8350"/>
    <x v="2"/>
    <n v="75"/>
    <n v="5800"/>
    <n v="6.83"/>
    <n v="799"/>
    <x v="0"/>
    <n v="0.2161398670523407"/>
    <n v="12.60802719493652"/>
    <n v="63.372325237439561"/>
    <x v="8"/>
  </r>
  <r>
    <x v="10"/>
    <x v="500"/>
    <n v="256"/>
    <n v="200"/>
    <n v="12"/>
    <n v="50"/>
    <n v="50"/>
    <n v="8"/>
    <m/>
    <s v="Dimensity 8350"/>
    <x v="2"/>
    <n v="75"/>
    <n v="5600"/>
    <n v="6.59"/>
    <n v="699"/>
    <x v="0"/>
    <n v="0.21037090136780176"/>
    <n v="12.696555300623931"/>
    <n v="55.054302797046844"/>
    <x v="8"/>
  </r>
  <r>
    <x v="10"/>
    <x v="501"/>
    <n v="256"/>
    <n v="187"/>
    <n v="8"/>
    <n v="32"/>
    <n v="50"/>
    <n v="8"/>
    <n v="2"/>
    <s v="Snapdragon 685"/>
    <x v="2"/>
    <n v="35"/>
    <n v="5000"/>
    <n v="6.7"/>
    <n v="449"/>
    <x v="0"/>
    <n v="0.20588747859367995"/>
    <n v="12.139673770707214"/>
    <n v="36.986166883942786"/>
    <x v="0"/>
  </r>
  <r>
    <x v="10"/>
    <x v="502"/>
    <n v="256"/>
    <n v="187"/>
    <n v="8"/>
    <n v="32"/>
    <n v="50"/>
    <n v="8"/>
    <n v="2"/>
    <s v="Snapdragon 685"/>
    <x v="2"/>
    <n v="35"/>
    <n v="5000"/>
    <n v="6.7"/>
    <n v="449"/>
    <x v="0"/>
    <n v="0.20588747859367995"/>
    <n v="12.139673770707214"/>
    <n v="36.986166883942786"/>
    <x v="0"/>
  </r>
  <r>
    <x v="10"/>
    <x v="503"/>
    <n v="512"/>
    <n v="190"/>
    <n v="12"/>
    <n v="32"/>
    <n v="50"/>
    <n v="32"/>
    <n v="8"/>
    <s v="Dimensity 8200"/>
    <x v="2"/>
    <n v="70"/>
    <n v="4600"/>
    <n v="6.74"/>
    <n v="749"/>
    <x v="0"/>
    <n v="0.20522476917654128"/>
    <n v="13.150506999947751"/>
    <n v="56.955978959820783"/>
    <x v="0"/>
  </r>
  <r>
    <x v="10"/>
    <x v="504"/>
    <n v="256"/>
    <n v="185"/>
    <n v="8"/>
    <n v="32"/>
    <n v="50"/>
    <n v="8"/>
    <m/>
    <s v="Dimensity 7050"/>
    <x v="2"/>
    <n v="48"/>
    <n v="5000"/>
    <n v="6.7"/>
    <n v="599"/>
    <x v="0"/>
    <n v="0.17545186692159295"/>
    <n v="14.874967639974269"/>
    <n v="40.268995166771077"/>
    <x v="0"/>
  </r>
  <r>
    <x v="10"/>
    <x v="505"/>
    <n v="256"/>
    <n v="185"/>
    <n v="8"/>
    <n v="32"/>
    <n v="64"/>
    <n v="8"/>
    <n v="2"/>
    <s v="Dimensity 7050"/>
    <x v="2"/>
    <n v="48"/>
    <n v="5000"/>
    <n v="6.7"/>
    <n v="499"/>
    <x v="0"/>
    <n v="0.20857395357351638"/>
    <n v="12.174608612037321"/>
    <n v="40.986943884719793"/>
    <x v="0"/>
  </r>
  <r>
    <x v="10"/>
    <x v="506"/>
    <n v="512"/>
    <n v="190"/>
    <n v="12"/>
    <n v="32"/>
    <n v="50"/>
    <n v="32"/>
    <n v="8"/>
    <s v="Dimensity 8200"/>
    <x v="2"/>
    <n v="70"/>
    <n v="4600"/>
    <n v="6.74"/>
    <n v="699"/>
    <x v="0"/>
    <n v="0.2176374964956557"/>
    <n v="12.27263603866953"/>
    <n v="56.955978959820783"/>
    <x v="0"/>
  </r>
  <r>
    <x v="10"/>
    <x v="507"/>
    <n v="256"/>
    <n v="180"/>
    <n v="8"/>
    <n v="16"/>
    <n v="50"/>
    <n v="2"/>
    <m/>
    <s v="Dimensity 7300"/>
    <x v="2"/>
    <n v="55"/>
    <n v="6000"/>
    <n v="6.7"/>
    <n v="599"/>
    <x v="0"/>
    <n v="0.17823812629837185"/>
    <n v="14.64243872527517"/>
    <n v="40.908486027401366"/>
    <x v="0"/>
  </r>
  <r>
    <x v="10"/>
    <x v="508"/>
    <n v="512"/>
    <n v="186"/>
    <n v="12"/>
    <n v="16"/>
    <n v="50"/>
    <n v="2"/>
    <m/>
    <s v="Dimensity 7300"/>
    <x v="2"/>
    <n v="55"/>
    <n v="6000"/>
    <n v="6.7"/>
    <n v="699"/>
    <x v="0"/>
    <n v="0.20118530374550836"/>
    <n v="13.276246987886806"/>
    <n v="52.650421511272334"/>
    <x v="0"/>
  </r>
  <r>
    <x v="10"/>
    <x v="509"/>
    <n v="128"/>
    <n v="186"/>
    <n v="8"/>
    <n v="8"/>
    <n v="50"/>
    <n v="2"/>
    <m/>
    <s v="Snapdragon 680 4G"/>
    <x v="2"/>
    <n v="32"/>
    <n v="5000"/>
    <n v="6.67"/>
    <n v="449"/>
    <x v="0"/>
    <n v="0.1569139981205748"/>
    <n v="15.92851404933397"/>
    <n v="28.188442349948794"/>
    <x v="0"/>
  </r>
  <r>
    <x v="10"/>
    <x v="510"/>
    <n v="256"/>
    <n v="186"/>
    <n v="8"/>
    <n v="8"/>
    <n v="50"/>
    <n v="2"/>
    <m/>
    <s v="Snapdragon 680 4G"/>
    <x v="2"/>
    <n v="32"/>
    <n v="5000"/>
    <n v="6.67"/>
    <n v="499"/>
    <x v="0"/>
    <n v="0.16314360814278378"/>
    <n v="15.564852833219163"/>
    <n v="32.059410091884274"/>
    <x v="0"/>
  </r>
  <r>
    <x v="10"/>
    <x v="511"/>
    <n v="256"/>
    <n v="192"/>
    <n v="8"/>
    <n v="16"/>
    <n v="50"/>
    <m/>
    <m/>
    <s v="Snapdragon 7 Gen 3"/>
    <x v="2"/>
    <n v="60"/>
    <n v="6400"/>
    <n v="6.7"/>
    <n v="699"/>
    <x v="0"/>
    <n v="0.16363431848881127"/>
    <n v="16.322894900809146"/>
    <n v="42.823286203071106"/>
    <x v="0"/>
  </r>
  <r>
    <x v="10"/>
    <x v="512"/>
    <n v="512"/>
    <n v="192"/>
    <n v="12"/>
    <n v="16"/>
    <n v="50"/>
    <m/>
    <m/>
    <s v="Snapdragon 7 Gen 3"/>
    <x v="2"/>
    <n v="60"/>
    <n v="6400"/>
    <n v="6.7"/>
    <n v="799"/>
    <x v="0"/>
    <n v="0.18610205191160603"/>
    <n v="14.643026735676354"/>
    <n v="54.565221686942074"/>
    <x v="0"/>
  </r>
  <r>
    <x v="10"/>
    <x v="513"/>
    <n v="128"/>
    <n v="175"/>
    <n v="8"/>
    <n v="32"/>
    <n v="64"/>
    <n v="2"/>
    <m/>
    <s v="Dimensity 7050"/>
    <x v="2"/>
    <n v="48"/>
    <n v="5000"/>
    <n v="6.7"/>
    <n v="499"/>
    <x v="0"/>
    <n v="0.18887541131669713"/>
    <n v="13.444345315891962"/>
    <n v="37.115976142784305"/>
    <x v="0"/>
  </r>
  <r>
    <x v="10"/>
    <x v="514"/>
    <n v="256"/>
    <n v="175"/>
    <n v="8"/>
    <n v="32"/>
    <n v="64"/>
    <n v="2"/>
    <m/>
    <s v="Dimensity 7050"/>
    <x v="2"/>
    <n v="48"/>
    <n v="5000"/>
    <n v="6.7"/>
    <n v="549"/>
    <x v="0"/>
    <n v="0.19231317785883539"/>
    <n v="13.394509274566111"/>
    <n v="40.986943884719793"/>
    <x v="0"/>
  </r>
  <r>
    <x v="10"/>
    <x v="515"/>
    <n v="256"/>
    <n v="177"/>
    <n v="8"/>
    <n v="32"/>
    <n v="64"/>
    <n v="2"/>
    <m/>
    <s v="Dimensity 7050"/>
    <x v="2"/>
    <n v="48"/>
    <n v="5000"/>
    <n v="6.7"/>
    <n v="599"/>
    <x v="0"/>
    <n v="0.17857996690015931"/>
    <n v="14.6144099370949"/>
    <n v="40.986943884719793"/>
    <x v="0"/>
  </r>
  <r>
    <x v="10"/>
    <x v="516"/>
    <n v="512"/>
    <n v="177"/>
    <n v="12"/>
    <n v="32"/>
    <n v="64"/>
    <n v="2"/>
    <m/>
    <s v="Dimensity 7050"/>
    <x v="2"/>
    <n v="48"/>
    <n v="5000"/>
    <n v="6.7"/>
    <n v="699"/>
    <x v="0"/>
    <n v="0.20148510320395047"/>
    <n v="13.256492616006106"/>
    <n v="52.728879368590754"/>
    <x v="0"/>
  </r>
  <r>
    <x v="10"/>
    <x v="517"/>
    <n v="128"/>
    <n v="173"/>
    <n v="8"/>
    <n v="32"/>
    <n v="64"/>
    <n v="2"/>
    <m/>
    <s v="Snapdragon 778G"/>
    <x v="2"/>
    <n v="60"/>
    <n v="4500"/>
    <n v="6.55"/>
    <n v="549"/>
    <x v="0"/>
    <n v="0.18381054627947258"/>
    <n v="14.01410689751661"/>
    <n v="39.174811781782992"/>
    <x v="1"/>
  </r>
  <r>
    <x v="10"/>
    <x v="518"/>
    <n v="256"/>
    <n v="173"/>
    <n v="8"/>
    <n v="32"/>
    <n v="64"/>
    <n v="2"/>
    <m/>
    <s v="Snapdragon 778G"/>
    <x v="2"/>
    <n v="60"/>
    <n v="4500"/>
    <n v="6.55"/>
    <n v="599"/>
    <x v="0"/>
    <n v="0.18755030636482781"/>
    <n v="13.915417646692806"/>
    <n v="43.04577952371848"/>
    <x v="1"/>
  </r>
  <r>
    <x v="10"/>
    <x v="519"/>
    <n v="128"/>
    <n v="533"/>
    <n v="8"/>
    <n v="8"/>
    <n v="13"/>
    <m/>
    <m/>
    <s v="Dimensity 8350"/>
    <x v="2"/>
    <n v="75"/>
    <n v="9510"/>
    <n v="11.6"/>
    <n v="699"/>
    <x v="1"/>
    <n v="0.18967541208570646"/>
    <n v="14.081876788813775"/>
    <n v="49.638269847330641"/>
    <x v="0"/>
  </r>
  <r>
    <x v="10"/>
    <x v="520"/>
    <n v="256"/>
    <n v="533"/>
    <n v="12"/>
    <n v="8"/>
    <n v="13"/>
    <m/>
    <m/>
    <s v="Dimensity 8350"/>
    <x v="2"/>
    <n v="75"/>
    <n v="9510"/>
    <n v="11.6"/>
    <n v="799"/>
    <x v="1"/>
    <n v="0.19614301542910637"/>
    <n v="13.893420144194891"/>
    <n v="57.509237589266121"/>
    <x v="0"/>
  </r>
  <r>
    <x v="10"/>
    <x v="521"/>
    <n v="128"/>
    <n v="180"/>
    <n v="8"/>
    <n v="32"/>
    <n v="64"/>
    <n v="32"/>
    <n v="8"/>
    <s v="Dimensity 7050"/>
    <x v="2"/>
    <n v="48"/>
    <n v="5000"/>
    <n v="6.7"/>
    <n v="499"/>
    <x v="0"/>
    <n v="0.18887541131669713"/>
    <n v="13.444345315891962"/>
    <n v="37.115976142784305"/>
    <x v="1"/>
  </r>
  <r>
    <x v="10"/>
    <x v="522"/>
    <n v="256"/>
    <n v="180"/>
    <n v="8"/>
    <n v="32"/>
    <n v="64"/>
    <n v="32"/>
    <n v="8"/>
    <s v="Dimensity 7050"/>
    <x v="2"/>
    <n v="48"/>
    <n v="5000"/>
    <n v="6.7"/>
    <n v="549"/>
    <x v="0"/>
    <n v="0.19231317785883539"/>
    <n v="13.394509274566111"/>
    <n v="40.986943884719793"/>
    <x v="1"/>
  </r>
  <r>
    <x v="10"/>
    <x v="523"/>
    <n v="256"/>
    <n v="186"/>
    <n v="12"/>
    <n v="32"/>
    <n v="50"/>
    <n v="32"/>
    <n v="8"/>
    <s v="Snapdragon 778G"/>
    <x v="2"/>
    <n v="60"/>
    <n v="4600"/>
    <n v="6.7"/>
    <n v="599"/>
    <x v="0"/>
    <n v="0.20324135251604786"/>
    <n v="12.841091689870026"/>
    <n v="46.647124284030625"/>
    <x v="1"/>
  </r>
  <r>
    <x v="10"/>
    <x v="524"/>
    <n v="128"/>
    <n v="174"/>
    <n v="8"/>
    <n v="32"/>
    <n v="64"/>
    <n v="2"/>
    <m/>
    <s v="Snapdragon 778G"/>
    <x v="2"/>
    <n v="60"/>
    <n v="4500"/>
    <n v="6.7"/>
    <n v="449"/>
    <x v="0"/>
    <n v="0.21894058841169414"/>
    <n v="11.415913521255707"/>
    <n v="39.331061781782992"/>
    <x v="2"/>
  </r>
  <r>
    <x v="10"/>
    <x v="525"/>
    <n v="256"/>
    <n v="174"/>
    <n v="12"/>
    <n v="32"/>
    <n v="64"/>
    <n v="2"/>
    <m/>
    <s v="Snapdragon 778G"/>
    <x v="2"/>
    <n v="60"/>
    <n v="4500"/>
    <n v="6.7"/>
    <n v="499"/>
    <x v="0"/>
    <n v="0.24020121973832093"/>
    <n v="10.571579337478662"/>
    <n v="47.20202952371848"/>
    <x v="2"/>
  </r>
  <r>
    <x v="10"/>
    <x v="526"/>
    <n v="256"/>
    <n v="184"/>
    <n v="16"/>
    <n v="32"/>
    <n v="50"/>
    <n v="8"/>
    <m/>
    <s v="Dimensity 8100"/>
    <x v="2"/>
    <n v="65"/>
    <n v="4500"/>
    <n v="6.7"/>
    <n v="599"/>
    <x v="0"/>
    <n v="0.2254602163424895"/>
    <n v="11.575615801180817"/>
    <n v="51.74670706839602"/>
    <x v="2"/>
  </r>
  <r>
    <x v="10"/>
    <x v="527"/>
    <n v="128"/>
    <n v="179"/>
    <n v="8"/>
    <n v="32"/>
    <n v="50"/>
    <n v="8"/>
    <n v="2"/>
    <s v="Dimensity 1300"/>
    <x v="2"/>
    <n v="40"/>
    <n v="4500"/>
    <n v="6.4"/>
    <n v="399"/>
    <x v="0"/>
    <n v="0.20462848981750664"/>
    <n v="11.999961017872478"/>
    <n v="33.250108013329225"/>
    <x v="2"/>
  </r>
  <r>
    <x v="10"/>
    <x v="528"/>
    <n v="256"/>
    <n v="179"/>
    <n v="12"/>
    <n v="32"/>
    <n v="50"/>
    <n v="8"/>
    <n v="2"/>
    <s v="Dimensity 1300"/>
    <x v="2"/>
    <n v="40"/>
    <n v="4500"/>
    <n v="6.4"/>
    <n v="449"/>
    <x v="0"/>
    <n v="0.22890489384523732"/>
    <n v="10.918975045114541"/>
    <n v="41.121075755264712"/>
    <x v="2"/>
  </r>
  <r>
    <x v="10"/>
    <x v="529"/>
    <n v="256"/>
    <n v="183"/>
    <n v="12"/>
    <n v="32"/>
    <n v="50"/>
    <n v="8"/>
    <n v="2"/>
    <s v="Dimensity 8100"/>
    <x v="2"/>
    <n v="65"/>
    <n v="4500"/>
    <n v="6.7"/>
    <n v="549"/>
    <x v="0"/>
    <n v="0.22403038866338576"/>
    <n v="11.498175135168392"/>
    <n v="47.74670706839602"/>
    <x v="2"/>
  </r>
  <r>
    <x v="10"/>
    <x v="530"/>
    <n v="256"/>
    <n v="195"/>
    <n v="12"/>
    <n v="32"/>
    <n v="50"/>
    <n v="8"/>
    <n v="2"/>
    <s v="Dimensity 8100"/>
    <x v="2"/>
    <n v="65"/>
    <n v="4500"/>
    <n v="6.7"/>
    <n v="599"/>
    <x v="0"/>
    <n v="0.20803223074761962"/>
    <n v="12.54536777042963"/>
    <n v="47.74670706839602"/>
    <x v="2"/>
  </r>
  <r>
    <x v="10"/>
    <x v="531"/>
    <n v="128"/>
    <n v="173"/>
    <n v="8"/>
    <n v="32"/>
    <n v="64"/>
    <n v="8"/>
    <n v="2"/>
    <s v="Dimensity 900"/>
    <x v="2"/>
    <n v="28"/>
    <n v="4500"/>
    <n v="6.4"/>
    <n v="349"/>
    <x v="0"/>
    <n v="0.21334730673074262"/>
    <n v="11.280715574027029"/>
    <n v="30.937753700974909"/>
    <x v="3"/>
  </r>
  <r>
    <x v="10"/>
    <x v="532"/>
    <n v="256"/>
    <n v="173"/>
    <n v="12"/>
    <n v="32"/>
    <n v="64"/>
    <n v="8"/>
    <n v="2"/>
    <s v="Dimensity 900"/>
    <x v="2"/>
    <n v="28"/>
    <n v="4500"/>
    <n v="6.4"/>
    <n v="399"/>
    <x v="0"/>
    <n v="0.2388374214431882"/>
    <n v="10.28119415340568"/>
    <n v="38.808721442910397"/>
    <x v="3"/>
  </r>
  <r>
    <x v="10"/>
    <x v="533"/>
    <n v="256"/>
    <n v="180"/>
    <n v="12"/>
    <n v="32"/>
    <n v="50"/>
    <n v="8"/>
    <n v="2"/>
    <s v="Dimensity 1200"/>
    <x v="2"/>
    <n v="38"/>
    <n v="4500"/>
    <n v="6.55"/>
    <n v="499"/>
    <x v="0"/>
    <n v="0.20748154995511073"/>
    <n v="12.238708704326683"/>
    <n v="40.772275250214207"/>
    <x v="3"/>
  </r>
  <r>
    <x v="10"/>
    <x v="534"/>
    <n v="128"/>
    <n v="182"/>
    <n v="8"/>
    <n v="32"/>
    <n v="64"/>
    <n v="8"/>
    <n v="2"/>
    <s v="Dimensity 900"/>
    <x v="2"/>
    <n v="28"/>
    <n v="4300"/>
    <n v="6.43"/>
    <n v="349"/>
    <x v="0"/>
    <n v="0.21131410576836571"/>
    <n v="11.389255236715488"/>
    <n v="30.642916744453171"/>
    <x v="3"/>
  </r>
  <r>
    <x v="10"/>
    <x v="535"/>
    <n v="256"/>
    <n v="182"/>
    <n v="12"/>
    <n v="32"/>
    <n v="64"/>
    <n v="8"/>
    <n v="2"/>
    <s v="Dimensity 900"/>
    <x v="2"/>
    <n v="28"/>
    <n v="4300"/>
    <n v="6.43"/>
    <n v="399"/>
    <x v="0"/>
    <n v="0.23702292985924359"/>
    <n v="10.359900210559449"/>
    <n v="38.513884486388648"/>
    <x v="3"/>
  </r>
  <r>
    <x v="10"/>
    <x v="536"/>
    <n v="128"/>
    <n v="177"/>
    <n v="8"/>
    <n v="32"/>
    <n v="64"/>
    <n v="8"/>
    <n v="2"/>
    <s v="Dimensity 1200"/>
    <x v="2"/>
    <n v="38"/>
    <n v="4500"/>
    <n v="6.55"/>
    <n v="449"/>
    <x v="0"/>
    <n v="0.18714520805392984"/>
    <n v="13.355441208414392"/>
    <n v="33.619256226227435"/>
    <x v="3"/>
  </r>
  <r>
    <x v="10"/>
    <x v="537"/>
    <n v="256"/>
    <n v="177"/>
    <n v="12"/>
    <n v="32"/>
    <n v="64"/>
    <n v="8"/>
    <n v="2"/>
    <s v="Dimensity 1200"/>
    <x v="2"/>
    <n v="38"/>
    <n v="4500"/>
    <n v="6.55"/>
    <n v="499"/>
    <x v="0"/>
    <n v="0.21113504027111907"/>
    <n v="12.026929533639112"/>
    <n v="41.490223968162923"/>
    <x v="3"/>
  </r>
  <r>
    <x v="10"/>
    <x v="538"/>
    <n v="128"/>
    <n v="180"/>
    <n v="8"/>
    <n v="32"/>
    <n v="64"/>
    <n v="8"/>
    <n v="2"/>
    <s v="Snapdragon 765G"/>
    <x v="2"/>
    <n v="52"/>
    <n v="4300"/>
    <n v="6.43"/>
    <n v="299"/>
    <x v="0"/>
    <n v="0.28866042039120904"/>
    <n v="8.1463570019710936"/>
    <n v="36.703522805059237"/>
    <x v="4"/>
  </r>
  <r>
    <x v="10"/>
    <x v="539"/>
    <n v="256"/>
    <n v="180"/>
    <n v="12"/>
    <n v="32"/>
    <n v="64"/>
    <n v="8"/>
    <n v="2"/>
    <s v="Snapdragon 765G"/>
    <x v="2"/>
    <n v="52"/>
    <n v="4300"/>
    <n v="6.43"/>
    <n v="349"/>
    <x v="0"/>
    <n v="0.3073864896272866"/>
    <n v="7.8295903266028484"/>
    <n v="44.574490546994724"/>
    <x v="4"/>
  </r>
  <r>
    <x v="10"/>
    <x v="540"/>
    <n v="128"/>
    <n v="173"/>
    <n v="8"/>
    <n v="32"/>
    <n v="64"/>
    <n v="8"/>
    <n v="2"/>
    <s v="Dimensity 1000+"/>
    <x v="2"/>
    <n v="32"/>
    <n v="4350"/>
    <n v="6.55"/>
    <n v="399"/>
    <x v="0"/>
    <n v="0.19607062480099086"/>
    <n v="12.523721508250052"/>
    <n v="31.859539493684618"/>
    <x v="4"/>
  </r>
  <r>
    <x v="10"/>
    <x v="541"/>
    <n v="256"/>
    <n v="173"/>
    <n v="12"/>
    <n v="32"/>
    <n v="64"/>
    <n v="8"/>
    <n v="2"/>
    <s v="Dimensity 1000+"/>
    <x v="2"/>
    <n v="32"/>
    <n v="4350"/>
    <n v="6.55"/>
    <n v="449"/>
    <x v="0"/>
    <n v="0.22116414452077376"/>
    <n v="11.301139382319597"/>
    <n v="39.730507235620095"/>
    <x v="4"/>
  </r>
  <r>
    <x v="10"/>
    <x v="542"/>
    <n v="128"/>
    <n v="183"/>
    <n v="8"/>
    <n v="32"/>
    <n v="48"/>
    <n v="8"/>
    <n v="2"/>
    <s v="Snapdragon 765G"/>
    <x v="2"/>
    <n v="52"/>
    <n v="4000"/>
    <n v="6.43"/>
    <n v="299"/>
    <x v="0"/>
    <n v="0.27836053243102715"/>
    <n v="8.4477882561476747"/>
    <n v="35.393879549763803"/>
    <x v="4"/>
  </r>
  <r>
    <x v="10"/>
    <x v="543"/>
    <n v="256"/>
    <n v="183"/>
    <n v="8"/>
    <n v="32"/>
    <n v="48"/>
    <n v="8"/>
    <n v="2"/>
    <s v="Snapdragon 765G"/>
    <x v="2"/>
    <n v="52"/>
    <n v="4000"/>
    <n v="6.43"/>
    <n v="349"/>
    <x v="0"/>
    <n v="0.27077109410868311"/>
    <n v="8.8883575022531609"/>
    <n v="39.264847291699283"/>
    <x v="4"/>
  </r>
  <r>
    <x v="10"/>
    <x v="544"/>
    <n v="256"/>
    <n v="172"/>
    <n v="12"/>
    <n v="32"/>
    <n v="48"/>
    <n v="13"/>
    <n v="12"/>
    <s v="Snapdragon 765G"/>
    <x v="2"/>
    <n v="52"/>
    <n v="4000"/>
    <n v="6.55"/>
    <n v="499"/>
    <x v="0"/>
    <n v="0.22080182460138856"/>
    <n v="11.500386176640481"/>
    <n v="43.389847291699297"/>
    <x v="4"/>
  </r>
  <r>
    <x v="10"/>
    <x v="545"/>
    <n v="128"/>
    <n v="181"/>
    <n v="8"/>
    <n v="32"/>
    <n v="64"/>
    <n v="8"/>
    <n v="2"/>
    <s v="Dimensity 1000L"/>
    <x v="2"/>
    <n v="30"/>
    <n v="4025"/>
    <n v="6.4"/>
    <n v="249"/>
    <x v="0"/>
    <n v="0.28178698683089076"/>
    <n v="8.1191201613897679"/>
    <n v="30.668347684286289"/>
    <x v="5"/>
  </r>
  <r>
    <x v="10"/>
    <x v="546"/>
    <n v="256"/>
    <n v="181"/>
    <n v="12"/>
    <n v="32"/>
    <n v="64"/>
    <n v="8"/>
    <n v="2"/>
    <s v="Dimensity 1000L"/>
    <x v="2"/>
    <n v="30"/>
    <n v="4025"/>
    <n v="6.4"/>
    <n v="299"/>
    <x v="0"/>
    <n v="0.30309828981835879"/>
    <n v="7.7583111348304676"/>
    <n v="38.539315426221776"/>
    <x v="5"/>
  </r>
  <r>
    <x v="10"/>
    <x v="547"/>
    <n v="256"/>
    <n v="171"/>
    <n v="12"/>
    <n v="32"/>
    <n v="48"/>
    <n v="13"/>
    <n v="8"/>
    <s v="Snapdragon 765G"/>
    <x v="2"/>
    <n v="52"/>
    <n v="4025"/>
    <n v="6.5"/>
    <n v="499"/>
    <x v="0"/>
    <n v="0.22074420696005007"/>
    <n v="11.503387954739688"/>
    <n v="43.378524827931173"/>
    <x v="5"/>
  </r>
  <r>
    <x v="10"/>
    <x v="548"/>
    <n v="128"/>
    <n v="186"/>
    <n v="6"/>
    <n v="8"/>
    <n v="13"/>
    <n v="2"/>
    <m/>
    <s v="Dimensity 810"/>
    <x v="2"/>
    <n v="25"/>
    <n v="5000"/>
    <n v="6.56"/>
    <n v="219"/>
    <x v="0"/>
    <n v="0.22963604749555741"/>
    <n v="9.772969739795963"/>
    <n v="22.408746351502796"/>
    <x v="2"/>
  </r>
  <r>
    <x v="10"/>
    <x v="549"/>
    <n v="128"/>
    <n v="195"/>
    <n v="8"/>
    <n v="16"/>
    <n v="108"/>
    <n v="2"/>
    <m/>
    <s v="Snapdragon 695"/>
    <x v="2"/>
    <n v="40"/>
    <n v="5000"/>
    <n v="6.72"/>
    <n v="199"/>
    <x v="0"/>
    <n v="0.38479698072267232"/>
    <n v="5.7490529119910683"/>
    <n v="34.614397022670708"/>
    <x v="1"/>
  </r>
  <r>
    <x v="10"/>
    <x v="550"/>
    <n v="256"/>
    <n v="195"/>
    <n v="12"/>
    <n v="16"/>
    <n v="108"/>
    <n v="2"/>
    <m/>
    <s v="Snapdragon 695"/>
    <x v="2"/>
    <n v="40"/>
    <n v="5000"/>
    <n v="6.72"/>
    <n v="229"/>
    <x v="0"/>
    <n v="0.41915938194895697"/>
    <n v="5.3900914178045571"/>
    <n v="42.485364764606196"/>
    <x v="1"/>
  </r>
  <r>
    <x v="10"/>
    <x v="551"/>
    <n v="128"/>
    <n v="195"/>
    <n v="6"/>
    <n v="16"/>
    <n v="64"/>
    <n v="2"/>
    <n v="2"/>
    <s v="Snapdragon 695"/>
    <x v="2"/>
    <n v="40"/>
    <n v="5000"/>
    <n v="6.59"/>
    <n v="199"/>
    <x v="0"/>
    <n v="0.33597447086500515"/>
    <n v="6.5844830318608389"/>
    <n v="30.222570099593781"/>
    <x v="2"/>
  </r>
  <r>
    <x v="10"/>
    <x v="552"/>
    <n v="256"/>
    <n v="195"/>
    <n v="8"/>
    <n v="16"/>
    <n v="64"/>
    <n v="2"/>
    <n v="2"/>
    <s v="Snapdragon 695"/>
    <x v="2"/>
    <n v="40"/>
    <n v="5000"/>
    <n v="6.59"/>
    <n v="229"/>
    <x v="0"/>
    <n v="0.35609780209796754"/>
    <n v="6.3446260381965747"/>
    <n v="36.093537841529269"/>
    <x v="2"/>
  </r>
  <r>
    <x v="10"/>
    <x v="553"/>
    <n v="128"/>
    <n v="205"/>
    <n v="8"/>
    <n v="16"/>
    <n v="64"/>
    <n v="8"/>
    <n v="2"/>
    <s v="Dimensity 8000-Max"/>
    <x v="2"/>
    <n v="67"/>
    <n v="5000"/>
    <n v="6.59"/>
    <n v="249"/>
    <x v="0"/>
    <n v="0.35871433178511408"/>
    <n v="6.3779509299519432"/>
    <n v="39.040751917775601"/>
    <x v="2"/>
  </r>
  <r>
    <x v="10"/>
    <x v="554"/>
    <n v="128"/>
    <n v="194"/>
    <n v="6"/>
    <n v="16"/>
    <n v="64"/>
    <n v="2"/>
    <n v="2"/>
    <s v="Dimensity 810"/>
    <x v="2"/>
    <n v="25"/>
    <n v="5000"/>
    <n v="6.5"/>
    <n v="199"/>
    <x v="0"/>
    <n v="0.29282366754800088"/>
    <n v="7.5547793696915368"/>
    <n v="26.340941311715"/>
    <x v="3"/>
  </r>
  <r>
    <x v="10"/>
    <x v="555"/>
    <n v="256"/>
    <n v="194"/>
    <n v="8"/>
    <n v="16"/>
    <n v="64"/>
    <n v="2"/>
    <n v="2"/>
    <s v="Dimensity 810"/>
    <x v="2"/>
    <n v="25"/>
    <n v="5000"/>
    <n v="6.5"/>
    <n v="229"/>
    <x v="0"/>
    <n v="0.31780176456369652"/>
    <n v="7.1091719406816125"/>
    <n v="32.21190905365048"/>
    <x v="3"/>
  </r>
  <r>
    <x v="10"/>
    <x v="556"/>
    <n v="128"/>
    <n v="180"/>
    <n v="8"/>
    <n v="16"/>
    <n v="64"/>
    <n v="8"/>
    <n v="2"/>
    <s v="Dimensity 1200"/>
    <x v="2"/>
    <n v="38"/>
    <n v="4500"/>
    <n v="6.43"/>
    <n v="299"/>
    <x v="0"/>
    <n v="0.24172506606790864"/>
    <n v="9.7281216015273397"/>
    <n v="30.735635536572268"/>
    <x v="3"/>
  </r>
  <r>
    <x v="10"/>
    <x v="557"/>
    <n v="256"/>
    <n v="180"/>
    <n v="12"/>
    <n v="16"/>
    <n v="64"/>
    <n v="8"/>
    <n v="2"/>
    <s v="Dimensity 1200"/>
    <x v="2"/>
    <n v="38"/>
    <n v="4500"/>
    <n v="6.43"/>
    <n v="329"/>
    <x v="0"/>
    <n v="0.2799271867593483"/>
    <n v="8.521858233074699"/>
    <n v="38.606603278507755"/>
    <x v="3"/>
  </r>
  <r>
    <x v="10"/>
    <x v="558"/>
    <n v="128"/>
    <n v="172"/>
    <n v="8"/>
    <n v="32"/>
    <n v="64"/>
    <n v="8"/>
    <n v="2"/>
    <s v="Snapdragon 768G"/>
    <x v="2"/>
    <n v="55"/>
    <n v="4300"/>
    <n v="6.43"/>
    <n v="279"/>
    <x v="0"/>
    <n v="0.31247619407193461"/>
    <n v="7.4477260599688977"/>
    <n v="37.461098562634987"/>
    <x v="3"/>
  </r>
  <r>
    <x v="10"/>
    <x v="559"/>
    <n v="256"/>
    <n v="172"/>
    <n v="8"/>
    <n v="32"/>
    <n v="64"/>
    <n v="8"/>
    <n v="2"/>
    <s v="Snapdragon 768G"/>
    <x v="2"/>
    <n v="55"/>
    <n v="4300"/>
    <n v="6.43"/>
    <n v="299"/>
    <x v="0"/>
    <n v="0.32506230256105206"/>
    <n v="7.2340927210536474"/>
    <n v="41.332066304570475"/>
    <x v="3"/>
  </r>
  <r>
    <x v="10"/>
    <x v="560"/>
    <n v="128"/>
    <n v="180"/>
    <n v="8"/>
    <n v="32"/>
    <n v="48"/>
    <n v="8"/>
    <n v="2"/>
    <s v="Snapdragon 765G"/>
    <x v="2"/>
    <n v="52"/>
    <n v="4025"/>
    <n v="6.4"/>
    <n v="279"/>
    <x v="0"/>
    <n v="0.29531212697827997"/>
    <n v="7.8806011711148347"/>
    <n v="35.403390419329021"/>
    <x v="4"/>
  </r>
  <r>
    <x v="10"/>
    <x v="561"/>
    <n v="256"/>
    <n v="180"/>
    <n v="8"/>
    <n v="32"/>
    <n v="48"/>
    <n v="8"/>
    <n v="2"/>
    <s v="Snapdragon 765G"/>
    <x v="2"/>
    <n v="52"/>
    <n v="4025"/>
    <n v="6.4"/>
    <n v="299"/>
    <x v="0"/>
    <n v="0.30887914486134371"/>
    <n v="7.6131097743793967"/>
    <n v="39.274358161264502"/>
    <x v="4"/>
  </r>
  <r>
    <x v="10"/>
    <x v="549"/>
    <n v="128"/>
    <n v="195"/>
    <n v="8"/>
    <n v="16"/>
    <n v="108"/>
    <n v="2"/>
    <m/>
    <s v="Snapdragon 695"/>
    <x v="2"/>
    <n v="40"/>
    <n v="5000"/>
    <n v="6.72"/>
    <n v="199"/>
    <x v="0"/>
    <n v="0.38479698072267232"/>
    <n v="5.7490529119910683"/>
    <n v="34.614397022670708"/>
    <x v="1"/>
  </r>
  <r>
    <x v="10"/>
    <x v="550"/>
    <n v="256"/>
    <n v="195"/>
    <n v="12"/>
    <n v="16"/>
    <n v="108"/>
    <n v="2"/>
    <m/>
    <s v="Snapdragon 695"/>
    <x v="2"/>
    <n v="40"/>
    <n v="5000"/>
    <n v="6.72"/>
    <n v="229"/>
    <x v="0"/>
    <n v="0.41915938194895697"/>
    <n v="5.3900914178045571"/>
    <n v="42.485364764606196"/>
    <x v="1"/>
  </r>
  <r>
    <x v="10"/>
    <x v="562"/>
    <n v="128"/>
    <n v="184"/>
    <n v="8"/>
    <n v="16"/>
    <n v="64"/>
    <n v="8"/>
    <n v="2"/>
    <s v="Snapdragon 782G"/>
    <x v="2"/>
    <n v="65"/>
    <n v="5000"/>
    <n v="6.7"/>
    <n v="259"/>
    <x v="0"/>
    <n v="0.34343764570120688"/>
    <n v="6.7011149258457365"/>
    <n v="38.650284746058439"/>
    <x v="1"/>
  </r>
  <r>
    <x v="10"/>
    <x v="563"/>
    <n v="256"/>
    <n v="184"/>
    <n v="12"/>
    <n v="16"/>
    <n v="64"/>
    <n v="8"/>
    <n v="2"/>
    <s v="Snapdragon 782G"/>
    <x v="2"/>
    <n v="65"/>
    <n v="5000"/>
    <n v="6.7"/>
    <n v="299"/>
    <x v="0"/>
    <n v="0.36587344412778988"/>
    <n v="6.4271700353975891"/>
    <n v="46.521252487993912"/>
    <x v="1"/>
  </r>
  <r>
    <x v="10"/>
    <x v="551"/>
    <n v="128"/>
    <n v="195"/>
    <n v="6"/>
    <n v="16"/>
    <n v="64"/>
    <n v="2"/>
    <n v="2"/>
    <s v="Snapdragon 695"/>
    <x v="2"/>
    <n v="40"/>
    <n v="5000"/>
    <n v="6.59"/>
    <n v="199"/>
    <x v="0"/>
    <n v="0.33597447086500515"/>
    <n v="6.5844830318608389"/>
    <n v="30.222570099593781"/>
    <x v="2"/>
  </r>
  <r>
    <x v="10"/>
    <x v="552"/>
    <n v="256"/>
    <n v="195"/>
    <n v="8"/>
    <n v="16"/>
    <n v="64"/>
    <n v="2"/>
    <n v="2"/>
    <s v="Snapdragon 695"/>
    <x v="2"/>
    <n v="40"/>
    <n v="5000"/>
    <n v="6.59"/>
    <n v="229"/>
    <x v="0"/>
    <n v="0.35609780209796754"/>
    <n v="6.3446260381965747"/>
    <n v="36.093537841529269"/>
    <x v="2"/>
  </r>
  <r>
    <x v="10"/>
    <x v="553"/>
    <n v="128"/>
    <n v="205"/>
    <n v="8"/>
    <n v="16"/>
    <n v="64"/>
    <n v="8"/>
    <n v="2"/>
    <s v="Dimensity 8000-Max"/>
    <x v="2"/>
    <n v="67"/>
    <n v="5000"/>
    <n v="6.59"/>
    <n v="249"/>
    <x v="0"/>
    <n v="0.35871433178511408"/>
    <n v="6.3779509299519432"/>
    <n v="39.040751917775601"/>
    <x v="2"/>
  </r>
  <r>
    <x v="10"/>
    <x v="564"/>
    <n v="256"/>
    <n v="205"/>
    <n v="12"/>
    <n v="16"/>
    <n v="64"/>
    <n v="8"/>
    <n v="2"/>
    <s v="Dimensity 8000-Max"/>
    <x v="2"/>
    <n v="67"/>
    <n v="5000"/>
    <n v="6.59"/>
    <n v="279"/>
    <x v="0"/>
    <n v="0.39130714738988642"/>
    <n v="5.9473411340239544"/>
    <n v="46.911719659711089"/>
    <x v="2"/>
  </r>
  <r>
    <x v="10"/>
    <x v="554"/>
    <n v="128"/>
    <n v="194"/>
    <n v="6"/>
    <n v="16"/>
    <n v="64"/>
    <n v="2"/>
    <n v="2"/>
    <s v="Dimensity 810"/>
    <x v="2"/>
    <n v="25"/>
    <n v="5000"/>
    <n v="6.5"/>
    <n v="199"/>
    <x v="0"/>
    <n v="0.29282366754800088"/>
    <n v="7.5547793696915368"/>
    <n v="26.340941311715"/>
    <x v="3"/>
  </r>
  <r>
    <x v="10"/>
    <x v="555"/>
    <n v="256"/>
    <n v="194"/>
    <n v="8"/>
    <n v="16"/>
    <n v="64"/>
    <n v="2"/>
    <n v="2"/>
    <s v="Dimensity 810"/>
    <x v="2"/>
    <n v="25"/>
    <n v="5000"/>
    <n v="6.5"/>
    <n v="229"/>
    <x v="0"/>
    <n v="0.31780176456369652"/>
    <n v="7.1091719406816125"/>
    <n v="32.21190905365048"/>
    <x v="3"/>
  </r>
  <r>
    <x v="10"/>
    <x v="556"/>
    <n v="128"/>
    <n v="180"/>
    <n v="8"/>
    <n v="16"/>
    <n v="64"/>
    <n v="8"/>
    <n v="2"/>
    <s v="Dimensity 1200"/>
    <x v="2"/>
    <n v="38"/>
    <n v="4500"/>
    <n v="6.43"/>
    <n v="299"/>
    <x v="0"/>
    <n v="0.24172506606790864"/>
    <n v="9.7281216015273397"/>
    <n v="30.735635536572268"/>
    <x v="3"/>
  </r>
  <r>
    <x v="10"/>
    <x v="557"/>
    <n v="256"/>
    <n v="180"/>
    <n v="12"/>
    <n v="16"/>
    <n v="64"/>
    <n v="8"/>
    <n v="2"/>
    <s v="Dimensity 1200"/>
    <x v="2"/>
    <n v="38"/>
    <n v="4500"/>
    <n v="6.43"/>
    <n v="329"/>
    <x v="0"/>
    <n v="0.2799271867593483"/>
    <n v="8.521858233074699"/>
    <n v="38.606603278507755"/>
    <x v="3"/>
  </r>
  <r>
    <x v="10"/>
    <x v="558"/>
    <n v="128"/>
    <n v="172"/>
    <n v="8"/>
    <n v="32"/>
    <n v="64"/>
    <n v="8"/>
    <n v="2"/>
    <s v="Snapdragon 768G"/>
    <x v="2"/>
    <n v="55"/>
    <n v="4300"/>
    <n v="6.43"/>
    <n v="279"/>
    <x v="0"/>
    <n v="0.31247619407193461"/>
    <n v="7.4477260599688977"/>
    <n v="37.461098562634987"/>
    <x v="3"/>
  </r>
  <r>
    <x v="10"/>
    <x v="559"/>
    <n v="256"/>
    <n v="172"/>
    <n v="8"/>
    <n v="32"/>
    <n v="64"/>
    <n v="8"/>
    <n v="2"/>
    <s v="Snapdragon 768G"/>
    <x v="2"/>
    <n v="55"/>
    <n v="4300"/>
    <n v="6.43"/>
    <n v="299"/>
    <x v="0"/>
    <n v="0.32506230256105206"/>
    <n v="7.2340927210536474"/>
    <n v="41.332066304570475"/>
    <x v="3"/>
  </r>
  <r>
    <x v="10"/>
    <x v="560"/>
    <n v="128"/>
    <n v="180"/>
    <n v="8"/>
    <n v="32"/>
    <n v="48"/>
    <n v="8"/>
    <n v="2"/>
    <s v="Snapdragon 765G"/>
    <x v="2"/>
    <n v="52"/>
    <n v="4025"/>
    <n v="6.4"/>
    <n v="279"/>
    <x v="0"/>
    <n v="0.29531212697827997"/>
    <n v="7.8806011711148347"/>
    <n v="35.403390419329021"/>
    <x v="4"/>
  </r>
  <r>
    <x v="11"/>
    <x v="565"/>
    <n v="64"/>
    <n v="198"/>
    <n v="4"/>
    <n v="8"/>
    <n v="48"/>
    <m/>
    <m/>
    <s v="Snapdragon 662"/>
    <x v="1"/>
    <n v="20"/>
    <n v="6000"/>
    <n v="6.53"/>
    <n v="149"/>
    <x v="0"/>
    <n v="0.29292592881611168"/>
    <n v="7.2313623638854638"/>
    <n v="20.60469279538928"/>
    <x v="4"/>
  </r>
  <r>
    <x v="11"/>
    <x v="566"/>
    <n v="64"/>
    <n v="190"/>
    <n v="4"/>
    <n v="8"/>
    <n v="48"/>
    <m/>
    <m/>
    <s v="Dimensity 700"/>
    <x v="1"/>
    <n v="18"/>
    <n v="5000"/>
    <n v="6.5"/>
    <n v="199"/>
    <x v="0"/>
    <n v="0.20496876993179097"/>
    <n v="10.792952522890326"/>
    <n v="18.437957507730079"/>
    <x v="3"/>
  </r>
  <r>
    <x v="11"/>
    <x v="567"/>
    <n v="128"/>
    <n v="179"/>
    <n v="6"/>
    <n v="16"/>
    <n v="64"/>
    <m/>
    <m/>
    <s v="Helio G96"/>
    <x v="1"/>
    <n v="20"/>
    <n v="5000"/>
    <n v="6.43"/>
    <n v="219"/>
    <x v="0"/>
    <n v="0.25624551951814667"/>
    <n v="8.7581088151728661"/>
    <n v="25.005398382422065"/>
    <x v="2"/>
  </r>
  <r>
    <x v="11"/>
    <x v="568"/>
    <n v="128"/>
    <n v="201"/>
    <n v="4"/>
    <n v="5"/>
    <n v="50"/>
    <m/>
    <m/>
    <s v="Helio G99"/>
    <x v="1"/>
    <n v="22"/>
    <n v="5000"/>
    <n v="6.58"/>
    <n v="199"/>
    <x v="0"/>
    <n v="0.23403043519878169"/>
    <n v="9.4526944782631706"/>
    <n v="21.052198445385923"/>
    <x v="2"/>
  </r>
  <r>
    <x v="11"/>
    <x v="569"/>
    <n v="128"/>
    <n v="178.8"/>
    <n v="4"/>
    <n v="13"/>
    <n v="64"/>
    <m/>
    <m/>
    <s v="Helio G95"/>
    <x v="1"/>
    <n v="18"/>
    <n v="5000"/>
    <n v="6.43"/>
    <n v="229"/>
    <x v="0"/>
    <n v="0.2168846939198652"/>
    <n v="10.417090051408179"/>
    <n v="21.983106498061218"/>
    <x v="2"/>
  </r>
  <r>
    <x v="11"/>
    <x v="570"/>
    <n v="64"/>
    <n v="199"/>
    <n v="4"/>
    <n v="8"/>
    <n v="50"/>
    <m/>
    <m/>
    <s v="Helio G88"/>
    <x v="1"/>
    <n v="14"/>
    <n v="5000"/>
    <n v="6.58"/>
    <n v="199"/>
    <x v="0"/>
    <n v="0.19580636717068983"/>
    <n v="11.297989102778248"/>
    <n v="17.61375393352651"/>
    <x v="1"/>
  </r>
  <r>
    <x v="11"/>
    <x v="571"/>
    <n v="128"/>
    <n v="202"/>
    <n v="6"/>
    <n v="8"/>
    <n v="50"/>
    <m/>
    <m/>
    <s v="Snapdragon 4 Gen 1"/>
    <x v="1"/>
    <n v="18"/>
    <n v="5000"/>
    <n v="6.79"/>
    <n v="219"/>
    <x v="0"/>
    <n v="0.23342092426047908"/>
    <n v="9.6145028576617833"/>
    <n v="22.778088814595257"/>
    <x v="1"/>
  </r>
  <r>
    <x v="11"/>
    <x v="572"/>
    <n v="64"/>
    <n v="190"/>
    <n v="4"/>
    <n v="5"/>
    <n v="50"/>
    <m/>
    <m/>
    <s v="Helio G85"/>
    <x v="1"/>
    <n v="12"/>
    <n v="5000"/>
    <n v="6.5"/>
    <n v="149"/>
    <x v="0"/>
    <n v="0.2346872620291231"/>
    <n v="9.0258564471392635"/>
    <n v="16.508128715832324"/>
    <x v="0"/>
  </r>
  <r>
    <x v="11"/>
    <x v="573"/>
    <n v="128"/>
    <n v="219"/>
    <n v="6"/>
    <n v="20"/>
    <n v="64"/>
    <m/>
    <m/>
    <s v="Snapdragon 865"/>
    <x v="0"/>
    <n v="80"/>
    <n v="4700"/>
    <n v="6.67"/>
    <n v="499"/>
    <x v="0"/>
    <n v="0.20664272917286436"/>
    <n v="12.288389054804732"/>
    <n v="40.607438271568405"/>
    <x v="4"/>
  </r>
  <r>
    <x v="11"/>
    <x v="574"/>
    <n v="128"/>
    <n v="196"/>
    <n v="6"/>
    <n v="20"/>
    <n v="48"/>
    <m/>
    <m/>
    <s v="Snapdragon 870"/>
    <x v="0"/>
    <n v="82"/>
    <n v="4520"/>
    <n v="6.67"/>
    <n v="349"/>
    <x v="0"/>
    <n v="0.27583036050499105"/>
    <n v="8.7253277025342584"/>
    <n v="39.99849769523653"/>
    <x v="3"/>
  </r>
  <r>
    <x v="11"/>
    <x v="575"/>
    <n v="128"/>
    <n v="195"/>
    <n v="6"/>
    <n v="20"/>
    <n v="64"/>
    <m/>
    <m/>
    <s v="Snapdragon 870"/>
    <x v="0"/>
    <n v="82"/>
    <n v="4500"/>
    <n v="6.67"/>
    <n v="349"/>
    <x v="0"/>
    <n v="0.28126376154068949"/>
    <n v="8.5567734447227703"/>
    <n v="40.786401820097176"/>
    <x v="2"/>
  </r>
  <r>
    <x v="11"/>
    <x v="576"/>
    <n v="128"/>
    <n v="210"/>
    <n v="8"/>
    <n v="20"/>
    <n v="64"/>
    <m/>
    <m/>
    <s v="Snapdragon 8 Gen 1"/>
    <x v="0"/>
    <n v="90"/>
    <n v="4700"/>
    <n v="6.67"/>
    <n v="499"/>
    <x v="0"/>
    <n v="0.22967078934649277"/>
    <n v="11.056287387038504"/>
    <n v="45.132690796820931"/>
    <x v="2"/>
  </r>
  <r>
    <x v="11"/>
    <x v="577"/>
    <n v="256"/>
    <n v="204"/>
    <n v="8"/>
    <n v="20"/>
    <n v="64"/>
    <m/>
    <m/>
    <s v="Snapdragon 8+ Gen 1"/>
    <x v="0"/>
    <n v="92"/>
    <n v="5160"/>
    <n v="6.67"/>
    <n v="499"/>
    <x v="0"/>
    <n v="0.25575602016709176"/>
    <n v="9.9286274855380263"/>
    <n v="50.258709043806924"/>
    <x v="1"/>
  </r>
  <r>
    <x v="11"/>
    <x v="578"/>
    <n v="128"/>
    <n v="190"/>
    <n v="6"/>
    <n v="20"/>
    <n v="64"/>
    <m/>
    <m/>
    <s v="Snapdragon 8 Gen 2"/>
    <x v="0"/>
    <n v="95"/>
    <n v="5000"/>
    <n v="6.67"/>
    <n v="449"/>
    <x v="0"/>
    <n v="0.24985410766286661"/>
    <n v="10.0034650099619"/>
    <n v="44.884447494229811"/>
    <x v="0"/>
  </r>
  <r>
    <x v="11"/>
    <x v="579"/>
    <n v="256"/>
    <n v="210"/>
    <n v="8"/>
    <n v="20"/>
    <n v="108"/>
    <m/>
    <m/>
    <s v="Snapdragon 8+ Gen 2"/>
    <x v="0"/>
    <n v="95"/>
    <n v="5160"/>
    <n v="6.67"/>
    <n v="549"/>
    <x v="0"/>
    <n v="0.24995865289405619"/>
    <n v="10.305466982746355"/>
    <n v="53.272695057792937"/>
    <x v="0"/>
  </r>
  <r>
    <x v="11"/>
    <x v="580"/>
    <n v="64"/>
    <n v="209"/>
    <n v="4"/>
    <n v="16"/>
    <n v="48"/>
    <m/>
    <m/>
    <s v="Snapdragon 720G"/>
    <x v="2"/>
    <n v="45"/>
    <n v="5000"/>
    <n v="6.67"/>
    <n v="199"/>
    <x v="0"/>
    <n v="0.29806619883445756"/>
    <n v="7.4219022861350679"/>
    <n v="26.812533004072819"/>
    <x v="4"/>
  </r>
  <r>
    <x v="11"/>
    <x v="581"/>
    <n v="128"/>
    <n v="215"/>
    <n v="6"/>
    <n v="20"/>
    <n v="64"/>
    <m/>
    <m/>
    <s v="Snapdragon 732G"/>
    <x v="2"/>
    <n v="48"/>
    <n v="5160"/>
    <n v="6.67"/>
    <n v="229"/>
    <x v="0"/>
    <n v="0.32830627255725264"/>
    <n v="6.8817064314278058"/>
    <n v="33.276630190760322"/>
    <x v="4"/>
  </r>
  <r>
    <x v="11"/>
    <x v="582"/>
    <n v="128"/>
    <n v="215"/>
    <n v="6"/>
    <n v="20"/>
    <n v="48"/>
    <m/>
    <m/>
    <s v="Snapdragon 860"/>
    <x v="2"/>
    <n v="48"/>
    <n v="5160"/>
    <n v="6.67"/>
    <n v="249"/>
    <x v="0"/>
    <n v="0.29821337661036806"/>
    <n v="7.6718973239928614"/>
    <n v="32.456117370247497"/>
    <x v="3"/>
  </r>
  <r>
    <x v="11"/>
    <x v="583"/>
    <n v="128"/>
    <n v="205"/>
    <n v="6"/>
    <n v="16"/>
    <n v="64"/>
    <m/>
    <m/>
    <s v="Dimensity 1200"/>
    <x v="2"/>
    <n v="38"/>
    <n v="5065"/>
    <n v="6.67"/>
    <n v="399"/>
    <x v="0"/>
    <n v="0.1840532277046123"/>
    <n v="13.341433516705777"/>
    <n v="29.906831188746182"/>
    <x v="3"/>
  </r>
  <r>
    <x v="11"/>
    <x v="584"/>
    <n v="128"/>
    <n v="193"/>
    <n v="6"/>
    <n v="16"/>
    <n v="64"/>
    <m/>
    <m/>
    <s v="Dimensity 1100"/>
    <x v="2"/>
    <n v="35"/>
    <n v="5000"/>
    <n v="6.6"/>
    <n v="279"/>
    <x v="0"/>
    <n v="0.24165196266018837"/>
    <n v="9.6305325563691486"/>
    <n v="28.97036050363419"/>
    <x v="3"/>
  </r>
  <r>
    <x v="11"/>
    <x v="585"/>
    <n v="128"/>
    <n v="195"/>
    <n v="4"/>
    <n v="16"/>
    <n v="50"/>
    <m/>
    <m/>
    <s v="Dimensity 810"/>
    <x v="2"/>
    <n v="25"/>
    <n v="5000"/>
    <n v="6.6"/>
    <n v="219"/>
    <x v="0"/>
    <n v="0.24314662611628141"/>
    <n v="9.2299291961680847"/>
    <n v="23.727159260432948"/>
    <x v="3"/>
  </r>
  <r>
    <x v="11"/>
    <x v="586"/>
    <n v="128"/>
    <n v="205"/>
    <n v="6"/>
    <n v="16"/>
    <n v="108"/>
    <m/>
    <m/>
    <s v="Snapdragon 695"/>
    <x v="2"/>
    <n v="40"/>
    <n v="5000"/>
    <n v="6.67"/>
    <n v="299"/>
    <x v="0"/>
    <n v="0.25609125337633587"/>
    <n v="9.1823941889580301"/>
    <n v="32.562313689337373"/>
    <x v="2"/>
  </r>
  <r>
    <x v="11"/>
    <x v="587"/>
    <n v="128"/>
    <n v="181"/>
    <n v="6"/>
    <n v="16"/>
    <n v="64"/>
    <m/>
    <m/>
    <s v="Snapdragon 7+ Gen 2"/>
    <x v="2"/>
    <n v="65"/>
    <n v="5000"/>
    <n v="6.67"/>
    <n v="349"/>
    <x v="0"/>
    <n v="0.25252552314116006"/>
    <n v="9.5305625181058424"/>
    <n v="36.619034746058432"/>
    <x v="1"/>
  </r>
  <r>
    <x v="11"/>
    <x v="588"/>
    <n v="128"/>
    <n v="189"/>
    <n v="6"/>
    <n v="13"/>
    <n v="48"/>
    <m/>
    <m/>
    <s v="Snapdragon 695"/>
    <x v="2"/>
    <n v="40"/>
    <n v="5000"/>
    <n v="6.67"/>
    <n v="279"/>
    <x v="0"/>
    <n v="0.24163351767523425"/>
    <n v="9.631267698702926"/>
    <n v="28.968149233103951"/>
    <x v="1"/>
  </r>
  <r>
    <x v="11"/>
    <x v="589"/>
    <n v="128"/>
    <n v="181"/>
    <n v="6"/>
    <n v="16"/>
    <n v="108"/>
    <m/>
    <m/>
    <s v="Snapdragon 778G"/>
    <x v="2"/>
    <n v="60"/>
    <n v="5000"/>
    <n v="6.67"/>
    <n v="329"/>
    <x v="0"/>
    <n v="0.27272149429926107"/>
    <n v="8.747017932253442"/>
    <n v="37.612818739842425"/>
    <x v="1"/>
  </r>
  <r>
    <x v="11"/>
    <x v="590"/>
    <n v="128"/>
    <n v="193"/>
    <n v="6"/>
    <n v="16"/>
    <n v="64"/>
    <m/>
    <m/>
    <s v="Dimensity 8100"/>
    <x v="2"/>
    <n v="65"/>
    <n v="5000"/>
    <n v="6.67"/>
    <n v="349"/>
    <x v="0"/>
    <n v="0.25252552314116006"/>
    <n v="9.5305625181058424"/>
    <n v="36.619034746058432"/>
    <x v="0"/>
  </r>
  <r>
    <x v="11"/>
    <x v="591"/>
    <n v="256"/>
    <n v="205"/>
    <n v="8"/>
    <n v="20"/>
    <n v="108"/>
    <m/>
    <m/>
    <s v="Dimensity 8300"/>
    <x v="2"/>
    <n v="75"/>
    <n v="5000"/>
    <n v="6.67"/>
    <n v="399"/>
    <x v="0"/>
    <n v="0.29516453203039461"/>
    <n v="8.3192038151227994"/>
    <n v="47.961320442070495"/>
    <x v="0"/>
  </r>
  <r>
    <x v="11"/>
    <x v="592"/>
    <n v="128"/>
    <n v="195"/>
    <n v="6"/>
    <n v="16"/>
    <n v="64"/>
    <m/>
    <m/>
    <s v="Dimensity 8200"/>
    <x v="2"/>
    <n v="70"/>
    <n v="5000"/>
    <n v="6.67"/>
    <n v="329"/>
    <x v="0"/>
    <n v="0.27467080487331286"/>
    <n v="8.6849412417415888"/>
    <n v="37.881661008684695"/>
    <x v="8"/>
  </r>
  <r>
    <x v="11"/>
    <x v="593"/>
    <n v="256"/>
    <n v="207"/>
    <n v="8"/>
    <n v="20"/>
    <n v="108"/>
    <m/>
    <m/>
    <s v="Dimensity 8400"/>
    <x v="2"/>
    <n v="80"/>
    <n v="6000"/>
    <n v="6.67"/>
    <n v="399"/>
    <x v="0"/>
    <n v="0.31296906705322725"/>
    <n v="7.8459316253723488"/>
    <n v="50.85438148730546"/>
    <x v="8"/>
  </r>
  <r>
    <x v="11"/>
    <x v="594"/>
    <n v="128"/>
    <n v="198"/>
    <n v="6"/>
    <n v="8"/>
    <n v="50"/>
    <m/>
    <m/>
    <s v="Dimensity 7025"/>
    <x v="2"/>
    <n v="45"/>
    <n v="5110"/>
    <n v="6.67"/>
    <n v="229"/>
    <x v="0"/>
    <n v="0.29253214551603918"/>
    <n v="7.7232790377612046"/>
    <n v="29.650618458864031"/>
    <x v="0"/>
  </r>
  <r>
    <x v="11"/>
    <x v="595"/>
    <n v="128"/>
    <n v="571"/>
    <n v="8"/>
    <n v="8"/>
    <n v="8"/>
    <m/>
    <m/>
    <s v="Snapdragon 7s Gen 2"/>
    <x v="2"/>
    <n v="50"/>
    <n v="10000"/>
    <n v="12.1"/>
    <n v="280"/>
    <x v="1"/>
    <n v="0.36913556898051503"/>
    <n v="6.307943721399746"/>
    <n v="44.388474654600664"/>
    <x v="0"/>
  </r>
  <r>
    <x v="11"/>
    <x v="596"/>
    <n v="256"/>
    <n v="571"/>
    <n v="8"/>
    <n v="8"/>
    <n v="8"/>
    <m/>
    <m/>
    <s v="Snapdragon 7s Gen 2"/>
    <x v="2"/>
    <n v="50"/>
    <n v="10000"/>
    <n v="12.1"/>
    <n v="300"/>
    <x v="1"/>
    <n v="0.37846805921165166"/>
    <n v="6.216400047372546"/>
    <n v="48.259442396536151"/>
    <x v="0"/>
  </r>
  <r>
    <x v="12"/>
    <x v="597"/>
    <n v="128"/>
    <n v="190"/>
    <n v="6"/>
    <n v="16"/>
    <n v="50"/>
    <n v="2"/>
    <m/>
    <s v="Dimensity 6100+"/>
    <x v="1"/>
    <n v="22"/>
    <n v="5000"/>
    <n v="6.6"/>
    <n v="220"/>
    <x v="0"/>
    <n v="0.25488954356687271"/>
    <n v="8.8107196491613919"/>
    <n v="24.969583502857191"/>
    <x v="0"/>
  </r>
  <r>
    <x v="12"/>
    <x v="598"/>
    <n v="256"/>
    <n v="190"/>
    <n v="8"/>
    <n v="16"/>
    <n v="50"/>
    <n v="2"/>
    <m/>
    <s v="Dimensity 6100+"/>
    <x v="1"/>
    <n v="22"/>
    <n v="5000"/>
    <n v="6.6"/>
    <n v="240"/>
    <x v="0"/>
    <n v="0.29237657652453281"/>
    <n v="7.7819620698421605"/>
    <n v="30.840551244792671"/>
    <x v="0"/>
  </r>
  <r>
    <x v="12"/>
    <x v="599"/>
    <n v="128"/>
    <n v="184"/>
    <n v="6"/>
    <n v="16"/>
    <n v="50"/>
    <n v="2"/>
    <m/>
    <s v="Dimensity 6100+"/>
    <x v="1"/>
    <n v="22"/>
    <n v="5000"/>
    <n v="6.6"/>
    <n v="200"/>
    <x v="0"/>
    <n v="0.27639857648113525"/>
    <n v="8.0097451356012659"/>
    <n v="24.969583502857191"/>
    <x v="0"/>
  </r>
  <r>
    <x v="12"/>
    <x v="600"/>
    <n v="256"/>
    <n v="184"/>
    <n v="8"/>
    <n v="16"/>
    <n v="50"/>
    <n v="2"/>
    <m/>
    <s v="Dimensity 6100+"/>
    <x v="1"/>
    <n v="22"/>
    <n v="5000"/>
    <n v="6.6"/>
    <n v="220"/>
    <x v="0"/>
    <n v="0.31482039054581945"/>
    <n v="7.133465230688647"/>
    <n v="30.840551244792671"/>
    <x v="0"/>
  </r>
  <r>
    <x v="12"/>
    <x v="601"/>
    <n v="128"/>
    <n v="195"/>
    <n v="6"/>
    <n v="16"/>
    <n v="50"/>
    <n v="2"/>
    <m/>
    <s v="Helio G99"/>
    <x v="1"/>
    <n v="22"/>
    <n v="5000"/>
    <n v="6.5"/>
    <n v="180"/>
    <x v="0"/>
    <n v="0.30103300554917584"/>
    <n v="7.2389697380024582"/>
    <n v="24.865416836190519"/>
    <x v="0"/>
  </r>
  <r>
    <x v="12"/>
    <x v="602"/>
    <n v="128"/>
    <n v="193"/>
    <n v="6"/>
    <n v="16"/>
    <n v="50"/>
    <n v="2"/>
    <m/>
    <s v="Helio G88"/>
    <x v="1"/>
    <n v="14"/>
    <n v="5000"/>
    <n v="6.5"/>
    <n v="160"/>
    <x v="0"/>
    <n v="0.30569846701083797"/>
    <n v="7.0036548699039622"/>
    <n v="22.845214815988498"/>
    <x v="0"/>
  </r>
  <r>
    <x v="12"/>
    <x v="603"/>
    <n v="128"/>
    <n v="198"/>
    <n v="8"/>
    <n v="16"/>
    <n v="50"/>
    <n v="2"/>
    <m/>
    <s v="Dimensity 700"/>
    <x v="1"/>
    <n v="18"/>
    <n v="5000"/>
    <n v="6.6"/>
    <n v="210"/>
    <x v="0"/>
    <n v="0.27568277388852214"/>
    <n v="8.0895295219617385"/>
    <n v="25.95948249275618"/>
    <x v="0"/>
  </r>
  <r>
    <x v="12"/>
    <x v="604"/>
    <n v="128"/>
    <n v="190"/>
    <n v="6"/>
    <n v="8"/>
    <n v="50"/>
    <n v="2"/>
    <m/>
    <s v="Helio G85"/>
    <x v="1"/>
    <n v="12"/>
    <n v="5000"/>
    <n v="6.6"/>
    <n v="160"/>
    <x v="0"/>
    <n v="0.28187717063990275"/>
    <n v="7.5955301819662457"/>
    <n v="21.065020632777077"/>
    <x v="0"/>
  </r>
  <r>
    <x v="12"/>
    <x v="605"/>
    <n v="256"/>
    <n v="190"/>
    <n v="8"/>
    <n v="8"/>
    <n v="50"/>
    <n v="2"/>
    <m/>
    <s v="Helio G85"/>
    <x v="1"/>
    <n v="12"/>
    <n v="5000"/>
    <n v="6.6"/>
    <n v="180"/>
    <x v="0"/>
    <n v="0.32610036627560735"/>
    <n v="6.6825095666058258"/>
    <n v="26.935988374712561"/>
    <x v="0"/>
  </r>
  <r>
    <x v="12"/>
    <x v="606"/>
    <n v="128"/>
    <n v="189"/>
    <n v="4"/>
    <n v="8"/>
    <n v="50"/>
    <n v="2"/>
    <m/>
    <s v="Unisoc T612"/>
    <x v="1"/>
    <n v="6"/>
    <n v="5000"/>
    <n v="6.5"/>
    <n v="130"/>
    <x v="0"/>
    <n v="0.27850731828593572"/>
    <n v="7.4516919204279226"/>
    <n v="17.445702450958894"/>
    <x v="0"/>
  </r>
  <r>
    <x v="12"/>
    <x v="607"/>
    <n v="128"/>
    <n v="195"/>
    <n v="6"/>
    <n v="8"/>
    <n v="50"/>
    <n v="2"/>
    <m/>
    <s v="Helio G88"/>
    <x v="1"/>
    <n v="14"/>
    <n v="5000"/>
    <n v="6.6"/>
    <n v="170"/>
    <x v="0"/>
    <n v="0.27413847608198999"/>
    <n v="7.881290651001601"/>
    <n v="21.570071137827583"/>
    <x v="0"/>
  </r>
  <r>
    <x v="12"/>
    <x v="608"/>
    <n v="256"/>
    <n v="195"/>
    <n v="8"/>
    <n v="8"/>
    <n v="50"/>
    <n v="2"/>
    <m/>
    <s v="Helio G88"/>
    <x v="1"/>
    <n v="14"/>
    <n v="5000"/>
    <n v="6.6"/>
    <n v="190"/>
    <x v="0"/>
    <n v="0.31729263277528474"/>
    <n v="6.9239361101637895"/>
    <n v="27.441038879763067"/>
    <x v="0"/>
  </r>
  <r>
    <x v="12"/>
    <x v="609"/>
    <n v="128"/>
    <n v="191"/>
    <n v="6"/>
    <n v="8"/>
    <n v="50"/>
    <n v="2"/>
    <m/>
    <s v="Helio G85"/>
    <x v="1"/>
    <n v="12"/>
    <n v="5000"/>
    <n v="6.6"/>
    <n v="150"/>
    <x v="0"/>
    <n v="0.29777231591152009"/>
    <n v="7.1208095455933558"/>
    <n v="21.065020632777077"/>
    <x v="0"/>
  </r>
  <r>
    <x v="12"/>
    <x v="610"/>
    <n v="128"/>
    <n v="189"/>
    <n v="6"/>
    <n v="8"/>
    <n v="64"/>
    <n v="2"/>
    <m/>
    <s v="Helio G88"/>
    <x v="1"/>
    <n v="14"/>
    <n v="5000"/>
    <n v="6.72"/>
    <n v="170"/>
    <x v="0"/>
    <n v="0.28485168492943208"/>
    <n v="7.5848770533341341"/>
    <n v="22.413019855776302"/>
    <x v="1"/>
  </r>
  <r>
    <x v="12"/>
    <x v="611"/>
    <n v="256"/>
    <n v="189"/>
    <n v="8"/>
    <n v="8"/>
    <n v="64"/>
    <n v="2"/>
    <m/>
    <s v="Helio G88"/>
    <x v="1"/>
    <n v="14"/>
    <n v="5000"/>
    <n v="6.72"/>
    <n v="190"/>
    <x v="0"/>
    <n v="0.32703939998713927"/>
    <n v="6.717581788763451"/>
    <n v="28.283987597711786"/>
    <x v="1"/>
  </r>
  <r>
    <x v="12"/>
    <x v="612"/>
    <n v="128"/>
    <n v="198"/>
    <n v="6"/>
    <n v="16"/>
    <n v="50"/>
    <n v="2"/>
    <m/>
    <s v="Dimensity 6100+"/>
    <x v="1"/>
    <n v="22"/>
    <n v="5200"/>
    <n v="6.6"/>
    <n v="210"/>
    <x v="0"/>
    <n v="0.26863326730636716"/>
    <n v="8.3018159308024142"/>
    <n v="25.295670459378925"/>
    <x v="0"/>
  </r>
  <r>
    <x v="12"/>
    <x v="613"/>
    <n v="128"/>
    <n v="195"/>
    <n v="6"/>
    <n v="16"/>
    <n v="50"/>
    <n v="2"/>
    <m/>
    <s v="Helio G99"/>
    <x v="1"/>
    <n v="22"/>
    <n v="5000"/>
    <n v="6.5"/>
    <n v="170"/>
    <x v="0"/>
    <n v="0.31601970318319744"/>
    <n v="6.8368047525578772"/>
    <n v="24.865416836190519"/>
    <x v="0"/>
  </r>
  <r>
    <x v="12"/>
    <x v="614"/>
    <n v="64"/>
    <n v="440"/>
    <n v="4"/>
    <n v="8"/>
    <n v="8"/>
    <m/>
    <m/>
    <s v="Helio G80"/>
    <x v="1"/>
    <n v="10"/>
    <n v="7100"/>
    <n v="10.4"/>
    <n v="200"/>
    <x v="1"/>
    <n v="0.24189857689490438"/>
    <n v="9.1521090445221347"/>
    <n v="21.852886479724273"/>
    <x v="3"/>
  </r>
  <r>
    <x v="12"/>
    <x v="306"/>
    <n v="128"/>
    <n v="440"/>
    <n v="6"/>
    <n v="8"/>
    <n v="8"/>
    <m/>
    <m/>
    <s v="Helio G80"/>
    <x v="1"/>
    <n v="10"/>
    <n v="7100"/>
    <n v="10.4"/>
    <n v="230"/>
    <x v="1"/>
    <n v="0.25348673521658416"/>
    <n v="8.9187489117096579"/>
    <n v="25.788370350692013"/>
    <x v="3"/>
  </r>
  <r>
    <x v="12"/>
    <x v="615"/>
    <n v="128"/>
    <n v="482"/>
    <n v="6"/>
    <n v="8"/>
    <n v="8"/>
    <m/>
    <m/>
    <s v="Helio G99"/>
    <x v="1"/>
    <n v="22"/>
    <n v="8360"/>
    <n v="11.5"/>
    <n v="280"/>
    <x v="1"/>
    <n v="0.26626952561109335"/>
    <n v="8.7448474974822741"/>
    <n v="32.018854540415333"/>
    <x v="1"/>
  </r>
  <r>
    <x v="12"/>
    <x v="307"/>
    <n v="256"/>
    <n v="482"/>
    <n v="8"/>
    <n v="8"/>
    <n v="8"/>
    <m/>
    <m/>
    <s v="Helio G99"/>
    <x v="1"/>
    <n v="22"/>
    <n v="8360"/>
    <n v="11.5"/>
    <n v="320"/>
    <x v="1"/>
    <n v="0.28128403716276695"/>
    <n v="8.445539744562403"/>
    <n v="37.889822282350821"/>
    <x v="1"/>
  </r>
  <r>
    <x v="12"/>
    <x v="616"/>
    <n v="64"/>
    <n v="466"/>
    <n v="4"/>
    <n v="8"/>
    <n v="8"/>
    <m/>
    <m/>
    <s v="Helio G85"/>
    <x v="1"/>
    <n v="12"/>
    <n v="7100"/>
    <n v="10.4"/>
    <n v="190"/>
    <x v="1"/>
    <n v="0.2585182259464206"/>
    <n v="8.4981007026446793"/>
    <n v="22.357936984774778"/>
    <x v="1"/>
  </r>
  <r>
    <x v="12"/>
    <x v="617"/>
    <n v="128"/>
    <n v="466"/>
    <n v="6"/>
    <n v="8"/>
    <n v="8"/>
    <m/>
    <m/>
    <s v="Helio G85"/>
    <x v="1"/>
    <n v="12"/>
    <n v="7100"/>
    <n v="10.4"/>
    <n v="210"/>
    <x v="1"/>
    <n v="0.27922911015472296"/>
    <n v="7.9867888302611538"/>
    <n v="26.293420855742518"/>
    <x v="1"/>
  </r>
  <r>
    <x v="12"/>
    <x v="618"/>
    <n v="32"/>
    <n v="372"/>
    <n v="3"/>
    <n v="5"/>
    <n v="8"/>
    <m/>
    <m/>
    <s v="Unisoc T616"/>
    <x v="1"/>
    <n v="8"/>
    <n v="6400"/>
    <n v="8.6999999999999993"/>
    <n v="160"/>
    <x v="1"/>
    <n v="0.21344115850943762"/>
    <n v="10.030898314806342"/>
    <n v="15.950714978720127"/>
    <x v="2"/>
  </r>
  <r>
    <x v="12"/>
    <x v="619"/>
    <n v="64"/>
    <n v="372"/>
    <n v="4"/>
    <n v="5"/>
    <n v="8"/>
    <m/>
    <m/>
    <s v="Unisoc T616"/>
    <x v="1"/>
    <n v="8"/>
    <n v="6400"/>
    <n v="8.6999999999999993"/>
    <n v="180"/>
    <x v="1"/>
    <n v="0.21692968089863035"/>
    <n v="10.045507872796437"/>
    <n v="17.918456914203997"/>
    <x v="2"/>
  </r>
  <r>
    <x v="12"/>
    <x v="620"/>
    <n v="64"/>
    <n v="440"/>
    <n v="4"/>
    <n v="8"/>
    <n v="8"/>
    <m/>
    <m/>
    <s v="Helio G80"/>
    <x v="1"/>
    <n v="10"/>
    <n v="7100"/>
    <n v="10.4"/>
    <n v="200"/>
    <x v="1"/>
    <n v="0.24189857689490438"/>
    <n v="9.1521090445221347"/>
    <n v="21.852886479724273"/>
    <x v="2"/>
  </r>
  <r>
    <x v="12"/>
    <x v="621"/>
    <n v="128"/>
    <n v="440"/>
    <n v="6"/>
    <n v="8"/>
    <n v="8"/>
    <m/>
    <m/>
    <s v="Helio G80"/>
    <x v="1"/>
    <n v="10"/>
    <n v="7100"/>
    <n v="10.4"/>
    <n v="220"/>
    <x v="1"/>
    <n v="0.26324772086283343"/>
    <n v="8.5309772198961937"/>
    <n v="25.788370350692013"/>
    <x v="2"/>
  </r>
  <r>
    <x v="12"/>
    <x v="622"/>
    <n v="64"/>
    <n v="465"/>
    <n v="4"/>
    <n v="8"/>
    <n v="8"/>
    <m/>
    <m/>
    <s v="Helio G85"/>
    <x v="1"/>
    <n v="12"/>
    <n v="7200"/>
    <n v="10.5"/>
    <n v="210"/>
    <x v="1"/>
    <n v="0.24027302247233795"/>
    <n v="9.2817075971325647"/>
    <n v="22.625147129702313"/>
    <x v="0"/>
  </r>
  <r>
    <x v="12"/>
    <x v="623"/>
    <n v="128"/>
    <n v="465"/>
    <n v="6"/>
    <n v="8"/>
    <n v="8"/>
    <m/>
    <m/>
    <s v="Helio G85"/>
    <x v="1"/>
    <n v="12"/>
    <n v="7200"/>
    <n v="10.5"/>
    <n v="230"/>
    <x v="1"/>
    <n v="0.2610776697439347"/>
    <n v="8.6594328272621883"/>
    <n v="26.560631000670053"/>
    <x v="0"/>
  </r>
  <r>
    <x v="12"/>
    <x v="624"/>
    <n v="128"/>
    <n v="222.8"/>
    <n v="12"/>
    <n v="16"/>
    <n v="50"/>
    <n v="50"/>
    <n v="8"/>
    <s v="Snapdragon 8 Elite"/>
    <x v="0"/>
    <n v="100"/>
    <n v="6500"/>
    <n v="6.78"/>
    <n v="470"/>
    <x v="0"/>
    <n v="0.28539189101653162"/>
    <n v="8.8180600006011076"/>
    <n v="53.299705373739933"/>
    <x v="0"/>
  </r>
  <r>
    <x v="12"/>
    <x v="625"/>
    <n v="256"/>
    <n v="222.8"/>
    <n v="16"/>
    <n v="16"/>
    <n v="50"/>
    <n v="50"/>
    <n v="8"/>
    <s v="Snapdragon 8 Elite"/>
    <x v="0"/>
    <n v="100"/>
    <n v="6500"/>
    <n v="6.78"/>
    <n v="500"/>
    <x v="0"/>
    <n v="0.31075545126864373"/>
    <n v="8.1738515293837999"/>
    <n v="61.170673115675413"/>
    <x v="0"/>
  </r>
  <r>
    <x v="12"/>
    <x v="626"/>
    <n v="128"/>
    <n v="191"/>
    <n v="8"/>
    <n v="32"/>
    <n v="50"/>
    <n v="8"/>
    <n v="50"/>
    <s v="Snapdragon 8s Gen 3"/>
    <x v="0"/>
    <n v="98"/>
    <n v="5500"/>
    <n v="6.78"/>
    <n v="380"/>
    <x v="0"/>
    <n v="0.32024564539827149"/>
    <n v="7.6117463288405682"/>
    <n v="49.922840775735907"/>
    <x v="1"/>
  </r>
  <r>
    <x v="12"/>
    <x v="627"/>
    <n v="256"/>
    <n v="191"/>
    <n v="12"/>
    <n v="32"/>
    <n v="50"/>
    <n v="8"/>
    <n v="50"/>
    <s v="Snapdragon 8s Gen 3"/>
    <x v="0"/>
    <n v="98"/>
    <n v="5500"/>
    <n v="6.78"/>
    <n v="400"/>
    <x v="0"/>
    <n v="0.35491987678686743"/>
    <n v="6.9211566127830739"/>
    <n v="57.79380851767138"/>
    <x v="1"/>
  </r>
  <r>
    <x v="12"/>
    <x v="628"/>
    <n v="512"/>
    <n v="191"/>
    <n v="16"/>
    <n v="32"/>
    <n v="50"/>
    <n v="8"/>
    <n v="50"/>
    <s v="Snapdragon 8s Gen 3"/>
    <x v="0"/>
    <n v="98"/>
    <n v="5500"/>
    <n v="6.78"/>
    <n v="420"/>
    <x v="0"/>
    <n v="0.40968136414867756"/>
    <n v="6.0400590520852715"/>
    <n v="69.535744001542355"/>
    <x v="1"/>
  </r>
  <r>
    <x v="12"/>
    <x v="629"/>
    <n v="128"/>
    <n v="199"/>
    <n v="8"/>
    <n v="16"/>
    <n v="50"/>
    <n v="8"/>
    <n v="2"/>
    <s v="Snapdragon 8 Gen 2"/>
    <x v="0"/>
    <n v="95"/>
    <n v="5200"/>
    <n v="6.8"/>
    <n v="440"/>
    <x v="0"/>
    <n v="0.26016004021765959"/>
    <n v="9.5780546440917451"/>
    <n v="45.938347227055701"/>
    <x v="0"/>
  </r>
  <r>
    <x v="12"/>
    <x v="630"/>
    <n v="256"/>
    <n v="199"/>
    <n v="12"/>
    <n v="16"/>
    <n v="50"/>
    <n v="8"/>
    <n v="2"/>
    <s v="Snapdragon 8 Gen 2"/>
    <x v="0"/>
    <n v="95"/>
    <n v="5200"/>
    <n v="6.8"/>
    <n v="500"/>
    <x v="0"/>
    <n v="0.27335873718480352"/>
    <n v="9.2920714617559454"/>
    <n v="53.809314968991181"/>
    <x v="0"/>
  </r>
  <r>
    <x v="12"/>
    <x v="631"/>
    <n v="128"/>
    <n v="195"/>
    <n v="8"/>
    <n v="16"/>
    <n v="50"/>
    <n v="8"/>
    <m/>
    <s v="Dimensity 9200"/>
    <x v="0"/>
    <n v="95"/>
    <n v="5100"/>
    <n v="6.7"/>
    <n v="350"/>
    <x v="0"/>
    <n v="0.31418394369934483"/>
    <n v="7.6634833805563503"/>
    <n v="45.671137082128162"/>
    <x v="0"/>
  </r>
  <r>
    <x v="12"/>
    <x v="632"/>
    <n v="256"/>
    <n v="195"/>
    <n v="12"/>
    <n v="16"/>
    <n v="50"/>
    <n v="8"/>
    <m/>
    <s v="Dimensity 9200"/>
    <x v="0"/>
    <n v="95"/>
    <n v="5100"/>
    <n v="6.7"/>
    <n v="400"/>
    <x v="0"/>
    <n v="0.32880956861072219"/>
    <n v="7.4707559838070914"/>
    <n v="53.542104824063642"/>
    <x v="0"/>
  </r>
  <r>
    <x v="12"/>
    <x v="633"/>
    <n v="128"/>
    <n v="191"/>
    <n v="8"/>
    <n v="32"/>
    <n v="50"/>
    <n v="8"/>
    <m/>
    <s v="Snapdragon 7 Plus Gen 3"/>
    <x v="2"/>
    <n v="70"/>
    <n v="5500"/>
    <n v="6.78"/>
    <n v="360"/>
    <x v="0"/>
    <n v="0.28781626010887479"/>
    <n v="8.4009819085800359"/>
    <n v="42.852133705028834"/>
    <x v="1"/>
  </r>
  <r>
    <x v="12"/>
    <x v="634"/>
    <n v="256"/>
    <n v="191"/>
    <n v="8"/>
    <n v="32"/>
    <n v="50"/>
    <n v="8"/>
    <m/>
    <s v="Snapdragon 7 Plus Gen 3"/>
    <x v="2"/>
    <n v="70"/>
    <n v="5500"/>
    <n v="6.78"/>
    <n v="380"/>
    <x v="0"/>
    <n v="0.29971991868628656"/>
    <n v="8.1330217436729981"/>
    <n v="46.723101446964307"/>
    <x v="1"/>
  </r>
  <r>
    <x v="12"/>
    <x v="635"/>
    <n v="256"/>
    <n v="184"/>
    <n v="12"/>
    <n v="16"/>
    <n v="50"/>
    <n v="8"/>
    <n v="50"/>
    <s v="Snapdragon 7s Gen 3"/>
    <x v="2"/>
    <n v="58"/>
    <n v="6000"/>
    <n v="6.83"/>
    <n v="340"/>
    <x v="0"/>
    <n v="0.32294042878796902"/>
    <n v="7.4233411560931293"/>
    <n v="45.801478451643796"/>
    <x v="8"/>
  </r>
  <r>
    <x v="12"/>
    <x v="636"/>
    <n v="512"/>
    <n v="184"/>
    <n v="12"/>
    <n v="16"/>
    <n v="50"/>
    <n v="8"/>
    <n v="50"/>
    <s v="Snapdragon 7s Gen 3"/>
    <x v="2"/>
    <n v="58"/>
    <n v="6000"/>
    <n v="6.83"/>
    <n v="360"/>
    <x v="0"/>
    <n v="0.35962421984538839"/>
    <n v="6.7235159945827805"/>
    <n v="53.543413935514756"/>
    <x v="8"/>
  </r>
  <r>
    <x v="12"/>
    <x v="637"/>
    <n v="128"/>
    <n v="184"/>
    <n v="8"/>
    <n v="16"/>
    <n v="50"/>
    <n v="8"/>
    <m/>
    <s v="Dimensity 7300 Energy"/>
    <x v="2"/>
    <n v="56"/>
    <n v="5800"/>
    <n v="6.7"/>
    <n v="320"/>
    <x v="0"/>
    <n v="0.27441065464136699"/>
    <n v="8.6570819142348245"/>
    <n v="36.963956581469397"/>
    <x v="8"/>
  </r>
  <r>
    <x v="12"/>
    <x v="638"/>
    <n v="256"/>
    <n v="184"/>
    <n v="8"/>
    <n v="16"/>
    <n v="50"/>
    <n v="8"/>
    <m/>
    <s v="Dimensity 7300 Energy"/>
    <x v="2"/>
    <n v="56"/>
    <n v="5800"/>
    <n v="6.7"/>
    <n v="340"/>
    <x v="0"/>
    <n v="0.28792188410353275"/>
    <n v="8.3262061980882898"/>
    <n v="40.834924323404884"/>
    <x v="8"/>
  </r>
  <r>
    <x v="12"/>
    <x v="639"/>
    <n v="128"/>
    <n v="190"/>
    <n v="6"/>
    <n v="16"/>
    <n v="48"/>
    <n v="2"/>
    <n v="2"/>
    <s v="Snapdragon 7s Gen 2"/>
    <x v="2"/>
    <n v="50"/>
    <n v="5500"/>
    <n v="6.6"/>
    <n v="270"/>
    <x v="0"/>
    <n v="0.28092548628338665"/>
    <n v="8.2435338067655071"/>
    <n v="32.752943862304505"/>
    <x v="8"/>
  </r>
  <r>
    <x v="12"/>
    <x v="640"/>
    <n v="256"/>
    <n v="190"/>
    <n v="8"/>
    <n v="16"/>
    <n v="48"/>
    <n v="2"/>
    <n v="2"/>
    <s v="Snapdragon 7s Gen 2"/>
    <x v="2"/>
    <n v="50"/>
    <n v="5500"/>
    <n v="6.6"/>
    <n v="290"/>
    <x v="0"/>
    <n v="0.31175825094031162"/>
    <n v="7.5083021878127152"/>
    <n v="38.623911604239986"/>
    <x v="8"/>
  </r>
  <r>
    <x v="12"/>
    <x v="641"/>
    <n v="128"/>
    <n v="185"/>
    <n v="8"/>
    <n v="16"/>
    <n v="50"/>
    <n v="2"/>
    <m/>
    <s v="Dimensity 7200"/>
    <x v="2"/>
    <n v="50"/>
    <n v="5000"/>
    <n v="6.5"/>
    <n v="250"/>
    <x v="0"/>
    <n v="0.31075149701606936"/>
    <n v="7.3667812118397809"/>
    <n v="33.936123906897592"/>
    <x v="0"/>
  </r>
  <r>
    <x v="12"/>
    <x v="642"/>
    <n v="256"/>
    <n v="185"/>
    <n v="8"/>
    <n v="16"/>
    <n v="50"/>
    <n v="2"/>
    <m/>
    <s v="Dimensity 7200"/>
    <x v="2"/>
    <n v="50"/>
    <n v="5000"/>
    <n v="6.5"/>
    <n v="270"/>
    <x v="0"/>
    <n v="0.32427544989727536"/>
    <n v="7.1415173245237877"/>
    <n v="37.807091648833072"/>
    <x v="0"/>
  </r>
  <r>
    <x v="12"/>
    <x v="643"/>
    <n v="128"/>
    <n v="192"/>
    <n v="8"/>
    <n v="16"/>
    <n v="50"/>
    <n v="8"/>
    <n v="2"/>
    <s v="Snapdragon 7s Gen 2"/>
    <x v="2"/>
    <n v="50"/>
    <n v="5200"/>
    <n v="6.7"/>
    <n v="300"/>
    <x v="0"/>
    <n v="0.2703305159417016"/>
    <n v="8.7030827911403197"/>
    <n v="34.47054419675267"/>
    <x v="0"/>
  </r>
  <r>
    <x v="12"/>
    <x v="644"/>
    <n v="256"/>
    <n v="192"/>
    <n v="12"/>
    <n v="16"/>
    <n v="50"/>
    <n v="8"/>
    <n v="2"/>
    <s v="Snapdragon 7s Gen 2"/>
    <x v="2"/>
    <n v="50"/>
    <n v="5200"/>
    <n v="6.7"/>
    <n v="320"/>
    <x v="0"/>
    <n v="0.31433220586092336"/>
    <n v="7.5575950255005093"/>
    <n v="42.34151193868815"/>
    <x v="0"/>
  </r>
  <r>
    <x v="12"/>
    <x v="645"/>
    <n v="256"/>
    <n v="195"/>
    <n v="12"/>
    <n v="32"/>
    <n v="50"/>
    <n v="8"/>
    <n v="50"/>
    <s v="Snapdragon 7+ Gen 2"/>
    <x v="2"/>
    <n v="65"/>
    <n v="5500"/>
    <n v="6.78"/>
    <n v="360"/>
    <x v="0"/>
    <n v="0.33220117086243017"/>
    <n v="7.2785390487715356"/>
    <n v="49.460475184338051"/>
    <x v="0"/>
  </r>
  <r>
    <x v="12"/>
    <x v="646"/>
    <n v="512"/>
    <n v="195"/>
    <n v="16"/>
    <n v="32"/>
    <n v="50"/>
    <n v="8"/>
    <n v="50"/>
    <s v="Snapdragon 7+ Gen 2"/>
    <x v="2"/>
    <n v="65"/>
    <n v="5500"/>
    <n v="6.78"/>
    <n v="380"/>
    <x v="0"/>
    <n v="0.39260196735232233"/>
    <n v="6.2089057579783722"/>
    <n v="61.202410668209026"/>
    <x v="0"/>
  </r>
  <r>
    <x v="12"/>
    <x v="647"/>
    <n v="128"/>
    <n v="185"/>
    <n v="8"/>
    <n v="16"/>
    <n v="64"/>
    <n v="2"/>
    <m/>
    <s v="Dimensity 8100"/>
    <x v="2"/>
    <n v="65"/>
    <n v="5100"/>
    <n v="6.7"/>
    <n v="250"/>
    <x v="0"/>
    <n v="0.35541182849794445"/>
    <n v="6.4410863854586244"/>
    <n v="38.813328224319299"/>
    <x v="0"/>
  </r>
  <r>
    <x v="12"/>
    <x v="648"/>
    <n v="256"/>
    <n v="185"/>
    <n v="12"/>
    <n v="16"/>
    <n v="64"/>
    <n v="2"/>
    <m/>
    <s v="Dimensity 8100"/>
    <x v="2"/>
    <n v="65"/>
    <n v="5100"/>
    <n v="6.7"/>
    <n v="270"/>
    <x v="0"/>
    <n v="0.40041617636732668"/>
    <n v="5.7835294377185518"/>
    <n v="46.684295966254787"/>
    <x v="0"/>
  </r>
  <r>
    <x v="12"/>
    <x v="632"/>
    <n v="256"/>
    <n v="188"/>
    <n v="12"/>
    <n v="32"/>
    <n v="50"/>
    <n v="8"/>
    <n v="50"/>
    <s v="Snapdragon 7+ Gen 3"/>
    <x v="2"/>
    <n v="70"/>
    <n v="5500"/>
    <n v="6.78"/>
    <n v="340"/>
    <x v="0"/>
    <n v="0.3576421697398377"/>
    <n v="6.7030601501270848"/>
    <n v="50.723101446964321"/>
    <x v="0"/>
  </r>
  <r>
    <x v="12"/>
    <x v="649"/>
    <n v="512"/>
    <n v="188"/>
    <n v="16"/>
    <n v="32"/>
    <n v="50"/>
    <n v="8"/>
    <n v="50"/>
    <s v="Snapdragon 7+ Gen 3"/>
    <x v="2"/>
    <n v="70"/>
    <n v="5500"/>
    <n v="6.78"/>
    <n v="360"/>
    <x v="0"/>
    <n v="0.4195462807231447"/>
    <n v="5.7632239999891741"/>
    <n v="62.465036930835282"/>
    <x v="0"/>
  </r>
  <r>
    <x v="12"/>
    <x v="650"/>
    <n v="128"/>
    <n v="190"/>
    <n v="8"/>
    <n v="16"/>
    <n v="64"/>
    <n v="2"/>
    <m/>
    <s v="Snapdragon 7s Gen 1"/>
    <x v="2"/>
    <n v="48"/>
    <n v="5200"/>
    <n v="6.7"/>
    <n v="270"/>
    <x v="0"/>
    <n v="0.29748357783883966"/>
    <n v="7.7846944029082552"/>
    <n v="34.68344240965088"/>
    <x v="0"/>
  </r>
  <r>
    <x v="12"/>
    <x v="651"/>
    <n v="256"/>
    <n v="190"/>
    <n v="12"/>
    <n v="16"/>
    <n v="64"/>
    <n v="2"/>
    <m/>
    <s v="Snapdragon 7s Gen 1"/>
    <x v="2"/>
    <n v="48"/>
    <n v="5200"/>
    <n v="6.7"/>
    <n v="290"/>
    <x v="0"/>
    <n v="0.3434838142390228"/>
    <n v="6.8148048337873455"/>
    <n v="42.55441015158636"/>
    <x v="0"/>
  </r>
  <r>
    <x v="12"/>
    <x v="652"/>
    <n v="128"/>
    <n v="200"/>
    <n v="8"/>
    <n v="16"/>
    <n v="50"/>
    <n v="2"/>
    <m/>
    <s v="Dimensity 810"/>
    <x v="2"/>
    <n v="25"/>
    <n v="5000"/>
    <n v="6.6"/>
    <n v="240"/>
    <x v="0"/>
    <n v="0.26286079768709336"/>
    <n v="8.6557731264768769"/>
    <n v="27.727159260432948"/>
    <x v="0"/>
  </r>
  <r>
    <x v="12"/>
    <x v="653"/>
    <n v="256"/>
    <n v="200"/>
    <n v="8"/>
    <n v="16"/>
    <n v="50"/>
    <n v="2"/>
    <m/>
    <s v="Dimensity 810"/>
    <x v="2"/>
    <n v="25"/>
    <n v="5000"/>
    <n v="6.6"/>
    <n v="260"/>
    <x v="0"/>
    <n v="0.27985559538826305"/>
    <n v="8.2283358118192194"/>
    <n v="31.598127002368429"/>
    <x v="0"/>
  </r>
  <r>
    <x v="12"/>
    <x v="654"/>
    <n v="128"/>
    <n v="198"/>
    <n v="8"/>
    <n v="16"/>
    <n v="50"/>
    <n v="2"/>
    <m/>
    <s v="Dimensity 810"/>
    <x v="2"/>
    <n v="25"/>
    <n v="5200"/>
    <n v="6.6"/>
    <n v="230"/>
    <x v="0"/>
    <n v="0.27574932805213148"/>
    <n v="8.1986946616179388"/>
    <n v="28.053246216954683"/>
    <x v="0"/>
  </r>
  <r>
    <x v="12"/>
    <x v="655"/>
    <n v="128"/>
    <n v="192"/>
    <n v="6"/>
    <n v="8"/>
    <n v="50"/>
    <n v="2"/>
    <m/>
    <s v="Snapdragon 680"/>
    <x v="2"/>
    <n v="32"/>
    <n v="5000"/>
    <n v="6.6"/>
    <n v="160"/>
    <x v="0"/>
    <n v="0.34945944832937975"/>
    <n v="6.1266237540232282"/>
    <n v="26.115525683282129"/>
    <x v="0"/>
  </r>
  <r>
    <x v="12"/>
    <x v="656"/>
    <n v="256"/>
    <n v="192"/>
    <n v="8"/>
    <n v="8"/>
    <n v="50"/>
    <n v="2"/>
    <m/>
    <s v="Snapdragon 680"/>
    <x v="2"/>
    <n v="32"/>
    <n v="5000"/>
    <n v="6.6"/>
    <n v="180"/>
    <x v="0"/>
    <n v="0.38724427248521487"/>
    <n v="5.6273752051261434"/>
    <n v="31.986493425217613"/>
    <x v="0"/>
  </r>
  <r>
    <x v="12"/>
    <x v="657"/>
    <n v="128"/>
    <n v="196"/>
    <n v="6"/>
    <n v="16"/>
    <n v="50"/>
    <n v="2"/>
    <m/>
    <s v="Dimensity 810"/>
    <x v="2"/>
    <n v="25"/>
    <n v="5200"/>
    <n v="6.6"/>
    <n v="220"/>
    <x v="0"/>
    <n v="0.26595157407872094"/>
    <n v="8.4442452264098478"/>
    <n v="26.053246216954683"/>
    <x v="0"/>
  </r>
  <r>
    <x v="12"/>
    <x v="658"/>
    <n v="256"/>
    <n v="196"/>
    <n v="8"/>
    <n v="16"/>
    <n v="50"/>
    <n v="2"/>
    <m/>
    <s v="Dimensity 810"/>
    <x v="2"/>
    <n v="25"/>
    <n v="5200"/>
    <n v="6.6"/>
    <n v="240"/>
    <x v="0"/>
    <n v="0.30264998545098987"/>
    <n v="7.5178045200754404"/>
    <n v="31.924213958890171"/>
    <x v="0"/>
  </r>
  <r>
    <x v="12"/>
    <x v="659"/>
    <n v="128"/>
    <n v="193"/>
    <n v="8"/>
    <n v="16"/>
    <n v="64"/>
    <n v="8"/>
    <n v="2"/>
    <s v="Dimensity 8200"/>
    <x v="2"/>
    <n v="70"/>
    <n v="5000"/>
    <n v="6.7"/>
    <n v="330"/>
    <x v="0"/>
    <n v="0.28865331860360832"/>
    <n v="8.2680012973294517"/>
    <n v="39.912911008684695"/>
    <x v="0"/>
  </r>
  <r>
    <x v="12"/>
    <x v="660"/>
    <n v="256"/>
    <n v="193"/>
    <n v="12"/>
    <n v="16"/>
    <n v="64"/>
    <n v="8"/>
    <n v="2"/>
    <s v="Dimensity 8200"/>
    <x v="2"/>
    <n v="70"/>
    <n v="5000"/>
    <n v="6.7"/>
    <n v="380"/>
    <x v="0"/>
    <n v="0.30652460581855856"/>
    <n v="7.9524728828144369"/>
    <n v="47.783878750620183"/>
    <x v="0"/>
  </r>
  <r>
    <x v="12"/>
    <x v="661"/>
    <n v="64"/>
    <n v="499"/>
    <n v="4"/>
    <n v="8"/>
    <n v="13"/>
    <m/>
    <m/>
    <s v="Snapdragon 695"/>
    <x v="2"/>
    <n v="40"/>
    <n v="8340"/>
    <n v="11"/>
    <n v="310"/>
    <x v="1"/>
    <n v="0.2465882371154825"/>
    <n v="9.588085503298009"/>
    <n v="32.331793442326884"/>
    <x v="2"/>
  </r>
  <r>
    <x v="12"/>
    <x v="662"/>
    <n v="128"/>
    <n v="499"/>
    <n v="6"/>
    <n v="8"/>
    <n v="13"/>
    <m/>
    <m/>
    <s v="Snapdragon 695"/>
    <x v="2"/>
    <n v="40"/>
    <n v="8340"/>
    <n v="11"/>
    <n v="350"/>
    <x v="1"/>
    <n v="0.24949228203007828"/>
    <n v="9.6505728008344107"/>
    <n v="36.267277313294628"/>
    <x v="2"/>
  </r>
  <r>
    <x v="13"/>
    <x v="663"/>
    <n v="128"/>
    <n v="195"/>
    <n v="6"/>
    <n v="13"/>
    <n v="50"/>
    <n v="5"/>
    <m/>
    <s v="Helio G99"/>
    <x v="1"/>
    <n v="22"/>
    <n v="5000"/>
    <n v="6.5"/>
    <n v="299"/>
    <x v="0"/>
    <n v="0.19148991775179569"/>
    <n v="12.280180933044416"/>
    <n v="24.348175456880178"/>
    <x v="1"/>
  </r>
  <r>
    <x v="13"/>
    <x v="664"/>
    <n v="256"/>
    <n v="195"/>
    <n v="6"/>
    <n v="13"/>
    <n v="50"/>
    <n v="5"/>
    <m/>
    <s v="Helio G99"/>
    <x v="1"/>
    <n v="22"/>
    <n v="5000"/>
    <n v="6.5"/>
    <n v="349"/>
    <x v="0"/>
    <n v="0.19459971974393078"/>
    <n v="12.367491016334164"/>
    <n v="28.219143198815662"/>
    <x v="1"/>
  </r>
  <r>
    <x v="13"/>
    <x v="665"/>
    <n v="64"/>
    <n v="188"/>
    <n v="4"/>
    <n v="5"/>
    <n v="13"/>
    <n v="2"/>
    <m/>
    <s v="Helio P35"/>
    <x v="1"/>
    <n v="5"/>
    <n v="5000"/>
    <n v="6.5"/>
    <n v="199"/>
    <x v="0"/>
    <n v="0.14277162755292286"/>
    <n v="15.494802717220695"/>
    <n v="12.84301605071966"/>
    <x v="2"/>
  </r>
  <r>
    <x v="13"/>
    <x v="666"/>
    <n v="128"/>
    <n v="188"/>
    <n v="4"/>
    <n v="5"/>
    <n v="13"/>
    <n v="2"/>
    <m/>
    <s v="Helio P35"/>
    <x v="1"/>
    <n v="5"/>
    <n v="5000"/>
    <n v="6.5"/>
    <n v="249"/>
    <x v="0"/>
    <n v="0.13578784894715989"/>
    <n v="16.848800711809275"/>
    <n v="14.7784999216874"/>
    <x v="2"/>
  </r>
  <r>
    <x v="13"/>
    <x v="667"/>
    <n v="64"/>
    <n v="191"/>
    <n v="4"/>
    <n v="16"/>
    <n v="16"/>
    <n v="5"/>
    <m/>
    <s v="Snapdragon 450"/>
    <x v="1"/>
    <n v="15"/>
    <n v="3500"/>
    <n v="6"/>
    <n v="199"/>
    <x v="0"/>
    <n v="0.16066018973288534"/>
    <n v="13.769548051867101"/>
    <n v="14.452180946709889"/>
    <x v="7"/>
  </r>
  <r>
    <x v="13"/>
    <x v="668"/>
    <n v="64"/>
    <n v="181"/>
    <n v="3"/>
    <n v="13"/>
    <n v="13"/>
    <m/>
    <m/>
    <s v="Exynos 7870"/>
    <x v="1"/>
    <n v="5"/>
    <n v="3600"/>
    <n v="5.5"/>
    <n v="179"/>
    <x v="0"/>
    <n v="0.12039948030323044"/>
    <n v="18.084368265942992"/>
    <n v="9.8980510332284037"/>
    <x v="6"/>
  </r>
  <r>
    <x v="13"/>
    <x v="669"/>
    <n v="64"/>
    <n v="178"/>
    <n v="4"/>
    <n v="8"/>
    <n v="13"/>
    <n v="5"/>
    <m/>
    <s v="Snapdragon 425"/>
    <x v="1"/>
    <n v="8"/>
    <n v="3300"/>
    <n v="6"/>
    <n v="169"/>
    <x v="0"/>
    <n v="0.13827213419158624"/>
    <n v="15.611633226334718"/>
    <n v="10.825260723837646"/>
    <x v="7"/>
  </r>
  <r>
    <x v="13"/>
    <x v="670"/>
    <n v="16"/>
    <n v="175"/>
    <n v="2"/>
    <n v="5"/>
    <n v="13"/>
    <m/>
    <m/>
    <s v="Exynos 7570"/>
    <x v="1"/>
    <n v="3"/>
    <n v="3000"/>
    <n v="5.5"/>
    <n v="129"/>
    <x v="0"/>
    <n v="7.365902421886758E-2"/>
    <n v="28.142488364681299"/>
    <n v="4.5838164105592893"/>
    <x v="7"/>
  </r>
  <r>
    <x v="13"/>
    <x v="671"/>
    <n v="64"/>
    <n v="189"/>
    <n v="6"/>
    <n v="16"/>
    <n v="16"/>
    <n v="8"/>
    <m/>
    <s v="Snapdragon 653"/>
    <x v="1"/>
    <n v="18"/>
    <n v="4000"/>
    <n v="6"/>
    <n v="399"/>
    <x v="0"/>
    <n v="0.11092966154280318"/>
    <n v="22.135954142514947"/>
    <n v="18.024974095589997"/>
    <x v="9"/>
  </r>
  <r>
    <x v="13"/>
    <x v="672"/>
    <n v="64"/>
    <n v="165"/>
    <n v="4"/>
    <n v="16"/>
    <n v="16"/>
    <m/>
    <m/>
    <s v="Snapdragon 625"/>
    <x v="1"/>
    <n v="14"/>
    <n v="3300"/>
    <n v="5.7"/>
    <n v="299"/>
    <x v="0"/>
    <n v="0.10665308132842967"/>
    <n v="22.048409737028539"/>
    <n v="13.5610687376629"/>
    <x v="6"/>
  </r>
  <r>
    <x v="13"/>
    <x v="673"/>
    <n v="32"/>
    <n v="143"/>
    <n v="4"/>
    <n v="8"/>
    <n v="16"/>
    <m/>
    <m/>
    <s v="Snapdragon 617"/>
    <x v="1"/>
    <n v="10"/>
    <n v="2600"/>
    <n v="5.2"/>
    <n v="249"/>
    <x v="0"/>
    <n v="7.8483583258681794E-2"/>
    <n v="29.150840354156184"/>
    <n v="8.5417777660910144"/>
    <x v="9"/>
  </r>
  <r>
    <x v="13"/>
    <x v="674"/>
    <n v="64"/>
    <n v="366"/>
    <n v="4"/>
    <n v="2"/>
    <n v="8"/>
    <m/>
    <m/>
    <s v="Helio G99"/>
    <x v="1"/>
    <n v="22"/>
    <n v="5100"/>
    <n v="8.6999999999999993"/>
    <n v="179"/>
    <x v="1"/>
    <n v="0.22888925073654487"/>
    <n v="9.5126727612819675"/>
    <n v="18.817003852855883"/>
    <x v="1"/>
  </r>
  <r>
    <x v="13"/>
    <x v="675"/>
    <n v="64"/>
    <n v="508"/>
    <n v="4"/>
    <n v="5"/>
    <n v="8"/>
    <m/>
    <m/>
    <s v="Unisoc T618"/>
    <x v="1"/>
    <n v="10"/>
    <n v="7040"/>
    <n v="10.5"/>
    <n v="199"/>
    <x v="1"/>
    <n v="0.23725190552819922"/>
    <n v="9.3243432444681087"/>
    <n v="21.341985680124072"/>
    <x v="2"/>
  </r>
  <r>
    <x v="13"/>
    <x v="676"/>
    <n v="32"/>
    <n v="366"/>
    <n v="3"/>
    <n v="2"/>
    <n v="8"/>
    <m/>
    <m/>
    <s v="Helio P22T"/>
    <x v="1"/>
    <n v="4"/>
    <n v="5100"/>
    <n v="8.6999999999999993"/>
    <n v="149"/>
    <x v="1"/>
    <n v="0.17491666768261346"/>
    <n v="12.110072556896615"/>
    <n v="12.303807371917468"/>
    <x v="3"/>
  </r>
  <r>
    <x v="13"/>
    <x v="677"/>
    <n v="16"/>
    <n v="490"/>
    <n v="1.5"/>
    <n v="2"/>
    <n v="5"/>
    <m/>
    <m/>
    <s v="Spreadtrum SC8830"/>
    <x v="1"/>
    <n v="1"/>
    <n v="5000"/>
    <n v="10.1"/>
    <n v="129"/>
    <x v="1"/>
    <n v="0.17200335115392246"/>
    <n v="12.051789794364053"/>
    <n v="10.703804347826086"/>
    <x v="9"/>
  </r>
  <r>
    <x v="13"/>
    <x v="678"/>
    <n v="16"/>
    <n v="360"/>
    <n v="1.5"/>
    <n v="2"/>
    <n v="5"/>
    <m/>
    <m/>
    <s v="Qualcomm MSM8916"/>
    <x v="1"/>
    <n v="2"/>
    <n v="5000"/>
    <n v="8"/>
    <n v="99"/>
    <x v="0"/>
    <n v="0.17646221055154782"/>
    <n v="11.289990171098021"/>
    <n v="8.7688296003513386"/>
    <x v="9"/>
  </r>
  <r>
    <x v="13"/>
    <x v="679"/>
    <n v="128"/>
    <n v="234"/>
    <n v="12"/>
    <n v="12"/>
    <n v="200"/>
    <n v="12"/>
    <m/>
    <s v="Exynos 2400"/>
    <x v="0"/>
    <n v="95"/>
    <n v="5000"/>
    <n v="6.8"/>
    <n v="1199"/>
    <x v="0"/>
    <n v="0.13675226778159782"/>
    <n v="21.178165626402244"/>
    <n v="56.614912790427859"/>
    <x v="0"/>
  </r>
  <r>
    <x v="13"/>
    <x v="680"/>
    <n v="256"/>
    <n v="234"/>
    <n v="12"/>
    <n v="12"/>
    <n v="200"/>
    <n v="12"/>
    <m/>
    <s v="Exynos 2400"/>
    <x v="0"/>
    <n v="95"/>
    <n v="5000"/>
    <n v="6.8"/>
    <n v="1299"/>
    <x v="0"/>
    <n v="0.13648541007041784"/>
    <n v="21.47608646128516"/>
    <n v="60.485880532363339"/>
    <x v="0"/>
  </r>
  <r>
    <x v="13"/>
    <x v="681"/>
    <n v="128"/>
    <n v="196"/>
    <n v="8"/>
    <n v="12"/>
    <n v="50"/>
    <n v="12"/>
    <m/>
    <s v="Exynos 2400"/>
    <x v="0"/>
    <n v="95"/>
    <n v="4800"/>
    <n v="6.6"/>
    <n v="899"/>
    <x v="0"/>
    <n v="0.13695303074736118"/>
    <n v="20.253137268019255"/>
    <n v="44.388184808265095"/>
    <x v="0"/>
  </r>
  <r>
    <x v="13"/>
    <x v="682"/>
    <n v="256"/>
    <n v="196"/>
    <n v="8"/>
    <n v="12"/>
    <n v="50"/>
    <n v="12"/>
    <m/>
    <s v="Exynos 2400"/>
    <x v="0"/>
    <n v="95"/>
    <n v="4800"/>
    <n v="6.6"/>
    <n v="999"/>
    <x v="0"/>
    <n v="0.13612848972255648"/>
    <n v="20.700736486427342"/>
    <n v="48.259152550200568"/>
    <x v="0"/>
  </r>
  <r>
    <x v="13"/>
    <x v="683"/>
    <n v="128"/>
    <n v="168"/>
    <n v="8"/>
    <n v="12"/>
    <n v="50"/>
    <n v="12"/>
    <m/>
    <s v="Exynos 2400"/>
    <x v="0"/>
    <n v="95"/>
    <n v="4000"/>
    <n v="6.1"/>
    <n v="799"/>
    <x v="0"/>
    <n v="0.14516686764358497"/>
    <n v="18.772171404817797"/>
    <n v="42.563003648844806"/>
    <x v="0"/>
  </r>
  <r>
    <x v="13"/>
    <x v="684"/>
    <n v="256"/>
    <n v="168"/>
    <n v="8"/>
    <n v="12"/>
    <n v="50"/>
    <n v="12"/>
    <m/>
    <s v="Exynos 2400"/>
    <x v="0"/>
    <n v="95"/>
    <n v="4000"/>
    <n v="6.1"/>
    <n v="899"/>
    <x v="0"/>
    <n v="0.14326499583329488"/>
    <n v="19.360825125944348"/>
    <n v="46.433971390780286"/>
    <x v="0"/>
  </r>
  <r>
    <x v="13"/>
    <x v="685"/>
    <n v="128"/>
    <n v="228"/>
    <n v="12"/>
    <n v="12"/>
    <n v="200"/>
    <n v="12"/>
    <m/>
    <s v="Snapdragon 8 Gen 2"/>
    <x v="0"/>
    <n v="95"/>
    <n v="5000"/>
    <n v="6.8"/>
    <n v="1199"/>
    <x v="0"/>
    <n v="0.13675226778159782"/>
    <n v="21.178165626402244"/>
    <n v="56.614912790427859"/>
    <x v="1"/>
  </r>
  <r>
    <x v="13"/>
    <x v="686"/>
    <n v="256"/>
    <n v="228"/>
    <n v="12"/>
    <n v="12"/>
    <n v="200"/>
    <n v="12"/>
    <m/>
    <s v="Snapdragon 8 Gen 2"/>
    <x v="0"/>
    <n v="95"/>
    <n v="5000"/>
    <n v="6.8"/>
    <n v="1299"/>
    <x v="0"/>
    <n v="0.13648541007041784"/>
    <n v="21.47608646128516"/>
    <n v="60.485880532363339"/>
    <x v="1"/>
  </r>
  <r>
    <x v="13"/>
    <x v="687"/>
    <n v="128"/>
    <n v="196"/>
    <n v="8"/>
    <n v="12"/>
    <n v="50"/>
    <n v="12"/>
    <m/>
    <s v="Snapdragon 8 Gen 2"/>
    <x v="0"/>
    <n v="95"/>
    <n v="4700"/>
    <n v="6.6"/>
    <n v="899"/>
    <x v="0"/>
    <n v="0.13644998475465231"/>
    <n v="20.327803890817194"/>
    <n v="44.22514133000422"/>
    <x v="1"/>
  </r>
  <r>
    <x v="13"/>
    <x v="688"/>
    <n v="256"/>
    <n v="196"/>
    <n v="8"/>
    <n v="12"/>
    <n v="50"/>
    <n v="12"/>
    <m/>
    <s v="Snapdragon 8 Gen 2"/>
    <x v="0"/>
    <n v="95"/>
    <n v="4700"/>
    <n v="6.6"/>
    <n v="999"/>
    <x v="0"/>
    <n v="0.13566857981361896"/>
    <n v="20.770910979633445"/>
    <n v="48.096109071939701"/>
    <x v="1"/>
  </r>
  <r>
    <x v="13"/>
    <x v="689"/>
    <n v="128"/>
    <n v="168"/>
    <n v="8"/>
    <n v="12"/>
    <n v="50"/>
    <n v="12"/>
    <m/>
    <s v="Snapdragon 8 Gen 2"/>
    <x v="0"/>
    <n v="95"/>
    <n v="3900"/>
    <n v="6.1"/>
    <n v="799"/>
    <x v="0"/>
    <n v="0.1446107858589413"/>
    <n v="18.844357324522367"/>
    <n v="42.399960170583938"/>
    <x v="1"/>
  </r>
  <r>
    <x v="13"/>
    <x v="690"/>
    <n v="256"/>
    <n v="168"/>
    <n v="8"/>
    <n v="12"/>
    <n v="50"/>
    <n v="12"/>
    <m/>
    <s v="Snapdragon 8 Gen 2"/>
    <x v="0"/>
    <n v="95"/>
    <n v="3900"/>
    <n v="6.1"/>
    <n v="899"/>
    <x v="0"/>
    <n v="0.14276194984058604"/>
    <n v="19.429046283654916"/>
    <n v="46.270927912519419"/>
    <x v="1"/>
  </r>
  <r>
    <x v="13"/>
    <x v="691"/>
    <n v="128"/>
    <n v="228"/>
    <n v="12"/>
    <n v="10"/>
    <n v="108"/>
    <n v="12"/>
    <m/>
    <s v="Exynos 2200"/>
    <x v="0"/>
    <n v="85"/>
    <n v="5000"/>
    <n v="6.8"/>
    <n v="1099"/>
    <x v="0"/>
    <n v="0.12752233397131632"/>
    <n v="22.416272689771443"/>
    <n v="49.02688396101972"/>
    <x v="2"/>
  </r>
  <r>
    <x v="13"/>
    <x v="692"/>
    <n v="256"/>
    <n v="228"/>
    <n v="12"/>
    <n v="10"/>
    <n v="108"/>
    <n v="12"/>
    <m/>
    <s v="Exynos 2200"/>
    <x v="0"/>
    <n v="85"/>
    <n v="5000"/>
    <n v="6.8"/>
    <n v="1199"/>
    <x v="0"/>
    <n v="0.12777377592952591"/>
    <n v="22.666326918773837"/>
    <n v="52.897851702955201"/>
    <x v="2"/>
  </r>
  <r>
    <x v="13"/>
    <x v="693"/>
    <n v="128"/>
    <n v="195"/>
    <n v="8"/>
    <n v="10"/>
    <n v="50"/>
    <n v="12"/>
    <m/>
    <s v="Exynos 2200"/>
    <x v="0"/>
    <n v="85"/>
    <n v="4500"/>
    <n v="6.6"/>
    <n v="799"/>
    <x v="0"/>
    <n v="0.13993485340898415"/>
    <n v="19.474042780044947"/>
    <n v="41.028974262023056"/>
    <x v="2"/>
  </r>
  <r>
    <x v="13"/>
    <x v="694"/>
    <n v="256"/>
    <n v="195"/>
    <n v="8"/>
    <n v="10"/>
    <n v="50"/>
    <n v="12"/>
    <m/>
    <s v="Exynos 2200"/>
    <x v="0"/>
    <n v="85"/>
    <n v="4500"/>
    <n v="6.6"/>
    <n v="899"/>
    <x v="0"/>
    <n v="0.13853198017410004"/>
    <n v="20.022297577149228"/>
    <n v="44.899942003958543"/>
    <x v="2"/>
  </r>
  <r>
    <x v="13"/>
    <x v="695"/>
    <n v="128"/>
    <n v="167"/>
    <n v="8"/>
    <n v="10"/>
    <n v="50"/>
    <n v="12"/>
    <m/>
    <s v="Exynos 2200"/>
    <x v="0"/>
    <n v="85"/>
    <n v="3800"/>
    <n v="6.1"/>
    <n v="699"/>
    <x v="0"/>
    <n v="0.15042669645721984"/>
    <n v="17.75606222674713"/>
    <n v="39.366836580863641"/>
    <x v="2"/>
  </r>
  <r>
    <x v="13"/>
    <x v="696"/>
    <n v="256"/>
    <n v="167"/>
    <n v="8"/>
    <n v="10"/>
    <n v="50"/>
    <n v="12"/>
    <m/>
    <s v="Exynos 2200"/>
    <x v="0"/>
    <n v="85"/>
    <n v="3800"/>
    <n v="6.1"/>
    <n v="799"/>
    <x v="0"/>
    <n v="0.14746836640363284"/>
    <n v="18.479199221933904"/>
    <n v="43.237804322799128"/>
    <x v="2"/>
  </r>
  <r>
    <x v="13"/>
    <x v="697"/>
    <n v="256"/>
    <n v="254"/>
    <n v="12"/>
    <n v="10"/>
    <n v="50"/>
    <n v="12"/>
    <m/>
    <s v="Snapdragon 8 Gen 2"/>
    <x v="0"/>
    <n v="95"/>
    <n v="4400"/>
    <n v="7.6"/>
    <n v="1799"/>
    <x v="0"/>
    <n v="8.948637195644546E-2"/>
    <n v="34.395194815656154"/>
    <n v="52.303817717616866"/>
    <x v="1"/>
  </r>
  <r>
    <x v="13"/>
    <x v="698"/>
    <n v="512"/>
    <n v="254"/>
    <n v="12"/>
    <n v="10"/>
    <n v="50"/>
    <n v="12"/>
    <m/>
    <s v="Snapdragon 8 Gen 2"/>
    <x v="0"/>
    <n v="95"/>
    <n v="4400"/>
    <n v="7.6"/>
    <n v="1899"/>
    <x v="0"/>
    <n v="9.811515106724697E-2"/>
    <n v="31.625883576275065"/>
    <n v="60.045753201487834"/>
    <x v="1"/>
  </r>
  <r>
    <x v="13"/>
    <x v="699"/>
    <n v="256"/>
    <n v="187"/>
    <n v="8"/>
    <n v="12"/>
    <n v="12"/>
    <n v="12"/>
    <m/>
    <s v="Snapdragon 8 Gen 2"/>
    <x v="0"/>
    <n v="95"/>
    <n v="3700"/>
    <n v="6.7"/>
    <n v="999"/>
    <x v="0"/>
    <n v="0.12586640592966986"/>
    <n v="22.388499721018178"/>
    <n v="44.621123007279728"/>
    <x v="1"/>
  </r>
  <r>
    <x v="13"/>
    <x v="700"/>
    <n v="512"/>
    <n v="187"/>
    <n v="8"/>
    <n v="12"/>
    <n v="12"/>
    <n v="12"/>
    <m/>
    <s v="Snapdragon 8 Gen 2"/>
    <x v="0"/>
    <n v="95"/>
    <n v="3700"/>
    <n v="6.7"/>
    <n v="1099"/>
    <x v="0"/>
    <n v="0.13619995588496309"/>
    <n v="20.988078841607962"/>
    <n v="52.363058491150696"/>
    <x v="1"/>
  </r>
  <r>
    <x v="13"/>
    <x v="701"/>
    <n v="256"/>
    <n v="263"/>
    <n v="12"/>
    <n v="10"/>
    <n v="50"/>
    <n v="12"/>
    <m/>
    <s v="Snapdragon 8 Gen 1"/>
    <x v="0"/>
    <n v="90"/>
    <n v="4400"/>
    <n v="7.6"/>
    <n v="1799"/>
    <x v="0"/>
    <n v="8.7326150230579089E-2"/>
    <n v="35.246042435870706"/>
    <n v="51.041191454990603"/>
    <x v="2"/>
  </r>
  <r>
    <x v="13"/>
    <x v="702"/>
    <n v="512"/>
    <n v="263"/>
    <n v="12"/>
    <n v="10"/>
    <n v="50"/>
    <n v="12"/>
    <m/>
    <s v="Snapdragon 8 Gen 1"/>
    <x v="0"/>
    <n v="90"/>
    <n v="4400"/>
    <n v="7.6"/>
    <n v="1899"/>
    <x v="0"/>
    <n v="9.6052011546232857E-2"/>
    <n v="32.30518856159334"/>
    <n v="58.783126938861571"/>
    <x v="2"/>
  </r>
  <r>
    <x v="13"/>
    <x v="703"/>
    <n v="256"/>
    <n v="187"/>
    <n v="8"/>
    <n v="10"/>
    <n v="12"/>
    <n v="12"/>
    <m/>
    <s v="Snapdragon 8 Gen 1"/>
    <x v="0"/>
    <n v="90"/>
    <n v="3700"/>
    <n v="6.7"/>
    <n v="999"/>
    <x v="0"/>
    <n v="0.12133213101647601"/>
    <n v="23.225175148859091"/>
    <n v="43.013669158446568"/>
    <x v="2"/>
  </r>
  <r>
    <x v="13"/>
    <x v="704"/>
    <n v="512"/>
    <n v="187"/>
    <n v="8"/>
    <n v="10"/>
    <n v="12"/>
    <n v="12"/>
    <m/>
    <s v="Snapdragon 8 Gen 1"/>
    <x v="0"/>
    <n v="90"/>
    <n v="3700"/>
    <n v="6.7"/>
    <n v="1099"/>
    <x v="0"/>
    <n v="0.13201885665953891"/>
    <n v="21.652781160717524"/>
    <n v="50.755604642317536"/>
    <x v="2"/>
  </r>
  <r>
    <x v="13"/>
    <x v="705"/>
    <n v="128"/>
    <n v="208"/>
    <n v="12"/>
    <n v="10"/>
    <n v="108"/>
    <n v="12"/>
    <m/>
    <s v="Exynos 990"/>
    <x v="0"/>
    <n v="80"/>
    <n v="4500"/>
    <n v="6.9"/>
    <n v="1299"/>
    <x v="0"/>
    <n v="0.10617479967916034"/>
    <n v="27.607044950719839"/>
    <n v="47.053206973755778"/>
    <x v="4"/>
  </r>
  <r>
    <x v="13"/>
    <x v="706"/>
    <n v="256"/>
    <n v="208"/>
    <n v="12"/>
    <n v="10"/>
    <n v="108"/>
    <n v="12"/>
    <m/>
    <s v="Exynos 990"/>
    <x v="0"/>
    <n v="80"/>
    <n v="4500"/>
    <n v="6.9"/>
    <n v="1399"/>
    <x v="0"/>
    <n v="0.10788944081376554"/>
    <n v="27.472217425428912"/>
    <n v="50.924174715691265"/>
    <x v="4"/>
  </r>
  <r>
    <x v="13"/>
    <x v="707"/>
    <n v="128"/>
    <n v="192"/>
    <n v="8"/>
    <n v="10"/>
    <n v="108"/>
    <n v="12"/>
    <m/>
    <s v="Exynos 990"/>
    <x v="0"/>
    <n v="80"/>
    <n v="4300"/>
    <n v="6.7"/>
    <n v="999"/>
    <x v="0"/>
    <n v="0.11993617604648329"/>
    <n v="23.495496412607203"/>
    <n v="42.518786683900707"/>
    <x v="4"/>
  </r>
  <r>
    <x v="13"/>
    <x v="708"/>
    <n v="256"/>
    <n v="192"/>
    <n v="8"/>
    <n v="10"/>
    <n v="108"/>
    <n v="12"/>
    <m/>
    <s v="Exynos 990"/>
    <x v="0"/>
    <n v="80"/>
    <n v="4300"/>
    <n v="6.7"/>
    <n v="1099"/>
    <x v="0"/>
    <n v="0.1206629766934058"/>
    <n v="23.690575938637124"/>
    <n v="46.389754425836195"/>
    <x v="4"/>
  </r>
  <r>
    <x v="13"/>
    <x v="709"/>
    <n v="256"/>
    <n v="196"/>
    <n v="12"/>
    <n v="10"/>
    <n v="12"/>
    <n v="16"/>
    <m/>
    <s v="Exynos 9825"/>
    <x v="0"/>
    <n v="78"/>
    <n v="4300"/>
    <n v="6.8"/>
    <n v="1099"/>
    <x v="0"/>
    <n v="0.11721926269921935"/>
    <n v="24.386567075346129"/>
    <n v="45.065793664375427"/>
    <x v="5"/>
  </r>
  <r>
    <x v="13"/>
    <x v="710"/>
    <n v="512"/>
    <n v="196"/>
    <n v="12"/>
    <n v="10"/>
    <n v="12"/>
    <n v="16"/>
    <m/>
    <s v="Exynos 9825"/>
    <x v="0"/>
    <n v="78"/>
    <n v="4300"/>
    <n v="6.8"/>
    <n v="1199"/>
    <x v="0"/>
    <n v="0.12755608657654002"/>
    <n v="22.705009651789123"/>
    <n v="52.807729148246388"/>
    <x v="5"/>
  </r>
  <r>
    <x v="13"/>
    <x v="711"/>
    <n v="256"/>
    <n v="168"/>
    <n v="8"/>
    <n v="10"/>
    <n v="12"/>
    <n v="16"/>
    <m/>
    <s v="Exynos 9825"/>
    <x v="0"/>
    <n v="78"/>
    <n v="3500"/>
    <n v="6.3"/>
    <n v="949"/>
    <x v="0"/>
    <n v="0.11562706370556902"/>
    <n v="24.184128111664013"/>
    <n v="39.240612504955138"/>
    <x v="5"/>
  </r>
  <r>
    <x v="13"/>
    <x v="712"/>
    <n v="128"/>
    <n v="168"/>
    <n v="8"/>
    <n v="10"/>
    <n v="12"/>
    <n v="16"/>
    <m/>
    <s v="Exynos 9825"/>
    <x v="0"/>
    <n v="78"/>
    <n v="3500"/>
    <n v="6.3"/>
    <n v="899"/>
    <x v="0"/>
    <n v="0.10912768944431181"/>
    <n v="25.417275350753304"/>
    <n v="35.36964476301965"/>
    <x v="5"/>
  </r>
  <r>
    <x v="13"/>
    <x v="713"/>
    <n v="256"/>
    <n v="228"/>
    <n v="12"/>
    <n v="10"/>
    <n v="108"/>
    <n v="12"/>
    <m/>
    <s v="Snapdragon 888"/>
    <x v="0"/>
    <n v="85"/>
    <n v="4500"/>
    <n v="7.6"/>
    <n v="1499"/>
    <x v="0"/>
    <n v="0.10571956179338098"/>
    <n v="28.327933263109994"/>
    <n v="52.915967644984192"/>
    <x v="3"/>
  </r>
  <r>
    <x v="13"/>
    <x v="714"/>
    <n v="256"/>
    <n v="229"/>
    <n v="12"/>
    <n v="10"/>
    <n v="108"/>
    <n v="12"/>
    <m/>
    <s v="Snapdragon 888"/>
    <x v="0"/>
    <n v="85"/>
    <n v="4500"/>
    <n v="7.6"/>
    <n v="1399"/>
    <x v="0"/>
    <n v="0.11210931136754422"/>
    <n v="26.438144519740415"/>
    <n v="52.915967644984192"/>
    <x v="4"/>
  </r>
  <r>
    <x v="13"/>
    <x v="715"/>
    <n v="256"/>
    <n v="732"/>
    <n v="12"/>
    <n v="12"/>
    <n v="13"/>
    <n v="8"/>
    <m/>
    <s v="Snapdragon 8 Gen 2"/>
    <x v="0"/>
    <n v="95"/>
    <n v="11200"/>
    <n v="14.6"/>
    <n v="1199"/>
    <x v="1"/>
    <n v="0.16698182356466731"/>
    <n v="17.344176240494754"/>
    <n v="69.129832594793655"/>
    <x v="1"/>
  </r>
  <r>
    <x v="13"/>
    <x v="716"/>
    <n v="256"/>
    <n v="586"/>
    <n v="12"/>
    <n v="12"/>
    <n v="13"/>
    <n v="8"/>
    <m/>
    <s v="Snapdragon 8 Gen 2"/>
    <x v="0"/>
    <n v="95"/>
    <n v="10090"/>
    <n v="12.4"/>
    <n v="999"/>
    <x v="1"/>
    <n v="0.18343081348486884"/>
    <n v="15.362522471037437"/>
    <n v="65.028383319431342"/>
    <x v="1"/>
  </r>
  <r>
    <x v="13"/>
    <x v="717"/>
    <n v="128"/>
    <n v="498"/>
    <n v="8"/>
    <n v="12"/>
    <n v="13"/>
    <m/>
    <m/>
    <s v="Snapdragon 8 Gen 2"/>
    <x v="0"/>
    <n v="95"/>
    <n v="8400"/>
    <n v="11"/>
    <n v="799"/>
    <x v="1"/>
    <n v="0.18057145419126464"/>
    <n v="15.091517836586743"/>
    <n v="52.94364746155383"/>
    <x v="1"/>
  </r>
  <r>
    <x v="13"/>
    <x v="718"/>
    <n v="256"/>
    <n v="726"/>
    <n v="12"/>
    <n v="12"/>
    <n v="13"/>
    <n v="6"/>
    <m/>
    <s v="Snapdragon 8 Gen 1"/>
    <x v="0"/>
    <n v="90"/>
    <n v="11200"/>
    <n v="14.6"/>
    <n v="1099"/>
    <x v="1"/>
    <n v="0.17652732240686497"/>
    <n v="16.193387932031332"/>
    <n v="67.867206332167399"/>
    <x v="2"/>
  </r>
  <r>
    <x v="13"/>
    <x v="719"/>
    <n v="256"/>
    <n v="567"/>
    <n v="8"/>
    <n v="12"/>
    <n v="13"/>
    <n v="6"/>
    <m/>
    <s v="Snapdragon 8 Gen 1"/>
    <x v="0"/>
    <n v="90"/>
    <n v="10090"/>
    <n v="12.4"/>
    <n v="899"/>
    <x v="1"/>
    <n v="0.18439820414363683"/>
    <n v="15.04205826666823"/>
    <n v="59.765757056805086"/>
    <x v="2"/>
  </r>
  <r>
    <x v="13"/>
    <x v="720"/>
    <n v="128"/>
    <n v="503"/>
    <n v="8"/>
    <n v="12"/>
    <n v="13"/>
    <n v="6"/>
    <m/>
    <s v="Snapdragon 8 Gen 1"/>
    <x v="0"/>
    <n v="90"/>
    <n v="8000"/>
    <n v="11"/>
    <n v="699"/>
    <x v="1"/>
    <n v="0.19498902091022707"/>
    <n v="13.698134235404561"/>
    <n v="51.02884728588409"/>
    <x v="2"/>
  </r>
  <r>
    <x v="13"/>
    <x v="721"/>
    <n v="64"/>
    <n v="426"/>
    <n v="4"/>
    <n v="5"/>
    <n v="13"/>
    <m/>
    <m/>
    <s v="Exynos 9810"/>
    <x v="0"/>
    <n v="75"/>
    <n v="5050"/>
    <n v="8"/>
    <n v="499"/>
    <x v="0"/>
    <n v="0.16367485429043985"/>
    <n v="15.514333355793459"/>
    <n v="32.163805466617767"/>
    <x v="4"/>
  </r>
  <r>
    <x v="13"/>
    <x v="722"/>
    <n v="256"/>
    <n v="239"/>
    <n v="12"/>
    <n v="10"/>
    <n v="50"/>
    <m/>
    <m/>
    <s v="Snapdragon 8 Gen 3"/>
    <x v="0"/>
    <n v="100"/>
    <n v="4400"/>
    <n v="7.6"/>
    <n v="1899"/>
    <x v="0"/>
    <n v="8.7527917680055842E-2"/>
    <n v="35.451298590968754"/>
    <n v="53.566443980243129"/>
    <x v="0"/>
  </r>
  <r>
    <x v="13"/>
    <x v="723"/>
    <n v="512"/>
    <n v="239"/>
    <n v="12"/>
    <n v="10"/>
    <n v="50"/>
    <m/>
    <m/>
    <s v="Snapdragon 8 Gen 3"/>
    <x v="0"/>
    <n v="100"/>
    <n v="4400"/>
    <n v="7.6"/>
    <n v="1719"/>
    <x v="0"/>
    <n v="0.10902732119604906"/>
    <n v="28.03858159399222"/>
    <n v="61.308379464114097"/>
    <x v="0"/>
  </r>
  <r>
    <x v="13"/>
    <x v="724"/>
    <n v="128"/>
    <n v="239"/>
    <n v="12"/>
    <n v="10"/>
    <n v="50"/>
    <m/>
    <m/>
    <s v="Snapdragon 8 Gen 3"/>
    <x v="0"/>
    <n v="100"/>
    <n v="4400"/>
    <n v="7.6"/>
    <n v="2259"/>
    <x v="0"/>
    <n v="7.0062892123381848E-2"/>
    <n v="45.456853842536574"/>
    <n v="49.695476238307648"/>
    <x v="0"/>
  </r>
  <r>
    <x v="13"/>
    <x v="725"/>
    <n v="128"/>
    <n v="189"/>
    <n v="6"/>
    <n v="32"/>
    <n v="50"/>
    <n v="12"/>
    <m/>
    <s v="Exynos 1380"/>
    <x v="2"/>
    <n v="45"/>
    <n v="5000"/>
    <n v="6.4"/>
    <n v="399"/>
    <x v="0"/>
    <n v="0.20510755681299764"/>
    <n v="11.971932868348555"/>
    <n v="33.327951667259832"/>
    <x v="1"/>
  </r>
  <r>
    <x v="13"/>
    <x v="726"/>
    <n v="256"/>
    <n v="189"/>
    <n v="6"/>
    <n v="32"/>
    <n v="50"/>
    <n v="12"/>
    <m/>
    <s v="Exynos 1380"/>
    <x v="2"/>
    <n v="45"/>
    <n v="5000"/>
    <n v="6.4"/>
    <n v="449"/>
    <x v="0"/>
    <n v="0.20707178842297719"/>
    <n v="12.070243091228352"/>
    <n v="37.198919409195312"/>
    <x v="1"/>
  </r>
  <r>
    <x v="13"/>
    <x v="727"/>
    <n v="128"/>
    <n v="199"/>
    <n v="6"/>
    <n v="13"/>
    <n v="48"/>
    <n v="8"/>
    <m/>
    <s v="Dimensity 1080"/>
    <x v="2"/>
    <n v="42"/>
    <n v="5000"/>
    <n v="6.6"/>
    <n v="349"/>
    <x v="0"/>
    <n v="0.2027448815789657"/>
    <n v="11.870634005509219"/>
    <n v="29.400283071487792"/>
    <x v="1"/>
  </r>
  <r>
    <x v="13"/>
    <x v="728"/>
    <n v="256"/>
    <n v="199"/>
    <n v="6"/>
    <n v="13"/>
    <n v="48"/>
    <n v="8"/>
    <m/>
    <s v="Dimensity 1080"/>
    <x v="2"/>
    <n v="42"/>
    <n v="5000"/>
    <n v="6.6"/>
    <n v="399"/>
    <x v="0"/>
    <n v="0.20475860726711084"/>
    <n v="11.992335432096938"/>
    <n v="33.271250813423272"/>
    <x v="1"/>
  </r>
  <r>
    <x v="13"/>
    <x v="729"/>
    <n v="128"/>
    <n v="190"/>
    <n v="4"/>
    <n v="13"/>
    <n v="50"/>
    <n v="2"/>
    <m/>
    <s v="Exynos 850"/>
    <x v="2"/>
    <n v="30"/>
    <n v="5000"/>
    <n v="6.6"/>
    <n v="249"/>
    <x v="0"/>
    <n v="0.22485868966088182"/>
    <n v="10.174667518726418"/>
    <n v="24.472544143748866"/>
    <x v="1"/>
  </r>
  <r>
    <x v="13"/>
    <x v="730"/>
    <n v="256"/>
    <n v="190"/>
    <n v="4"/>
    <n v="13"/>
    <n v="50"/>
    <n v="2"/>
    <m/>
    <s v="Exynos 850"/>
    <x v="2"/>
    <n v="30"/>
    <n v="5000"/>
    <n v="6.6"/>
    <n v="299"/>
    <x v="0"/>
    <n v="0.22291184690198487"/>
    <n v="10.549151467395188"/>
    <n v="28.34351188568435"/>
    <x v="1"/>
  </r>
  <r>
    <x v="13"/>
    <x v="731"/>
    <n v="64"/>
    <n v="188"/>
    <n v="4"/>
    <n v="5"/>
    <n v="50"/>
    <n v="2"/>
    <m/>
    <s v="Exynos 850"/>
    <x v="2"/>
    <n v="30"/>
    <n v="5000"/>
    <n v="6.5"/>
    <n v="199"/>
    <x v="0"/>
    <n v="0.2340458297462352"/>
    <n v="9.4520727198927386"/>
    <n v="21.053583261286867"/>
    <x v="2"/>
  </r>
  <r>
    <x v="13"/>
    <x v="732"/>
    <n v="128"/>
    <n v="188"/>
    <n v="4"/>
    <n v="5"/>
    <n v="50"/>
    <n v="2"/>
    <m/>
    <s v="Exynos 850"/>
    <x v="2"/>
    <n v="30"/>
    <n v="5000"/>
    <n v="6.5"/>
    <n v="249"/>
    <x v="0"/>
    <n v="0.21122820257350455"/>
    <n v="10.831235498488006"/>
    <n v="22.989067132254611"/>
    <x v="2"/>
  </r>
  <r>
    <x v="13"/>
    <x v="733"/>
    <n v="128"/>
    <n v="202"/>
    <n v="8"/>
    <n v="32"/>
    <n v="108"/>
    <n v="8"/>
    <m/>
    <s v="Exynos 1380"/>
    <x v="2"/>
    <n v="45"/>
    <n v="6000"/>
    <n v="6.7"/>
    <n v="349"/>
    <x v="0"/>
    <n v="0.27753193728819792"/>
    <n v="8.671831823142595"/>
    <n v="40.245245424227505"/>
    <x v="1"/>
  </r>
  <r>
    <x v="13"/>
    <x v="734"/>
    <n v="256"/>
    <n v="202"/>
    <n v="8"/>
    <n v="32"/>
    <n v="108"/>
    <n v="8"/>
    <m/>
    <s v="Exynos 1380"/>
    <x v="2"/>
    <n v="45"/>
    <n v="6000"/>
    <n v="6.7"/>
    <n v="399"/>
    <x v="0"/>
    <n v="0.27150089476522121"/>
    <n v="9.0442939537256528"/>
    <n v="44.116213166162993"/>
    <x v="1"/>
  </r>
  <r>
    <x v="13"/>
    <x v="735"/>
    <n v="128"/>
    <n v="199"/>
    <n v="6"/>
    <n v="13"/>
    <n v="50"/>
    <n v="8"/>
    <m/>
    <s v="Exynos 1280"/>
    <x v="2"/>
    <n v="40"/>
    <n v="6000"/>
    <n v="6.5"/>
    <n v="299"/>
    <x v="0"/>
    <n v="0.24006113581162136"/>
    <n v="9.7955499081330579"/>
    <n v="30.524064784943416"/>
    <x v="1"/>
  </r>
  <r>
    <x v="13"/>
    <x v="736"/>
    <n v="256"/>
    <n v="199"/>
    <n v="6"/>
    <n v="13"/>
    <n v="50"/>
    <n v="8"/>
    <m/>
    <s v="Exynos 1280"/>
    <x v="2"/>
    <n v="40"/>
    <n v="6000"/>
    <n v="6.5"/>
    <n v="349"/>
    <x v="0"/>
    <n v="0.23718876378198928"/>
    <n v="10.146814070527912"/>
    <n v="34.3950325268789"/>
    <x v="1"/>
  </r>
  <r>
    <x v="13"/>
    <x v="737"/>
    <n v="128"/>
    <n v="202"/>
    <n v="4"/>
    <n v="13"/>
    <n v="50"/>
    <n v="2"/>
    <m/>
    <s v="Exynos 850"/>
    <x v="2"/>
    <n v="30"/>
    <n v="6000"/>
    <n v="6.6"/>
    <n v="249"/>
    <x v="0"/>
    <n v="0.23983945449846666"/>
    <n v="9.539141134139733"/>
    <n v="26.102978926357562"/>
    <x v="1"/>
  </r>
  <r>
    <x v="13"/>
    <x v="738"/>
    <n v="256"/>
    <n v="202"/>
    <n v="4"/>
    <n v="13"/>
    <n v="50"/>
    <n v="2"/>
    <m/>
    <s v="Exynos 850"/>
    <x v="2"/>
    <n v="30"/>
    <n v="6000"/>
    <n v="6.6"/>
    <n v="299"/>
    <x v="0"/>
    <n v="0.23573464846977885"/>
    <n v="9.975329685772989"/>
    <n v="29.973946668293046"/>
    <x v="1"/>
  </r>
  <r>
    <x v="13"/>
    <x v="739"/>
    <n v="128"/>
    <n v="199"/>
    <n v="8"/>
    <n v="32"/>
    <n v="108"/>
    <n v="8"/>
    <m/>
    <s v="Exynos 1380"/>
    <x v="2"/>
    <n v="45"/>
    <n v="6000"/>
    <n v="6.7"/>
    <n v="349"/>
    <x v="0"/>
    <n v="0.27753193728819792"/>
    <n v="8.671831823142595"/>
    <n v="40.245245424227505"/>
    <x v="1"/>
  </r>
  <r>
    <x v="13"/>
    <x v="740"/>
    <n v="256"/>
    <n v="199"/>
    <n v="8"/>
    <n v="32"/>
    <n v="108"/>
    <n v="8"/>
    <m/>
    <s v="Exynos 1380"/>
    <x v="2"/>
    <n v="45"/>
    <n v="6000"/>
    <n v="6.7"/>
    <n v="399"/>
    <x v="0"/>
    <n v="0.27150089476522121"/>
    <n v="9.0442939537256528"/>
    <n v="44.116213166162993"/>
    <x v="1"/>
  </r>
  <r>
    <x v="13"/>
    <x v="741"/>
    <n v="128"/>
    <n v="190"/>
    <n v="6"/>
    <n v="13"/>
    <n v="50"/>
    <n v="8"/>
    <m/>
    <s v="Exynos 1280"/>
    <x v="2"/>
    <n v="40"/>
    <n v="6000"/>
    <n v="6.5"/>
    <n v="299"/>
    <x v="0"/>
    <n v="0.24006113581162136"/>
    <n v="9.7955499081330579"/>
    <n v="30.524064784943416"/>
    <x v="1"/>
  </r>
  <r>
    <x v="13"/>
    <x v="742"/>
    <n v="256"/>
    <n v="190"/>
    <n v="6"/>
    <n v="13"/>
    <n v="50"/>
    <n v="8"/>
    <m/>
    <s v="Exynos 1280"/>
    <x v="2"/>
    <n v="40"/>
    <n v="6000"/>
    <n v="6.5"/>
    <n v="349"/>
    <x v="0"/>
    <n v="0.23718876378198928"/>
    <n v="10.146814070527912"/>
    <n v="34.3950325268789"/>
    <x v="1"/>
  </r>
  <r>
    <x v="13"/>
    <x v="743"/>
    <n v="128"/>
    <n v="198"/>
    <n v="4"/>
    <n v="13"/>
    <n v="50"/>
    <n v="2"/>
    <m/>
    <s v="Exynos 850"/>
    <x v="2"/>
    <n v="30"/>
    <n v="6000"/>
    <n v="6.6"/>
    <n v="249"/>
    <x v="0"/>
    <n v="0.23983945449846666"/>
    <n v="9.539141134139733"/>
    <n v="26.102978926357562"/>
    <x v="1"/>
  </r>
  <r>
    <x v="13"/>
    <x v="744"/>
    <n v="256"/>
    <n v="198"/>
    <n v="4"/>
    <n v="13"/>
    <n v="50"/>
    <n v="2"/>
    <m/>
    <s v="Exynos 850"/>
    <x v="2"/>
    <n v="30"/>
    <n v="6000"/>
    <n v="6.6"/>
    <n v="299"/>
    <x v="0"/>
    <n v="0.23573464846977885"/>
    <n v="9.975329685772989"/>
    <n v="29.973946668293046"/>
    <x v="1"/>
  </r>
  <r>
    <x v="13"/>
    <x v="745"/>
    <n v="128"/>
    <n v="235"/>
    <n v="6"/>
    <n v="13"/>
    <n v="50"/>
    <m/>
    <m/>
    <s v="Exynos 1380"/>
    <x v="2"/>
    <n v="45"/>
    <n v="4050"/>
    <n v="6.6"/>
    <n v="499"/>
    <x v="0"/>
    <n v="0.14610684678710509"/>
    <n v="17.379789566760508"/>
    <n v="28.711509888149394"/>
    <x v="2"/>
  </r>
  <r>
    <x v="13"/>
    <x v="746"/>
    <n v="64"/>
    <n v="172"/>
    <n v="4"/>
    <n v="5"/>
    <n v="16"/>
    <m/>
    <m/>
    <s v="Exynos 850"/>
    <x v="2"/>
    <n v="30"/>
    <n v="3000"/>
    <n v="5.3"/>
    <n v="249"/>
    <x v="0"/>
    <n v="0.13597734671707909"/>
    <n v="16.825320255411313"/>
    <n v="14.799123952479734"/>
    <x v="4"/>
  </r>
  <r>
    <x v="13"/>
    <x v="747"/>
    <n v="128"/>
    <n v="523"/>
    <n v="6"/>
    <n v="12"/>
    <n v="8"/>
    <m/>
    <m/>
    <s v="Exynos 1380"/>
    <x v="2"/>
    <n v="45"/>
    <n v="8000"/>
    <n v="10.9"/>
    <n v="549"/>
    <x v="1"/>
    <n v="0.17503556091958036"/>
    <n v="14.716670320695359"/>
    <n v="37.304633999170804"/>
    <x v="1"/>
  </r>
  <r>
    <x v="13"/>
    <x v="748"/>
    <n v="128"/>
    <n v="480"/>
    <n v="8"/>
    <n v="5"/>
    <n v="8"/>
    <m/>
    <m/>
    <s v="Snapdragon 695"/>
    <x v="2"/>
    <n v="40"/>
    <n v="7040"/>
    <n v="11"/>
    <n v="229"/>
    <x v="1"/>
    <n v="0.34899945902942192"/>
    <n v="6.4736701702018049"/>
    <n v="35.374060460182719"/>
    <x v="1"/>
  </r>
  <r>
    <x v="13"/>
    <x v="749"/>
    <n v="128"/>
    <n v="433"/>
    <n v="6"/>
    <n v="5"/>
    <n v="13"/>
    <m/>
    <m/>
    <s v="Exynos 1380"/>
    <x v="2"/>
    <n v="45"/>
    <n v="5050"/>
    <n v="8"/>
    <n v="549"/>
    <x v="0"/>
    <n v="0.13383410708305016"/>
    <n v="19.247265892041739"/>
    <n v="28.523531761827936"/>
    <x v="0"/>
  </r>
  <r>
    <x v="13"/>
    <x v="750"/>
    <n v="128"/>
    <n v="674"/>
    <n v="6"/>
    <n v="8"/>
    <n v="13"/>
    <m/>
    <m/>
    <s v="Snapdragon 778G"/>
    <x v="2"/>
    <n v="60"/>
    <n v="7600"/>
    <n v="10.1"/>
    <n v="649"/>
    <x v="1"/>
    <n v="0.15943632410957337"/>
    <n v="16.567212073872213"/>
    <n v="39.173760624669235"/>
    <x v="2"/>
  </r>
  <r>
    <x v="14"/>
    <x v="751"/>
    <n v="256"/>
    <n v="185"/>
    <n v="12"/>
    <n v="12"/>
    <n v="12"/>
    <m/>
    <m/>
    <s v="Snapdragon 8 Gen 1"/>
    <x v="0"/>
    <n v="90"/>
    <n v="5000"/>
    <n v="6.5"/>
    <n v="1599"/>
    <x v="0"/>
    <n v="9.3177054196748182E-2"/>
    <n v="32.454004608992285"/>
    <n v="49.269728628711434"/>
    <x v="2"/>
  </r>
  <r>
    <x v="14"/>
    <x v="752"/>
    <n v="128"/>
    <n v="172"/>
    <n v="8"/>
    <n v="12"/>
    <n v="12"/>
    <m/>
    <m/>
    <s v="Snapdragon 8 Gen 1"/>
    <x v="0"/>
    <n v="90"/>
    <n v="5000"/>
    <n v="6.1"/>
    <n v="999"/>
    <x v="0"/>
    <n v="0.11560150348781462"/>
    <n v="24.376499517923754"/>
    <n v="40.982094220109289"/>
    <x v="2"/>
  </r>
  <r>
    <x v="14"/>
    <x v="753"/>
    <n v="256"/>
    <n v="187"/>
    <n v="12"/>
    <n v="12"/>
    <n v="48"/>
    <m/>
    <m/>
    <s v="Snapdragon 8 Gen 2"/>
    <x v="0"/>
    <n v="95"/>
    <n v="5000"/>
    <n v="6.5"/>
    <n v="1699"/>
    <x v="0"/>
    <n v="9.4078147584010438E-2"/>
    <n v="32.436967774607297"/>
    <n v="52.378508737491543"/>
    <x v="1"/>
  </r>
  <r>
    <x v="14"/>
    <x v="754"/>
    <n v="128"/>
    <n v="178"/>
    <n v="8"/>
    <n v="12"/>
    <n v="48"/>
    <m/>
    <m/>
    <s v="Snapdragon 8 Gen 2"/>
    <x v="0"/>
    <n v="95"/>
    <n v="5000"/>
    <n v="6.1"/>
    <n v="1099"/>
    <x v="0"/>
    <n v="0.11468342972248377"/>
    <n v="24.925792847793648"/>
    <n v="44.090874328889399"/>
    <x v="1"/>
  </r>
  <r>
    <x v="14"/>
    <x v="755"/>
    <n v="256"/>
    <n v="190"/>
    <n v="12"/>
    <n v="12"/>
    <n v="48"/>
    <m/>
    <m/>
    <s v="Snapdragon 8 Gen 3"/>
    <x v="0"/>
    <n v="100"/>
    <n v="5000"/>
    <n v="6.5"/>
    <n v="1799"/>
    <x v="0"/>
    <n v="9.1774382220089268E-2"/>
    <n v="33.537694532303412"/>
    <n v="53.641135000117806"/>
    <x v="0"/>
  </r>
  <r>
    <x v="14"/>
    <x v="756"/>
    <n v="128"/>
    <n v="180"/>
    <n v="8"/>
    <n v="12"/>
    <n v="48"/>
    <m/>
    <m/>
    <s v="Snapdragon 8 Gen 3"/>
    <x v="0"/>
    <n v="100"/>
    <n v="5000"/>
    <n v="6.1"/>
    <n v="1199"/>
    <x v="0"/>
    <n v="0.10955053628153673"/>
    <n v="26.436768592550461"/>
    <n v="45.353500591515662"/>
    <x v="0"/>
  </r>
  <r>
    <x v="14"/>
    <x v="757"/>
    <n v="128"/>
    <n v="161"/>
    <n v="6"/>
    <n v="8"/>
    <n v="12"/>
    <m/>
    <m/>
    <s v="Snapdragon 695"/>
    <x v="2"/>
    <n v="40"/>
    <n v="5000"/>
    <n v="6"/>
    <n v="499"/>
    <x v="0"/>
    <n v="0.13007970174190087"/>
    <n v="19.521156778643288"/>
    <n v="25.562009754766198"/>
    <x v="2"/>
  </r>
  <r>
    <x v="14"/>
    <x v="758"/>
    <n v="128"/>
    <n v="164"/>
    <n v="6"/>
    <n v="8"/>
    <n v="48"/>
    <m/>
    <m/>
    <s v="Snapdragon 695"/>
    <x v="2"/>
    <n v="40"/>
    <n v="5000"/>
    <n v="6.1"/>
    <n v="599"/>
    <x v="0"/>
    <n v="0.11987112389620104"/>
    <n v="21.772056171690554"/>
    <n v="27.512330267586709"/>
    <x v="1"/>
  </r>
  <r>
    <x v="14"/>
    <x v="759"/>
    <n v="128"/>
    <n v="167"/>
    <n v="6"/>
    <n v="8"/>
    <n v="48"/>
    <m/>
    <m/>
    <s v="Snapdragon 7 Gen 1"/>
    <x v="2"/>
    <n v="55"/>
    <n v="5000"/>
    <n v="6.1"/>
    <n v="699"/>
    <x v="0"/>
    <n v="0.11960288038289557"/>
    <n v="22.332119212409665"/>
    <n v="31.300209055465494"/>
    <x v="0"/>
  </r>
  <r>
    <x v="15"/>
    <x v="760"/>
    <n v="64"/>
    <n v="190"/>
    <n v="4"/>
    <n v="8"/>
    <n v="13"/>
    <m/>
    <m/>
    <s v="Helio A22"/>
    <x v="1"/>
    <n v="2"/>
    <n v="5000"/>
    <n v="6.6"/>
    <n v="129"/>
    <x v="0"/>
    <n v="0.20419099844415078"/>
    <n v="10.152005954367477"/>
    <n v="12.706848339120913"/>
    <x v="0"/>
  </r>
  <r>
    <x v="15"/>
    <x v="761"/>
    <n v="256"/>
    <n v="450"/>
    <n v="8"/>
    <n v="13"/>
    <n v="50"/>
    <m/>
    <m/>
    <s v="Helio G99"/>
    <x v="1"/>
    <n v="22"/>
    <n v="8000"/>
    <n v="11"/>
    <n v="349"/>
    <x v="1"/>
    <n v="0.27444736306824435"/>
    <n v="8.769296446531186"/>
    <n v="39.797947546641744"/>
    <x v="0"/>
  </r>
  <r>
    <x v="15"/>
    <x v="762"/>
    <n v="64"/>
    <n v="195"/>
    <n v="3"/>
    <n v="5"/>
    <n v="8"/>
    <m/>
    <m/>
    <s v="Unisoc SC9863A"/>
    <x v="1"/>
    <n v="3"/>
    <n v="5000"/>
    <n v="6.52"/>
    <n v="99"/>
    <x v="0"/>
    <n v="0.22342229556684304"/>
    <n v="8.9170000587571838"/>
    <n v="11.10238862259223"/>
    <x v="0"/>
  </r>
  <r>
    <x v="15"/>
    <x v="763"/>
    <n v="128"/>
    <n v="420"/>
    <n v="6"/>
    <n v="12"/>
    <n v="50"/>
    <m/>
    <m/>
    <s v="Helio G80"/>
    <x v="1"/>
    <n v="10"/>
    <n v="7500"/>
    <n v="10.9"/>
    <n v="299"/>
    <x v="1"/>
    <n v="0.23440498955406155"/>
    <n v="10.031914599256021"/>
    <n v="29.804878923328772"/>
    <x v="0"/>
  </r>
  <r>
    <x v="15"/>
    <x v="764"/>
    <n v="128"/>
    <n v="200"/>
    <n v="6"/>
    <n v="16"/>
    <n v="50"/>
    <m/>
    <m/>
    <s v="Dimensity 6100+"/>
    <x v="1"/>
    <n v="22"/>
    <n v="5000"/>
    <n v="6.6"/>
    <n v="199"/>
    <x v="0"/>
    <n v="0.27757872932205602"/>
    <n v="7.9696964099232597"/>
    <n v="24.969583502857191"/>
    <x v="0"/>
  </r>
  <r>
    <x v="15"/>
    <x v="765"/>
    <n v="128"/>
    <n v="195"/>
    <n v="6"/>
    <n v="16"/>
    <n v="50"/>
    <m/>
    <m/>
    <s v="Dimensity 6020"/>
    <x v="1"/>
    <n v="20"/>
    <n v="5000"/>
    <n v="6.6"/>
    <n v="229"/>
    <x v="0"/>
    <n v="0.24136637611202502"/>
    <n v="9.3604893263456326"/>
    <n v="24.464532997806685"/>
    <x v="0"/>
  </r>
  <r>
    <x v="15"/>
    <x v="766"/>
    <n v="64"/>
    <n v="190"/>
    <n v="3"/>
    <n v="5"/>
    <n v="8"/>
    <m/>
    <m/>
    <s v="Unisoc SC9832E"/>
    <x v="1"/>
    <n v="2"/>
    <n v="5000"/>
    <n v="6.52"/>
    <n v="89"/>
    <x v="0"/>
    <n v="0.23902468999073595"/>
    <n v="8.2028682725661461"/>
    <n v="10.849863370066977"/>
    <x v="0"/>
  </r>
  <r>
    <x v="15"/>
    <x v="767"/>
    <n v="256"/>
    <n v="205"/>
    <n v="8"/>
    <n v="32"/>
    <n v="50"/>
    <m/>
    <m/>
    <s v="Helio G99"/>
    <x v="1"/>
    <n v="22"/>
    <n v="5200"/>
    <n v="6.8"/>
    <n v="269"/>
    <x v="0"/>
    <n v="0.29369229832391275"/>
    <n v="7.8807996015278343"/>
    <n v="34.133592224302916"/>
    <x v="0"/>
  </r>
  <r>
    <x v="15"/>
    <x v="768"/>
    <n v="128"/>
    <n v="192"/>
    <n v="4"/>
    <n v="16"/>
    <n v="50"/>
    <m/>
    <m/>
    <s v="Helio G85"/>
    <x v="1"/>
    <n v="12"/>
    <n v="5000"/>
    <n v="6.6"/>
    <n v="179"/>
    <x v="0"/>
    <n v="0.24868399006910197"/>
    <n v="8.755483375615567"/>
    <n v="20.444330977604665"/>
    <x v="0"/>
  </r>
  <r>
    <x v="15"/>
    <x v="769"/>
    <n v="128"/>
    <n v="190"/>
    <n v="4"/>
    <n v="16"/>
    <n v="50"/>
    <m/>
    <m/>
    <s v="Helio G85"/>
    <x v="1"/>
    <n v="12"/>
    <n v="5000"/>
    <n v="6.6"/>
    <n v="149"/>
    <x v="0"/>
    <n v="0.29064615037497377"/>
    <n v="7.2880839271883771"/>
    <n v="20.444330977604665"/>
    <x v="0"/>
  </r>
  <r>
    <x v="15"/>
    <x v="770"/>
    <n v="64"/>
    <n v="195"/>
    <n v="3"/>
    <n v="5"/>
    <n v="8"/>
    <m/>
    <m/>
    <s v="Unisoc SC9863A"/>
    <x v="1"/>
    <n v="3"/>
    <n v="5000"/>
    <n v="6.52"/>
    <n v="99"/>
    <x v="0"/>
    <n v="0.22342229556684304"/>
    <n v="8.9170000587571838"/>
    <n v="11.10238862259223"/>
    <x v="0"/>
  </r>
  <r>
    <x v="15"/>
    <x v="771"/>
    <n v="128"/>
    <n v="195"/>
    <n v="4"/>
    <n v="16"/>
    <n v="50"/>
    <m/>
    <m/>
    <s v="Helio G85"/>
    <x v="1"/>
    <n v="12"/>
    <n v="5000"/>
    <n v="6.6"/>
    <n v="179"/>
    <x v="0"/>
    <n v="0.24868399006910197"/>
    <n v="8.755483375615567"/>
    <n v="20.444330977604665"/>
    <x v="0"/>
  </r>
  <r>
    <x v="15"/>
    <x v="772"/>
    <n v="256"/>
    <n v="230"/>
    <n v="8"/>
    <n v="16"/>
    <n v="50"/>
    <m/>
    <m/>
    <s v="Helio G99"/>
    <x v="1"/>
    <n v="22"/>
    <n v="6000"/>
    <n v="6.8"/>
    <n v="299"/>
    <x v="0"/>
    <n v="0.25701146222040505"/>
    <n v="9.1495173659968732"/>
    <n v="32.679319360734702"/>
    <x v="0"/>
  </r>
  <r>
    <x v="15"/>
    <x v="773"/>
    <n v="128"/>
    <n v="195"/>
    <n v="6"/>
    <n v="32"/>
    <n v="50"/>
    <m/>
    <m/>
    <s v="Helio G99"/>
    <x v="1"/>
    <n v="22"/>
    <n v="5000"/>
    <n v="6.7"/>
    <n v="349"/>
    <x v="0"/>
    <n v="0.19193253072377822"/>
    <n v="12.539355765479135"/>
    <n v="27.832370859179026"/>
    <x v="0"/>
  </r>
  <r>
    <x v="15"/>
    <x v="774"/>
    <n v="256"/>
    <n v="210"/>
    <n v="8"/>
    <n v="32"/>
    <n v="50"/>
    <m/>
    <m/>
    <s v="Helio G99"/>
    <x v="1"/>
    <n v="22"/>
    <n v="5200"/>
    <n v="6.8"/>
    <n v="269"/>
    <x v="0"/>
    <n v="0.29369229832391275"/>
    <n v="7.8807996015278343"/>
    <n v="34.133592224302916"/>
    <x v="0"/>
  </r>
  <r>
    <x v="15"/>
    <x v="775"/>
    <n v="128"/>
    <n v="195"/>
    <n v="6"/>
    <n v="16"/>
    <n v="50"/>
    <m/>
    <m/>
    <s v="Helio G85"/>
    <x v="1"/>
    <n v="12"/>
    <n v="5000"/>
    <n v="6.6"/>
    <n v="199"/>
    <x v="0"/>
    <n v="0.24950631925976161"/>
    <n v="8.8663814572403865"/>
    <n v="22.444330977604665"/>
    <x v="0"/>
  </r>
  <r>
    <x v="15"/>
    <x v="776"/>
    <n v="128"/>
    <n v="192"/>
    <n v="4"/>
    <n v="16"/>
    <n v="50"/>
    <m/>
    <m/>
    <s v="Helio G85"/>
    <x v="1"/>
    <n v="12"/>
    <n v="5000"/>
    <n v="6.6"/>
    <n v="179"/>
    <x v="0"/>
    <n v="0.24868399006910197"/>
    <n v="8.755483375615567"/>
    <n v="20.444330977604665"/>
    <x v="0"/>
  </r>
  <r>
    <x v="15"/>
    <x v="777"/>
    <n v="128"/>
    <n v="190"/>
    <n v="4"/>
    <n v="16"/>
    <n v="50"/>
    <m/>
    <m/>
    <s v="Helio G85"/>
    <x v="1"/>
    <n v="12"/>
    <n v="5000"/>
    <n v="6.6"/>
    <n v="149"/>
    <x v="0"/>
    <n v="0.29064615037497377"/>
    <n v="7.2880839271883771"/>
    <n v="20.444330977604665"/>
    <x v="0"/>
  </r>
  <r>
    <x v="15"/>
    <x v="778"/>
    <n v="64"/>
    <n v="195"/>
    <n v="3"/>
    <n v="5"/>
    <n v="8"/>
    <m/>
    <m/>
    <s v="Unisoc SC9863A"/>
    <x v="1"/>
    <n v="3"/>
    <n v="5000"/>
    <n v="6.52"/>
    <n v="99"/>
    <x v="0"/>
    <n v="0.22342229556684304"/>
    <n v="8.9170000587571838"/>
    <n v="11.10238862259223"/>
    <x v="0"/>
  </r>
  <r>
    <x v="15"/>
    <x v="779"/>
    <n v="64"/>
    <n v="195"/>
    <n v="3"/>
    <n v="5"/>
    <n v="8"/>
    <m/>
    <m/>
    <s v="Unisoc SC9832E"/>
    <x v="1"/>
    <n v="2"/>
    <n v="5000"/>
    <n v="6.52"/>
    <n v="89"/>
    <x v="0"/>
    <n v="0.23902468999073595"/>
    <n v="8.2028682725661461"/>
    <n v="10.849863370066977"/>
    <x v="0"/>
  </r>
  <r>
    <x v="15"/>
    <x v="780"/>
    <n v="256"/>
    <n v="200"/>
    <n v="8"/>
    <n v="32"/>
    <n v="50"/>
    <m/>
    <m/>
    <s v="Helio G99"/>
    <x v="1"/>
    <n v="22"/>
    <n v="5000"/>
    <n v="6.7"/>
    <n v="449"/>
    <x v="0"/>
    <n v="0.1876132616430998"/>
    <n v="13.322122336721632"/>
    <n v="33.70333860111451"/>
    <x v="0"/>
  </r>
  <r>
    <x v="15"/>
    <x v="781"/>
    <n v="128"/>
    <n v="198"/>
    <n v="6"/>
    <n v="32"/>
    <n v="50"/>
    <m/>
    <m/>
    <s v="Helio G99"/>
    <x v="1"/>
    <n v="22"/>
    <n v="5000"/>
    <n v="6.7"/>
    <n v="349"/>
    <x v="0"/>
    <n v="0.19193253072377822"/>
    <n v="12.539355765479135"/>
    <n v="27.832370859179026"/>
    <x v="0"/>
  </r>
  <r>
    <x v="15"/>
    <x v="782"/>
    <n v="128"/>
    <n v="195"/>
    <n v="6"/>
    <n v="32"/>
    <n v="50"/>
    <m/>
    <m/>
    <s v="Helio G99"/>
    <x v="1"/>
    <n v="22"/>
    <n v="5000"/>
    <n v="6.7"/>
    <n v="349"/>
    <x v="0"/>
    <n v="0.19193253072377822"/>
    <n v="12.539355765479135"/>
    <n v="27.832370859179026"/>
    <x v="0"/>
  </r>
  <r>
    <x v="15"/>
    <x v="783"/>
    <n v="256"/>
    <n v="230"/>
    <n v="8"/>
    <n v="16"/>
    <n v="50"/>
    <m/>
    <m/>
    <s v="Helio G99"/>
    <x v="1"/>
    <n v="22"/>
    <n v="6000"/>
    <n v="6.8"/>
    <n v="329"/>
    <x v="0"/>
    <n v="0.23694987792291364"/>
    <n v="10.067529141849402"/>
    <n v="32.679319360734702"/>
    <x v="0"/>
  </r>
  <r>
    <x v="15"/>
    <x v="784"/>
    <n v="512"/>
    <n v="280"/>
    <n v="12"/>
    <n v="32"/>
    <n v="64"/>
    <m/>
    <m/>
    <s v="Dimensity 9200+"/>
    <x v="0"/>
    <n v="97"/>
    <n v="5500"/>
    <n v="7.85"/>
    <n v="1799"/>
    <x v="0"/>
    <n v="0.11482804319709844"/>
    <n v="26.804438280857038"/>
    <n v="67.115750800299153"/>
    <x v="0"/>
  </r>
  <r>
    <x v="15"/>
    <x v="785"/>
    <n v="512"/>
    <n v="202"/>
    <n v="12"/>
    <n v="50"/>
    <n v="108"/>
    <m/>
    <m/>
    <s v="Dimensity 9200"/>
    <x v="0"/>
    <n v="95"/>
    <n v="5200"/>
    <n v="6.9"/>
    <n v="1099"/>
    <x v="0"/>
    <n v="0.18335419022483526"/>
    <n v="15.590455875766175"/>
    <n v="70.491845059405037"/>
    <x v="0"/>
  </r>
  <r>
    <x v="15"/>
    <x v="786"/>
    <n v="512"/>
    <n v="210"/>
    <n v="12"/>
    <n v="50"/>
    <n v="108"/>
    <m/>
    <m/>
    <s v="Dimensity 9200"/>
    <x v="0"/>
    <n v="95"/>
    <n v="5200"/>
    <n v="6.9"/>
    <n v="1199"/>
    <x v="0"/>
    <n v="0.17027173931481399"/>
    <n v="17.009059686117965"/>
    <n v="70.491845059405037"/>
    <x v="0"/>
  </r>
  <r>
    <x v="15"/>
    <x v="787"/>
    <n v="512"/>
    <n v="202"/>
    <n v="12"/>
    <n v="50"/>
    <n v="108"/>
    <m/>
    <m/>
    <s v="Dimensity 9200"/>
    <x v="0"/>
    <n v="95"/>
    <n v="5200"/>
    <n v="6.9"/>
    <n v="1099"/>
    <x v="0"/>
    <n v="0.18335419022483526"/>
    <n v="15.590455875766175"/>
    <n v="70.491845059405037"/>
    <x v="0"/>
  </r>
  <r>
    <x v="15"/>
    <x v="788"/>
    <n v="256"/>
    <n v="198"/>
    <n v="8"/>
    <n v="32"/>
    <n v="50"/>
    <m/>
    <m/>
    <s v="Dimensity 810"/>
    <x v="2"/>
    <n v="25"/>
    <n v="5200"/>
    <n v="6.8"/>
    <n v="499"/>
    <x v="0"/>
    <n v="0.17755382961087726"/>
    <n v="14.30161352750255"/>
    <n v="34.891167981878681"/>
    <x v="0"/>
  </r>
  <r>
    <x v="15"/>
    <x v="789"/>
    <n v="256"/>
    <n v="195"/>
    <n v="8"/>
    <n v="32"/>
    <n v="50"/>
    <m/>
    <m/>
    <s v="Dimensity 8050"/>
    <x v="2"/>
    <n v="60"/>
    <n v="4300"/>
    <n v="6.9"/>
    <n v="999"/>
    <x v="0"/>
    <n v="0.11950612121622348"/>
    <n v="23.580047326140008"/>
    <n v="42.366327182581344"/>
    <x v="0"/>
  </r>
  <r>
    <x v="15"/>
    <x v="790"/>
    <n v="256"/>
    <n v="225"/>
    <n v="8"/>
    <n v="16"/>
    <n v="50"/>
    <m/>
    <m/>
    <s v="Dimensity 810"/>
    <x v="2"/>
    <n v="25"/>
    <n v="6000"/>
    <n v="6.8"/>
    <n v="349"/>
    <x v="0"/>
    <n v="0.23058143095583103"/>
    <n v="10.437571992409165"/>
    <n v="33.43689511831046"/>
    <x v="0"/>
  </r>
  <r>
    <x v="15"/>
    <x v="791"/>
    <n v="256"/>
    <n v="210"/>
    <n v="8"/>
    <n v="32"/>
    <n v="50"/>
    <m/>
    <m/>
    <s v="Dimensity 810"/>
    <x v="2"/>
    <n v="25"/>
    <n v="5200"/>
    <n v="6.8"/>
    <n v="329"/>
    <x v="0"/>
    <n v="0.25298745982536142"/>
    <n v="9.4293203417802385"/>
    <n v="34.891167981878681"/>
    <x v="0"/>
  </r>
  <r>
    <x v="15"/>
    <x v="792"/>
    <n v="512"/>
    <n v="205"/>
    <n v="12"/>
    <n v="50"/>
    <n v="64"/>
    <m/>
    <m/>
    <s v="Dimensity 8200"/>
    <x v="2"/>
    <n v="70"/>
    <n v="5200"/>
    <n v="6.8"/>
    <n v="899"/>
    <x v="0"/>
    <n v="0.19073051150123727"/>
    <n v="14.542657643843077"/>
    <n v="61.818136823196788"/>
    <x v="0"/>
  </r>
  <r>
    <x v="15"/>
    <x v="793"/>
    <n v="256"/>
    <n v="198"/>
    <n v="8"/>
    <n v="32"/>
    <n v="50"/>
    <m/>
    <m/>
    <s v="Dimensity 810"/>
    <x v="2"/>
    <n v="25"/>
    <n v="5000"/>
    <n v="6.7"/>
    <n v="499"/>
    <x v="0"/>
    <n v="0.17536435924001623"/>
    <n v="14.480172952061077"/>
    <n v="34.460914358690268"/>
    <x v="0"/>
  </r>
  <r>
    <x v="15"/>
    <x v="794"/>
    <n v="512"/>
    <n v="230"/>
    <n v="12"/>
    <n v="32"/>
    <n v="64"/>
    <m/>
    <m/>
    <s v="Dimensity 8100"/>
    <x v="2"/>
    <n v="65"/>
    <n v="6000"/>
    <n v="6.9"/>
    <n v="1099"/>
    <x v="0"/>
    <n v="0.15310045271340772"/>
    <n v="18.671240755167233"/>
    <n v="58.860576777462086"/>
    <x v="0"/>
  </r>
  <r>
    <x v="15"/>
    <x v="795"/>
    <n v="256"/>
    <n v="202"/>
    <n v="12"/>
    <n v="50"/>
    <n v="108"/>
    <m/>
    <m/>
    <s v="Dimensity 810"/>
    <x v="2"/>
    <n v="25"/>
    <n v="5200"/>
    <n v="6.9"/>
    <n v="899"/>
    <x v="0"/>
    <n v="0.13906636225396021"/>
    <n v="19.945359079230393"/>
    <n v="45.073141898766387"/>
    <x v="0"/>
  </r>
  <r>
    <x v="15"/>
    <x v="796"/>
    <n v="512"/>
    <n v="205"/>
    <n v="12"/>
    <n v="50"/>
    <n v="108"/>
    <m/>
    <m/>
    <s v="Dimensity 8200"/>
    <x v="2"/>
    <n v="70"/>
    <n v="5200"/>
    <n v="6.8"/>
    <n v="1049"/>
    <x v="0"/>
    <n v="0.17339093161244751"/>
    <n v="16.371555443017158"/>
    <n v="64.074547079607058"/>
    <x v="0"/>
  </r>
  <r>
    <x v="15"/>
    <x v="797"/>
    <n v="256"/>
    <n v="200"/>
    <n v="8"/>
    <n v="32"/>
    <n v="50"/>
    <m/>
    <m/>
    <s v="Dimensity 810"/>
    <x v="2"/>
    <n v="25"/>
    <n v="5000"/>
    <n v="6.7"/>
    <n v="499"/>
    <x v="0"/>
    <n v="0.17536435924001623"/>
    <n v="14.480172952061077"/>
    <n v="34.460914358690268"/>
    <x v="0"/>
  </r>
  <r>
    <x v="15"/>
    <x v="798"/>
    <n v="512"/>
    <n v="240"/>
    <n v="8"/>
    <n v="32"/>
    <n v="50"/>
    <m/>
    <m/>
    <s v="Dimensity 900"/>
    <x v="2"/>
    <n v="28"/>
    <n v="6000"/>
    <n v="6.9"/>
    <n v="699"/>
    <x v="0"/>
    <n v="0.17118456294587456"/>
    <n v="15.602959384269449"/>
    <n v="44.799193716079017"/>
    <x v="0"/>
  </r>
  <r>
    <x v="16"/>
    <x v="799"/>
    <n v="64"/>
    <n v="162"/>
    <n v="6"/>
    <n v="12"/>
    <n v="16"/>
    <m/>
    <m/>
    <s v="Snapdragon 710"/>
    <x v="1"/>
    <n v="28"/>
    <n v="3315"/>
    <n v="6.3"/>
    <n v="249"/>
    <x v="0"/>
    <n v="0.17509244026428861"/>
    <n v="13.066597293079045"/>
    <n v="19.056223622341776"/>
    <x v="7"/>
  </r>
  <r>
    <x v="16"/>
    <x v="800"/>
    <n v="64"/>
    <n v="150"/>
    <n v="4"/>
    <n v="24"/>
    <n v="16"/>
    <m/>
    <m/>
    <s v="Snapdragon 626"/>
    <x v="1"/>
    <n v="15"/>
    <n v="3260"/>
    <n v="6.3"/>
    <n v="219"/>
    <x v="0"/>
    <n v="0.16142736012298892"/>
    <n v="13.902390162551077"/>
    <n v="15.752686943711389"/>
    <x v="7"/>
  </r>
  <r>
    <x v="16"/>
    <x v="801"/>
    <n v="128"/>
    <n v="199"/>
    <n v="6"/>
    <n v="20"/>
    <n v="16"/>
    <m/>
    <m/>
    <s v="Snapdragon 653"/>
    <x v="1"/>
    <n v="18"/>
    <n v="4000"/>
    <n v="5.88"/>
    <n v="299"/>
    <x v="0"/>
    <n v="0.16142286446836582"/>
    <n v="14.567520187368977"/>
    <n v="20.52511313897153"/>
    <x v="6"/>
  </r>
  <r>
    <x v="16"/>
    <x v="802"/>
    <n v="32"/>
    <n v="146"/>
    <n v="3"/>
    <n v="5"/>
    <n v="13"/>
    <m/>
    <m/>
    <s v="Helio P22"/>
    <x v="1"/>
    <n v="4"/>
    <n v="3260"/>
    <n v="6.22"/>
    <n v="149"/>
    <x v="0"/>
    <n v="0.10653998803134841"/>
    <n v="19.882239299893161"/>
    <n v="7.4941256743047377"/>
    <x v="7"/>
  </r>
  <r>
    <x v="16"/>
    <x v="803"/>
    <n v="16"/>
    <n v="146"/>
    <n v="2"/>
    <n v="5"/>
    <n v="13"/>
    <m/>
    <m/>
    <s v="Snapdragon 615"/>
    <x v="1"/>
    <n v="8"/>
    <n v="2300"/>
    <n v="5.5"/>
    <n v="199"/>
    <x v="0"/>
    <n v="5.2305490697846055E-2"/>
    <n v="42.294186958849231"/>
    <n v="4.7051383253594654"/>
    <x v="10"/>
  </r>
  <r>
    <x v="16"/>
    <x v="804"/>
    <n v="64"/>
    <n v="158"/>
    <n v="4"/>
    <n v="20"/>
    <n v="16"/>
    <m/>
    <m/>
    <s v="Snapdragon 625"/>
    <x v="1"/>
    <n v="14"/>
    <n v="3055"/>
    <n v="5.5"/>
    <n v="249"/>
    <x v="0"/>
    <n v="0.12535403988725369"/>
    <n v="18.251206008627356"/>
    <n v="13.642934055004231"/>
    <x v="6"/>
  </r>
  <r>
    <x v="16"/>
    <x v="805"/>
    <n v="64"/>
    <n v="163"/>
    <n v="4"/>
    <n v="20"/>
    <n v="20"/>
    <m/>
    <m/>
    <s v="Snapdragon 439"/>
    <x v="1"/>
    <n v="12"/>
    <n v="4030"/>
    <n v="6.22"/>
    <n v="199"/>
    <x v="0"/>
    <n v="0.17433931004965902"/>
    <n v="12.68915313430413"/>
    <n v="15.68268566812541"/>
    <x v="7"/>
  </r>
  <r>
    <x v="16"/>
    <x v="806"/>
    <n v="32"/>
    <n v="168"/>
    <n v="4"/>
    <n v="8"/>
    <n v="13"/>
    <m/>
    <m/>
    <s v="Snapdragon 652"/>
    <x v="1"/>
    <n v="17"/>
    <n v="3000"/>
    <n v="5.5"/>
    <n v="179"/>
    <x v="0"/>
    <n v="0.13526665041466443"/>
    <n v="16.096713670051226"/>
    <n v="11.120282292965106"/>
    <x v="9"/>
  </r>
  <r>
    <x v="16"/>
    <x v="807"/>
    <n v="16"/>
    <n v="153"/>
    <n v="1"/>
    <n v="5"/>
    <n v="13"/>
    <m/>
    <m/>
    <s v="MediaTek MT6592"/>
    <x v="1"/>
    <n v="10"/>
    <n v="2000"/>
    <n v="5"/>
    <n v="139"/>
    <x v="0"/>
    <n v="4.8263403170196305E-2"/>
    <n v="43.434445170040689"/>
    <n v="3.2002250622940278"/>
    <x v="10"/>
  </r>
  <r>
    <x v="16"/>
    <x v="808"/>
    <n v="32"/>
    <n v="155"/>
    <n v="3"/>
    <n v="16"/>
    <n v="13"/>
    <m/>
    <m/>
    <s v="Snapdragon 430"/>
    <x v="1"/>
    <n v="10"/>
    <n v="3000"/>
    <n v="5.5"/>
    <n v="179"/>
    <x v="0"/>
    <n v="0.11837861910220358"/>
    <n v="18.393089540535435"/>
    <n v="9.7319158701159232"/>
    <x v="6"/>
  </r>
  <r>
    <x v="16"/>
    <x v="809"/>
    <n v="128"/>
    <n v="176"/>
    <n v="8"/>
    <n v="32"/>
    <n v="48"/>
    <m/>
    <m/>
    <s v="Snapdragon 712"/>
    <x v="1"/>
    <n v="30"/>
    <n v="4500"/>
    <n v="6.44"/>
    <n v="399"/>
    <x v="0"/>
    <n v="0.1887127532196112"/>
    <n v="13.012018843785347"/>
    <n v="30.663958052179265"/>
    <x v="4"/>
  </r>
  <r>
    <x v="16"/>
    <x v="810"/>
    <n v="256"/>
    <n v="176"/>
    <n v="8"/>
    <n v="32"/>
    <n v="48"/>
    <m/>
    <m/>
    <s v="Snapdragon 712"/>
    <x v="1"/>
    <n v="30"/>
    <n v="4500"/>
    <n v="6.44"/>
    <n v="429"/>
    <x v="0"/>
    <n v="0.19983420579100955"/>
    <n v="12.422207088486283"/>
    <n v="34.534925794114748"/>
    <x v="4"/>
  </r>
  <r>
    <x v="16"/>
    <x v="811"/>
    <n v="128"/>
    <n v="201"/>
    <n v="8"/>
    <n v="32"/>
    <n v="48"/>
    <m/>
    <m/>
    <s v="Snapdragon 675"/>
    <x v="1"/>
    <n v="25"/>
    <n v="4100"/>
    <n v="6.44"/>
    <n v="399"/>
    <x v="0"/>
    <n v="0.17692865110203246"/>
    <n v="13.878667393107069"/>
    <n v="28.749157876509525"/>
    <x v="5"/>
  </r>
  <r>
    <x v="16"/>
    <x v="812"/>
    <n v="256"/>
    <n v="201"/>
    <n v="8"/>
    <n v="32"/>
    <n v="48"/>
    <m/>
    <m/>
    <s v="Snapdragon 675"/>
    <x v="1"/>
    <n v="25"/>
    <n v="4100"/>
    <n v="6.44"/>
    <n v="429"/>
    <x v="0"/>
    <n v="0.18875433335593814"/>
    <n v="13.151390188314373"/>
    <n v="32.620125618445009"/>
    <x v="5"/>
  </r>
  <r>
    <x v="16"/>
    <x v="813"/>
    <n v="64"/>
    <n v="191"/>
    <n v="3"/>
    <n v="8"/>
    <n v="13"/>
    <m/>
    <m/>
    <s v="Helio P35"/>
    <x v="1"/>
    <n v="5"/>
    <n v="5000"/>
    <n v="6.51"/>
    <n v="159"/>
    <x v="0"/>
    <n v="0.16642011200412449"/>
    <n v="12.852977837517974"/>
    <n v="12.370674096696671"/>
    <x v="4"/>
  </r>
  <r>
    <x v="16"/>
    <x v="814"/>
    <n v="128"/>
    <n v="191"/>
    <n v="4"/>
    <n v="8"/>
    <n v="13"/>
    <m/>
    <m/>
    <s v="Helio P35"/>
    <x v="1"/>
    <n v="5"/>
    <n v="5000"/>
    <n v="6.51"/>
    <n v="179"/>
    <x v="0"/>
    <n v="0.18618346769069644"/>
    <n v="11.694639528623254"/>
    <n v="15.306157967664412"/>
    <x v="4"/>
  </r>
  <r>
    <x v="16"/>
    <x v="815"/>
    <n v="128"/>
    <n v="185"/>
    <n v="6"/>
    <n v="32"/>
    <n v="48"/>
    <m/>
    <m/>
    <s v="Helio P65"/>
    <x v="1"/>
    <n v="6"/>
    <n v="4500"/>
    <n v="6.38"/>
    <n v="249"/>
    <x v="0"/>
    <n v="0.20710991112706606"/>
    <n v="11.046609954809497"/>
    <n v="22.540851991573202"/>
    <x v="5"/>
  </r>
  <r>
    <x v="16"/>
    <x v="816"/>
    <n v="256"/>
    <n v="185"/>
    <n v="6"/>
    <n v="32"/>
    <n v="48"/>
    <m/>
    <m/>
    <s v="Helio P65"/>
    <x v="1"/>
    <n v="6"/>
    <n v="4500"/>
    <n v="6.38"/>
    <n v="269"/>
    <x v="0"/>
    <n v="0.22725261348051545"/>
    <n v="10.184834014247024"/>
    <n v="26.411819733508686"/>
    <x v="5"/>
  </r>
  <r>
    <x v="16"/>
    <x v="817"/>
    <n v="32"/>
    <n v="190"/>
    <n v="3"/>
    <n v="8"/>
    <n v="13"/>
    <m/>
    <m/>
    <s v="Snapdragon 439"/>
    <x v="1"/>
    <n v="12"/>
    <n v="5000"/>
    <n v="6.35"/>
    <n v="149"/>
    <x v="0"/>
    <n v="0.18487011203026121"/>
    <n v="11.458063792920122"/>
    <n v="13.003942262222902"/>
    <x v="5"/>
  </r>
  <r>
    <x v="16"/>
    <x v="818"/>
    <n v="64"/>
    <n v="190"/>
    <n v="3"/>
    <n v="8"/>
    <n v="13"/>
    <m/>
    <m/>
    <s v="Snapdragon 439"/>
    <x v="1"/>
    <n v="12"/>
    <n v="5000"/>
    <n v="6.35"/>
    <n v="169"/>
    <x v="0"/>
    <n v="0.17846171483091106"/>
    <n v="12.09589320861823"/>
    <n v="13.971684197706773"/>
    <x v="5"/>
  </r>
  <r>
    <x v="16"/>
    <x v="819"/>
    <n v="128"/>
    <n v="190"/>
    <n v="6"/>
    <n v="32"/>
    <n v="48"/>
    <m/>
    <m/>
    <s v="Helio P70"/>
    <x v="1"/>
    <n v="8"/>
    <n v="4000"/>
    <n v="6.53"/>
    <n v="299"/>
    <x v="0"/>
    <n v="0.17606544562750925"/>
    <n v="13.356004231635737"/>
    <n v="22.38693510531936"/>
    <x v="5"/>
  </r>
  <r>
    <x v="16"/>
    <x v="820"/>
    <n v="256"/>
    <n v="190"/>
    <n v="6"/>
    <n v="32"/>
    <n v="48"/>
    <m/>
    <m/>
    <s v="Helio P70"/>
    <x v="1"/>
    <n v="8"/>
    <n v="4000"/>
    <n v="6.53"/>
    <n v="319"/>
    <x v="0"/>
    <n v="0.19545102688757074"/>
    <n v="12.148723447400148"/>
    <n v="26.257902847254844"/>
    <x v="5"/>
  </r>
  <r>
    <x v="16"/>
    <x v="821"/>
    <n v="128"/>
    <n v="190"/>
    <n v="8"/>
    <n v="32"/>
    <n v="48"/>
    <m/>
    <m/>
    <s v="Snapdragon 710"/>
    <x v="1"/>
    <n v="28"/>
    <n v="4000"/>
    <n v="6.39"/>
    <n v="499"/>
    <x v="0"/>
    <n v="0.14905883831376848"/>
    <n v="17.035596682147567"/>
    <n v="29.291606822491076"/>
    <x v="5"/>
  </r>
  <r>
    <x v="16"/>
    <x v="822"/>
    <n v="256"/>
    <n v="190"/>
    <n v="8"/>
    <n v="32"/>
    <n v="48"/>
    <m/>
    <m/>
    <s v="Snapdragon 710"/>
    <x v="1"/>
    <n v="28"/>
    <n v="4000"/>
    <n v="6.39"/>
    <n v="549"/>
    <x v="0"/>
    <n v="0.15560077175802972"/>
    <n v="16.554806350557335"/>
    <n v="33.162574564426563"/>
    <x v="5"/>
  </r>
  <r>
    <x v="16"/>
    <x v="823"/>
    <n v="128"/>
    <n v="193"/>
    <n v="4"/>
    <n v="8"/>
    <n v="13"/>
    <m/>
    <m/>
    <s v="Helio P35"/>
    <x v="1"/>
    <n v="5"/>
    <n v="5000"/>
    <n v="6.47"/>
    <n v="199"/>
    <x v="0"/>
    <n v="0.16969037944079821"/>
    <n v="13.036792125984087"/>
    <n v="15.264491300997745"/>
    <x v="4"/>
  </r>
  <r>
    <x v="16"/>
    <x v="824"/>
    <n v="64"/>
    <n v="193"/>
    <n v="3"/>
    <n v="8"/>
    <n v="13"/>
    <m/>
    <m/>
    <s v="Helio P35"/>
    <x v="1"/>
    <n v="5"/>
    <n v="5000"/>
    <n v="6.47"/>
    <n v="169"/>
    <x v="0"/>
    <n v="0.1574796407499201"/>
    <n v="13.707510597192389"/>
    <n v="12.329007430030005"/>
    <x v="4"/>
  </r>
  <r>
    <x v="16"/>
    <x v="825"/>
    <n v="64"/>
    <n v="159"/>
    <n v="4"/>
    <n v="16"/>
    <n v="16"/>
    <m/>
    <m/>
    <s v="Snapdragon 712"/>
    <x v="1"/>
    <n v="30"/>
    <n v="4500"/>
    <n v="6.53"/>
    <n v="249"/>
    <x v="0"/>
    <n v="0.18764677950905601"/>
    <n v="12.1923883371819"/>
    <n v="20.422577850530708"/>
    <x v="5"/>
  </r>
  <r>
    <x v="16"/>
    <x v="826"/>
    <n v="128"/>
    <n v="159"/>
    <n v="6"/>
    <n v="16"/>
    <n v="16"/>
    <m/>
    <m/>
    <s v="Snapdragon 712"/>
    <x v="1"/>
    <n v="30"/>
    <n v="4500"/>
    <n v="6.53"/>
    <n v="299"/>
    <x v="0"/>
    <n v="0.19156766977892309"/>
    <n v="12.275196746714139"/>
    <n v="24.358061721498451"/>
    <x v="5"/>
  </r>
  <r>
    <x v="16"/>
    <x v="827"/>
    <n v="128"/>
    <n v="156"/>
    <n v="6"/>
    <n v="12"/>
    <n v="12"/>
    <m/>
    <m/>
    <s v="Snapdragon 660"/>
    <x v="1"/>
    <n v="22"/>
    <n v="3200"/>
    <n v="6.28"/>
    <n v="349"/>
    <x v="0"/>
    <n v="0.13145944259472445"/>
    <n v="18.307625821401381"/>
    <n v="19.06309443969646"/>
    <x v="7"/>
  </r>
  <r>
    <x v="16"/>
    <x v="828"/>
    <n v="64"/>
    <n v="156"/>
    <n v="4"/>
    <n v="12"/>
    <n v="12"/>
    <m/>
    <m/>
    <s v="Snapdragon 660"/>
    <x v="1"/>
    <n v="22"/>
    <n v="3200"/>
    <n v="6.28"/>
    <n v="299"/>
    <x v="0"/>
    <n v="0.11897338709083846"/>
    <n v="19.765183578831849"/>
    <n v="15.12761056872872"/>
    <x v="7"/>
  </r>
  <r>
    <x v="16"/>
    <x v="829"/>
    <n v="128"/>
    <n v="172"/>
    <n v="8"/>
    <n v="50"/>
    <n v="64"/>
    <m/>
    <m/>
    <s v="Helio G96"/>
    <x v="1"/>
    <n v="20"/>
    <n v="4050"/>
    <n v="6.44"/>
    <n v="299"/>
    <x v="0"/>
    <n v="0.24639144255938178"/>
    <n v="9.5438819320160135"/>
    <n v="31.328970971127717"/>
    <x v="3"/>
  </r>
  <r>
    <x v="16"/>
    <x v="830"/>
    <n v="256"/>
    <n v="172"/>
    <n v="8"/>
    <n v="50"/>
    <n v="64"/>
    <m/>
    <m/>
    <s v="Helio G96"/>
    <x v="1"/>
    <n v="20"/>
    <n v="4050"/>
    <n v="6.44"/>
    <n v="349"/>
    <x v="0"/>
    <n v="0.24273941133879376"/>
    <n v="9.9147899899746434"/>
    <n v="35.199938713063204"/>
    <x v="3"/>
  </r>
  <r>
    <x v="16"/>
    <x v="831"/>
    <n v="128"/>
    <n v="182"/>
    <n v="8"/>
    <n v="16"/>
    <n v="50"/>
    <m/>
    <m/>
    <s v="Helio G80"/>
    <x v="1"/>
    <n v="10"/>
    <n v="5000"/>
    <n v="6.58"/>
    <n v="239"/>
    <x v="0"/>
    <n v="0.22755939196142913"/>
    <n v="9.9922874845873348"/>
    <n v="23.918447139220824"/>
    <x v="3"/>
  </r>
  <r>
    <x v="16"/>
    <x v="832"/>
    <n v="64"/>
    <n v="182"/>
    <n v="4"/>
    <n v="16"/>
    <n v="50"/>
    <m/>
    <m/>
    <s v="Helio G80"/>
    <x v="1"/>
    <n v="10"/>
    <n v="5000"/>
    <n v="6.58"/>
    <n v="179"/>
    <x v="0"/>
    <n v="0.21874401582101766"/>
    <n v="9.9538656299212107"/>
    <n v="17.982963268253087"/>
    <x v="3"/>
  </r>
  <r>
    <x v="16"/>
    <x v="833"/>
    <n v="128"/>
    <n v="179"/>
    <n v="8"/>
    <n v="16"/>
    <n v="50"/>
    <m/>
    <m/>
    <s v="Dimensity 700"/>
    <x v="1"/>
    <n v="18"/>
    <n v="5000"/>
    <n v="6.58"/>
    <n v="349"/>
    <x v="0"/>
    <n v="0.17887339177511519"/>
    <n v="13.454825571485756"/>
    <n v="25.938649159422845"/>
    <x v="3"/>
  </r>
  <r>
    <x v="16"/>
    <x v="834"/>
    <n v="256"/>
    <n v="179"/>
    <n v="8"/>
    <n v="16"/>
    <n v="50"/>
    <m/>
    <m/>
    <s v="Dimensity 700"/>
    <x v="1"/>
    <n v="18"/>
    <n v="5000"/>
    <n v="6.58"/>
    <n v="399"/>
    <x v="0"/>
    <n v="0.18345494956341385"/>
    <n v="13.384942225870031"/>
    <n v="29.809616901358325"/>
    <x v="3"/>
  </r>
  <r>
    <x v="16"/>
    <x v="835"/>
    <n v="128"/>
    <n v="190"/>
    <n v="6"/>
    <n v="16"/>
    <n v="64"/>
    <m/>
    <m/>
    <s v="Helio G80"/>
    <x v="1"/>
    <n v="10"/>
    <n v="5000"/>
    <n v="6.58"/>
    <n v="229"/>
    <x v="0"/>
    <n v="0.2233300278722713"/>
    <n v="10.116451463604781"/>
    <n v="22.636395857169539"/>
    <x v="3"/>
  </r>
  <r>
    <x v="16"/>
    <x v="836"/>
    <n v="64"/>
    <n v="190"/>
    <n v="6"/>
    <n v="16"/>
    <n v="64"/>
    <m/>
    <m/>
    <s v="Helio G80"/>
    <x v="1"/>
    <n v="10"/>
    <n v="5000"/>
    <n v="6.58"/>
    <n v="179"/>
    <x v="0"/>
    <n v="0.25180503076560545"/>
    <n v="8.6469620333303432"/>
    <n v="20.700911986201803"/>
    <x v="3"/>
  </r>
  <r>
    <x v="16"/>
    <x v="837"/>
    <n v="128"/>
    <n v="185"/>
    <n v="6"/>
    <n v="32"/>
    <n v="48"/>
    <m/>
    <m/>
    <s v="Snapdragon 675"/>
    <x v="1"/>
    <n v="25"/>
    <n v="3700"/>
    <n v="6.39"/>
    <n v="399"/>
    <x v="0"/>
    <n v="0.16028605625144421"/>
    <n v="15.319697535661778"/>
    <n v="26.044900630132712"/>
    <x v="5"/>
  </r>
  <r>
    <x v="16"/>
    <x v="838"/>
    <n v="256"/>
    <n v="185"/>
    <n v="6"/>
    <n v="32"/>
    <n v="48"/>
    <m/>
    <m/>
    <s v="Snapdragon 675"/>
    <x v="1"/>
    <n v="25"/>
    <n v="3700"/>
    <n v="6.39"/>
    <n v="449"/>
    <x v="0"/>
    <n v="0.16652990098683473"/>
    <n v="15.00875703876347"/>
    <n v="29.915868372068196"/>
    <x v="5"/>
  </r>
  <r>
    <x v="16"/>
    <x v="839"/>
    <n v="128"/>
    <n v="182"/>
    <n v="4"/>
    <n v="8"/>
    <n v="13"/>
    <m/>
    <m/>
    <s v="Helio P35"/>
    <x v="1"/>
    <n v="5"/>
    <n v="5000"/>
    <n v="6.51"/>
    <n v="199"/>
    <x v="0"/>
    <n v="0.17015357420682606"/>
    <n v="13.0013031631063"/>
    <n v="15.306157967664412"/>
    <x v="3"/>
  </r>
  <r>
    <x v="16"/>
    <x v="840"/>
    <n v="64"/>
    <n v="182"/>
    <n v="4"/>
    <n v="8"/>
    <n v="13"/>
    <m/>
    <m/>
    <s v="Helio P35"/>
    <x v="1"/>
    <n v="5"/>
    <n v="5000"/>
    <n v="6.51"/>
    <n v="179"/>
    <x v="0"/>
    <n v="0.16264032253843369"/>
    <n v="13.387507518728867"/>
    <n v="13.370674096696671"/>
    <x v="3"/>
  </r>
  <r>
    <x v="16"/>
    <x v="841"/>
    <n v="128"/>
    <n v="223"/>
    <n v="12"/>
    <n v="32"/>
    <n v="50"/>
    <m/>
    <m/>
    <s v="Dimensity 9400"/>
    <x v="0"/>
    <n v="100"/>
    <n v="6000"/>
    <n v="6.78"/>
    <n v="999"/>
    <x v="0"/>
    <n v="0.15582869888334835"/>
    <n v="18.083703542641192"/>
    <n v="55.243108672090756"/>
    <x v="0"/>
  </r>
  <r>
    <x v="16"/>
    <x v="842"/>
    <n v="256"/>
    <n v="223"/>
    <n v="12"/>
    <n v="32"/>
    <n v="50"/>
    <m/>
    <m/>
    <s v="Dimensity 9400"/>
    <x v="0"/>
    <n v="100"/>
    <n v="6000"/>
    <n v="6.78"/>
    <n v="1099"/>
    <x v="0"/>
    <n v="0.15375982289367945"/>
    <n v="18.591172638861291"/>
    <n v="59.114076414026229"/>
    <x v="0"/>
  </r>
  <r>
    <x v="16"/>
    <x v="843"/>
    <n v="256"/>
    <n v="223"/>
    <n v="16"/>
    <n v="32"/>
    <n v="200"/>
    <m/>
    <m/>
    <s v="Dimensity 9400"/>
    <x v="0"/>
    <n v="100"/>
    <n v="6000"/>
    <n v="6.78"/>
    <n v="1199"/>
    <x v="0"/>
    <n v="0.17103150252654256"/>
    <n v="16.933501337949899"/>
    <n v="70.806384106333923"/>
    <x v="0"/>
  </r>
  <r>
    <x v="16"/>
    <x v="844"/>
    <n v="512"/>
    <n v="223"/>
    <n v="16"/>
    <n v="32"/>
    <n v="200"/>
    <m/>
    <m/>
    <s v="Dimensity 9400"/>
    <x v="0"/>
    <n v="100"/>
    <n v="6000"/>
    <n v="6.78"/>
    <n v="1299"/>
    <x v="0"/>
    <n v="0.17724301134832901"/>
    <n v="16.537591214898345"/>
    <n v="78.548319590204883"/>
    <x v="0"/>
  </r>
  <r>
    <x v="16"/>
    <x v="845"/>
    <n v="256"/>
    <n v="187"/>
    <n v="16"/>
    <n v="32"/>
    <n v="50"/>
    <m/>
    <m/>
    <s v="Dimensity 9400"/>
    <x v="0"/>
    <n v="100"/>
    <n v="5700"/>
    <n v="6.31"/>
    <n v="949"/>
    <x v="0"/>
    <n v="0.18308912823723308"/>
    <n v="15.273106321243343"/>
    <n v="62.135362645910291"/>
    <x v="0"/>
  </r>
  <r>
    <x v="16"/>
    <x v="846"/>
    <n v="128"/>
    <n v="180"/>
    <n v="8"/>
    <n v="16"/>
    <n v="50"/>
    <m/>
    <m/>
    <s v="Snapdragon 870"/>
    <x v="0"/>
    <n v="82"/>
    <n v="5000"/>
    <n v="6.67"/>
    <n v="349"/>
    <x v="0"/>
    <n v="0.29097068959520783"/>
    <n v="8.271315193507542"/>
    <n v="42.194015321039011"/>
    <x v="0"/>
  </r>
  <r>
    <x v="16"/>
    <x v="847"/>
    <n v="256"/>
    <n v="189"/>
    <n v="12"/>
    <n v="32"/>
    <n v="108"/>
    <m/>
    <m/>
    <s v="Snapdragon 8 Gen 2"/>
    <x v="0"/>
    <n v="95"/>
    <n v="4700"/>
    <n v="6.56"/>
    <n v="599"/>
    <x v="0"/>
    <n v="0.25478441494961473"/>
    <n v="10.243330006460088"/>
    <n v="58.477077241700982"/>
    <x v="0"/>
  </r>
  <r>
    <x v="16"/>
    <x v="848"/>
    <n v="256"/>
    <n v="210"/>
    <n v="16"/>
    <n v="16"/>
    <n v="50"/>
    <m/>
    <m/>
    <s v="Snapdragon 8 Gen 3"/>
    <x v="0"/>
    <n v="100"/>
    <n v="5000"/>
    <n v="6.78"/>
    <n v="699"/>
    <x v="0"/>
    <n v="0.22439727615666513"/>
    <n v="11.902933175506206"/>
    <n v="58.725020941762367"/>
    <x v="0"/>
  </r>
  <r>
    <x v="16"/>
    <x v="849"/>
    <n v="256"/>
    <n v="190"/>
    <n v="12"/>
    <n v="32"/>
    <n v="48"/>
    <m/>
    <m/>
    <s v="Snapdragon 870"/>
    <x v="0"/>
    <n v="82"/>
    <n v="4200"/>
    <n v="6.56"/>
    <n v="899"/>
    <x v="0"/>
    <n v="0.15828489657490033"/>
    <n v="17.52364622915896"/>
    <n v="51.302108490645281"/>
    <x v="3"/>
  </r>
  <r>
    <x v="16"/>
    <x v="850"/>
    <n v="512"/>
    <n v="190"/>
    <n v="12"/>
    <n v="32"/>
    <n v="48"/>
    <m/>
    <m/>
    <s v="Snapdragon 870"/>
    <x v="0"/>
    <n v="82"/>
    <n v="4200"/>
    <n v="6.56"/>
    <n v="999"/>
    <x v="0"/>
    <n v="0.16655030411075261"/>
    <n v="16.919572792662613"/>
    <n v="59.044043974516242"/>
    <x v="3"/>
  </r>
  <r>
    <x v="16"/>
    <x v="851"/>
    <n v="128"/>
    <n v="199"/>
    <n v="8"/>
    <n v="32"/>
    <n v="64"/>
    <m/>
    <m/>
    <s v="Snapdragon 855"/>
    <x v="0"/>
    <n v="75"/>
    <n v="4200"/>
    <n v="6.44"/>
    <n v="899"/>
    <x v="0"/>
    <n v="0.1306922163496238"/>
    <n v="21.223364393617558"/>
    <n v="42.358976801545836"/>
    <x v="5"/>
  </r>
  <r>
    <x v="16"/>
    <x v="852"/>
    <n v="256"/>
    <n v="199"/>
    <n v="8"/>
    <n v="32"/>
    <n v="64"/>
    <m/>
    <m/>
    <s v="Snapdragon 855"/>
    <x v="0"/>
    <n v="75"/>
    <n v="4200"/>
    <n v="6.44"/>
    <n v="949"/>
    <x v="0"/>
    <n v="0.13622194969966483"/>
    <n v="20.52782042832483"/>
    <n v="46.229944543481324"/>
    <x v="5"/>
  </r>
  <r>
    <x v="16"/>
    <x v="853"/>
    <n v="256"/>
    <n v="221"/>
    <n v="12"/>
    <n v="32"/>
    <n v="50"/>
    <m/>
    <m/>
    <s v="Dimensity 9200"/>
    <x v="0"/>
    <n v="95"/>
    <n v="4870"/>
    <n v="6.78"/>
    <n v="1099"/>
    <x v="0"/>
    <n v="0.14568345631330915"/>
    <n v="19.621825872866676"/>
    <n v="56.009058847052145"/>
    <x v="2"/>
  </r>
  <r>
    <x v="16"/>
    <x v="854"/>
    <n v="512"/>
    <n v="221"/>
    <n v="12"/>
    <n v="32"/>
    <n v="50"/>
    <m/>
    <m/>
    <s v="Dimensity 9200"/>
    <x v="0"/>
    <n v="95"/>
    <n v="4870"/>
    <n v="6.78"/>
    <n v="1199"/>
    <x v="0"/>
    <n v="0.1539893398821861"/>
    <n v="18.807549789359317"/>
    <n v="63.750994330923106"/>
    <x v="2"/>
  </r>
  <r>
    <x v="16"/>
    <x v="855"/>
    <n v="256"/>
    <n v="206"/>
    <n v="12"/>
    <n v="32"/>
    <n v="50"/>
    <m/>
    <m/>
    <s v="Dimensity 9000"/>
    <x v="0"/>
    <n v="90"/>
    <n v="4700"/>
    <n v="6.78"/>
    <n v="899"/>
    <x v="0"/>
    <n v="0.16805665944282544"/>
    <n v="16.504722515570521"/>
    <n v="54.469258671382406"/>
    <x v="2"/>
  </r>
  <r>
    <x v="16"/>
    <x v="856"/>
    <n v="512"/>
    <n v="206"/>
    <n v="12"/>
    <n v="32"/>
    <n v="50"/>
    <m/>
    <m/>
    <s v="Dimensity 9000"/>
    <x v="0"/>
    <n v="90"/>
    <n v="4700"/>
    <n v="6.78"/>
    <n v="999"/>
    <x v="0"/>
    <n v="0.1754841404515334"/>
    <n v="16.058203247263023"/>
    <n v="62.211194155253366"/>
    <x v="2"/>
  </r>
  <r>
    <x v="16"/>
    <x v="306"/>
    <n v="128"/>
    <n v="498"/>
    <n v="6"/>
    <n v="8"/>
    <n v="13"/>
    <m/>
    <m/>
    <s v="Snapdragon 870"/>
    <x v="0"/>
    <n v="82"/>
    <n v="8040"/>
    <n v="11"/>
    <n v="329"/>
    <x v="1"/>
    <n v="0.33632072258598861"/>
    <n v="7.0929313626717736"/>
    <n v="46.384207484572627"/>
    <x v="2"/>
  </r>
  <r>
    <x v="16"/>
    <x v="857"/>
    <n v="128"/>
    <n v="510"/>
    <n v="6"/>
    <n v="8"/>
    <n v="13"/>
    <m/>
    <m/>
    <s v="Snapdragon 870"/>
    <x v="0"/>
    <n v="82"/>
    <n v="8040"/>
    <n v="10.4"/>
    <n v="279"/>
    <x v="1"/>
    <n v="0.3816936381248901"/>
    <n v="6.097133568016071"/>
    <n v="45.759207484572627"/>
    <x v="1"/>
  </r>
  <r>
    <x v="16"/>
    <x v="477"/>
    <n v="256"/>
    <n v="550"/>
    <n v="8"/>
    <n v="8"/>
    <n v="50"/>
    <m/>
    <m/>
    <s v="Snapdragon 888"/>
    <x v="0"/>
    <n v="85"/>
    <n v="8040"/>
    <n v="12.3"/>
    <n v="449"/>
    <x v="1"/>
    <n v="0.3132015794739903"/>
    <n v="7.9801858847531832"/>
    <n v="56.264353548186428"/>
    <x v="1"/>
  </r>
  <r>
    <x v="16"/>
    <x v="858"/>
    <n v="256"/>
    <n v="560"/>
    <n v="8"/>
    <n v="8"/>
    <n v="50"/>
    <m/>
    <m/>
    <s v="Dimensity 9000"/>
    <x v="0"/>
    <n v="90"/>
    <n v="8040"/>
    <n v="12.9"/>
    <n v="499"/>
    <x v="1"/>
    <n v="0.29592321816875639"/>
    <n v="8.5809632212593492"/>
    <n v="58.151979810812698"/>
    <x v="0"/>
  </r>
  <r>
    <x v="16"/>
    <x v="859"/>
    <n v="128"/>
    <n v="179"/>
    <n v="8"/>
    <n v="44"/>
    <n v="64"/>
    <m/>
    <m/>
    <s v="Snapdragon 778G"/>
    <x v="2"/>
    <n v="60"/>
    <n v="4100"/>
    <n v="6.44"/>
    <n v="449"/>
    <x v="0"/>
    <n v="0.22531968846015876"/>
    <n v="11.092713826660058"/>
    <n v="40.477020052647561"/>
    <x v="0"/>
  </r>
  <r>
    <x v="16"/>
    <x v="860"/>
    <n v="128"/>
    <n v="190"/>
    <n v="12"/>
    <n v="16"/>
    <n v="64"/>
    <m/>
    <m/>
    <s v="Dimensity 1200"/>
    <x v="2"/>
    <n v="38"/>
    <n v="5000"/>
    <n v="6.58"/>
    <n v="399"/>
    <x v="0"/>
    <n v="0.21974937780534642"/>
    <n v="11.174247342494422"/>
    <n v="35.707102927876612"/>
    <x v="0"/>
  </r>
  <r>
    <x v="16"/>
    <x v="861"/>
    <n v="128"/>
    <n v="181"/>
    <n v="8"/>
    <n v="16"/>
    <n v="64"/>
    <m/>
    <m/>
    <s v="Dimensity 900"/>
    <x v="2"/>
    <n v="28"/>
    <n v="4500"/>
    <n v="6.38"/>
    <n v="299"/>
    <x v="0"/>
    <n v="0.22145521741114202"/>
    <n v="10.618538882649657"/>
    <n v="28.158299677986406"/>
    <x v="0"/>
  </r>
  <r>
    <x v="16"/>
    <x v="862"/>
    <n v="128"/>
    <n v="192"/>
    <n v="12"/>
    <n v="32"/>
    <n v="64"/>
    <m/>
    <m/>
    <s v="Dimensity 1100"/>
    <x v="2"/>
    <n v="35"/>
    <n v="4500"/>
    <n v="6.44"/>
    <n v="549"/>
    <x v="0"/>
    <n v="0.17241956480231704"/>
    <n v="14.93995561005404"/>
    <n v="36.747097135318342"/>
    <x v="0"/>
  </r>
  <r>
    <x v="16"/>
    <x v="863"/>
    <n v="128"/>
    <n v="173"/>
    <n v="8"/>
    <n v="44"/>
    <n v="64"/>
    <m/>
    <m/>
    <s v="Snapdragon 765G"/>
    <x v="2"/>
    <n v="52"/>
    <n v="4000"/>
    <n v="6.44"/>
    <n v="499"/>
    <x v="0"/>
    <n v="0.19486898019241819"/>
    <n v="13.030838714891589"/>
    <n v="38.293774554184672"/>
    <x v="4"/>
  </r>
  <r>
    <x v="16"/>
    <x v="864"/>
    <n v="256"/>
    <n v="173"/>
    <n v="8"/>
    <n v="44"/>
    <n v="64"/>
    <m/>
    <m/>
    <s v="Snapdragon 765G"/>
    <x v="2"/>
    <n v="52"/>
    <n v="4000"/>
    <n v="6.44"/>
    <n v="549"/>
    <x v="0"/>
    <n v="0.19783947803897481"/>
    <n v="13.020357059090029"/>
    <n v="42.164742296120153"/>
    <x v="4"/>
  </r>
  <r>
    <x v="16"/>
    <x v="865"/>
    <n v="128"/>
    <n v="185"/>
    <n v="8"/>
    <n v="32"/>
    <n v="50"/>
    <m/>
    <m/>
    <s v="Dimensity 1200"/>
    <x v="2"/>
    <n v="38"/>
    <n v="4450"/>
    <n v="6.56"/>
    <n v="749"/>
    <x v="0"/>
    <n v="0.11829435363866228"/>
    <n v="22.814358256375076"/>
    <n v="32.830202435814954"/>
    <x v="3"/>
  </r>
  <r>
    <x v="16"/>
    <x v="866"/>
    <n v="256"/>
    <n v="185"/>
    <n v="8"/>
    <n v="32"/>
    <n v="50"/>
    <m/>
    <m/>
    <s v="Dimensity 1200"/>
    <x v="2"/>
    <n v="38"/>
    <n v="4450"/>
    <n v="6.56"/>
    <n v="799"/>
    <x v="0"/>
    <n v="0.12517429356052476"/>
    <n v="21.770423017312464"/>
    <n v="36.701170177750441"/>
    <x v="3"/>
  </r>
  <r>
    <x v="16"/>
    <x v="867"/>
    <n v="128"/>
    <n v="181"/>
    <n v="6"/>
    <n v="16"/>
    <n v="50"/>
    <m/>
    <m/>
    <s v="Snapdragon 695"/>
    <x v="2"/>
    <n v="40"/>
    <n v="5000"/>
    <n v="6.58"/>
    <n v="269"/>
    <x v="0"/>
    <n v="0.25377407432114746"/>
    <n v="9.1204357805040424"/>
    <n v="29.494204714978395"/>
    <x v="2"/>
  </r>
  <r>
    <x v="16"/>
    <x v="868"/>
    <n v="256"/>
    <n v="181"/>
    <n v="8"/>
    <n v="16"/>
    <n v="50"/>
    <m/>
    <m/>
    <s v="Snapdragon 695"/>
    <x v="2"/>
    <n v="40"/>
    <n v="5000"/>
    <n v="6.58"/>
    <n v="319"/>
    <x v="0"/>
    <n v="0.2632411016587522"/>
    <n v="9.0201737426459392"/>
    <n v="35.365172456913882"/>
    <x v="2"/>
  </r>
  <r>
    <x v="16"/>
    <x v="869"/>
    <n v="128"/>
    <n v="182"/>
    <n v="8"/>
    <n v="50"/>
    <n v="50"/>
    <m/>
    <m/>
    <s v="Dimensity 8200"/>
    <x v="2"/>
    <n v="70"/>
    <n v="4600"/>
    <n v="6.78"/>
    <n v="599"/>
    <x v="0"/>
    <n v="0.19383488656315445"/>
    <n v="13.464247273059588"/>
    <n v="44.48819067654307"/>
    <x v="1"/>
  </r>
  <r>
    <x v="16"/>
    <x v="870"/>
    <n v="256"/>
    <n v="182"/>
    <n v="8"/>
    <n v="50"/>
    <n v="50"/>
    <m/>
    <m/>
    <s v="Dimensity 8200"/>
    <x v="2"/>
    <n v="70"/>
    <n v="4600"/>
    <n v="6.78"/>
    <n v="649"/>
    <x v="0"/>
    <n v="0.19682068640658754"/>
    <n v="13.420415516412506"/>
    <n v="48.35915841847855"/>
    <x v="1"/>
  </r>
  <r>
    <x v="16"/>
    <x v="871"/>
    <n v="128"/>
    <n v="182"/>
    <n v="8"/>
    <n v="50"/>
    <n v="50"/>
    <m/>
    <m/>
    <s v="Dimensity 8200"/>
    <x v="2"/>
    <n v="70"/>
    <n v="4600"/>
    <n v="6.78"/>
    <n v="699"/>
    <x v="0"/>
    <n v="0.16999617282137347"/>
    <n v="15.712034797777381"/>
    <n v="44.48819067654307"/>
    <x v="1"/>
  </r>
  <r>
    <x v="16"/>
    <x v="872"/>
    <n v="256"/>
    <n v="182"/>
    <n v="8"/>
    <n v="50"/>
    <n v="50"/>
    <m/>
    <m/>
    <s v="Dimensity 8200"/>
    <x v="2"/>
    <n v="70"/>
    <n v="4600"/>
    <n v="6.78"/>
    <n v="749"/>
    <x v="0"/>
    <n v="0.17424855660904756"/>
    <n v="15.488276150682537"/>
    <n v="48.35915841847855"/>
    <x v="1"/>
  </r>
  <r>
    <x v="16"/>
    <x v="873"/>
    <n v="128"/>
    <n v="190"/>
    <n v="8"/>
    <n v="32"/>
    <n v="64"/>
    <m/>
    <m/>
    <s v="Dimensity 1300"/>
    <x v="2"/>
    <n v="40"/>
    <n v="4830"/>
    <n v="6.56"/>
    <n v="599"/>
    <x v="0"/>
    <n v="0.15106912041319778"/>
    <n v="17.275806171992276"/>
    <n v="34.672766876205479"/>
    <x v="2"/>
  </r>
  <r>
    <x v="16"/>
    <x v="874"/>
    <n v="256"/>
    <n v="190"/>
    <n v="8"/>
    <n v="32"/>
    <n v="64"/>
    <m/>
    <m/>
    <s v="Dimensity 1300"/>
    <x v="2"/>
    <n v="40"/>
    <n v="4830"/>
    <n v="6.56"/>
    <n v="649"/>
    <x v="0"/>
    <n v="0.1568721324421784"/>
    <n v="16.838015475919718"/>
    <n v="38.543734618140959"/>
    <x v="2"/>
  </r>
  <r>
    <x v="16"/>
    <x v="875"/>
    <n v="128"/>
    <n v="190"/>
    <n v="8"/>
    <n v="16"/>
    <n v="64"/>
    <m/>
    <m/>
    <s v="Dimensity 900"/>
    <x v="2"/>
    <n v="28"/>
    <n v="4500"/>
    <n v="6.44"/>
    <n v="399"/>
    <x v="0"/>
    <n v="0.1736770183493466"/>
    <n v="14.13850792864808"/>
    <n v="28.220799677986406"/>
    <x v="1"/>
  </r>
  <r>
    <x v="16"/>
    <x v="876"/>
    <n v="256"/>
    <n v="190"/>
    <n v="8"/>
    <n v="16"/>
    <n v="64"/>
    <m/>
    <m/>
    <s v="Dimensity 900"/>
    <x v="2"/>
    <n v="28"/>
    <n v="4500"/>
    <n v="6.44"/>
    <n v="449"/>
    <x v="0"/>
    <n v="0.17864227721772977"/>
    <n v="13.99112719859955"/>
    <n v="32.091767419921887"/>
    <x v="1"/>
  </r>
  <r>
    <x v="16"/>
    <x v="877"/>
    <n v="128"/>
    <n v="190"/>
    <n v="8"/>
    <n v="16"/>
    <n v="64"/>
    <m/>
    <m/>
    <s v="Snapdragon 695"/>
    <x v="2"/>
    <n v="40"/>
    <n v="4500"/>
    <n v="6.44"/>
    <n v="299"/>
    <x v="0"/>
    <n v="0.24577903579926194"/>
    <n v="9.5676623890999366"/>
    <n v="31.251102708289437"/>
    <x v="1"/>
  </r>
  <r>
    <x v="16"/>
    <x v="878"/>
    <n v="256"/>
    <n v="190"/>
    <n v="8"/>
    <n v="16"/>
    <n v="64"/>
    <m/>
    <m/>
    <s v="Snapdragon 695"/>
    <x v="2"/>
    <n v="40"/>
    <n v="4500"/>
    <n v="6.44"/>
    <n v="349"/>
    <x v="0"/>
    <n v="0.2422024303958035"/>
    <n v="9.9367718225667705"/>
    <n v="35.122070450224918"/>
    <x v="1"/>
  </r>
  <r>
    <x v="16"/>
    <x v="879"/>
    <n v="128"/>
    <n v="179"/>
    <n v="8"/>
    <n v="50"/>
    <n v="64"/>
    <m/>
    <m/>
    <s v="Dimensity 920"/>
    <x v="2"/>
    <n v="30"/>
    <n v="4200"/>
    <n v="6.44"/>
    <n v="499"/>
    <x v="0"/>
    <n v="0.17352157784934966"/>
    <n v="14.633950906252217"/>
    <n v="34.098788713771548"/>
    <x v="2"/>
  </r>
  <r>
    <x v="16"/>
    <x v="880"/>
    <n v="256"/>
    <n v="179"/>
    <n v="8"/>
    <n v="50"/>
    <n v="64"/>
    <m/>
    <m/>
    <s v="Dimensity 920"/>
    <x v="2"/>
    <n v="30"/>
    <n v="4200"/>
    <n v="6.44"/>
    <n v="549"/>
    <x v="0"/>
    <n v="0.17815635503493382"/>
    <n v="14.458875990959452"/>
    <n v="37.969756455707028"/>
    <x v="2"/>
  </r>
  <r>
    <x v="16"/>
    <x v="307"/>
    <n v="256"/>
    <n v="535"/>
    <n v="8"/>
    <n v="8"/>
    <n v="50"/>
    <m/>
    <m/>
    <s v="Dimensity 1200"/>
    <x v="2"/>
    <n v="38"/>
    <n v="8040"/>
    <n v="11"/>
    <n v="399"/>
    <x v="1"/>
    <n v="0.26488687325693655"/>
    <n v="9.2701230180415983"/>
    <n v="43.041500012832898"/>
    <x v="1"/>
  </r>
  <r>
    <x v="16"/>
    <x v="519"/>
    <n v="128"/>
    <n v="500"/>
    <n v="6"/>
    <n v="8"/>
    <n v="13"/>
    <m/>
    <m/>
    <s v="Snapdragon 750G"/>
    <x v="2"/>
    <n v="50"/>
    <n v="8040"/>
    <n v="11"/>
    <n v="349"/>
    <x v="1"/>
    <n v="0.26414093215719098"/>
    <n v="9.1114628318263442"/>
    <n v="38.303399403764544"/>
    <x v="1"/>
  </r>
  <r>
    <x v="17"/>
    <x v="881"/>
    <n v="64"/>
    <n v="195"/>
    <n v="4"/>
    <n v="8"/>
    <n v="50"/>
    <n v="2"/>
    <m/>
    <s v="Dimensity 700"/>
    <x v="1"/>
    <n v="18"/>
    <n v="5000"/>
    <n v="6.5"/>
    <n v="199"/>
    <x v="0"/>
    <n v="0.20610894166355184"/>
    <n v="10.733247110454002"/>
    <n v="18.540521610294181"/>
    <x v="0"/>
  </r>
  <r>
    <x v="17"/>
    <x v="882"/>
    <n v="128"/>
    <n v="195"/>
    <n v="6"/>
    <n v="8"/>
    <n v="50"/>
    <n v="2"/>
    <m/>
    <s v="Dimensity 700"/>
    <x v="1"/>
    <n v="18"/>
    <n v="5000"/>
    <n v="6.5"/>
    <n v="229"/>
    <x v="0"/>
    <n v="0.22174762105504175"/>
    <n v="10.188643181766242"/>
    <n v="22.476005481261925"/>
    <x v="0"/>
  </r>
  <r>
    <x v="17"/>
    <x v="883"/>
    <n v="256"/>
    <n v="210"/>
    <n v="12"/>
    <n v="32"/>
    <n v="50"/>
    <n v="50"/>
    <n v="50"/>
    <s v="Snapdragon 8 Elite"/>
    <x v="0"/>
    <n v="100"/>
    <n v="6100"/>
    <n v="6.73"/>
    <n v="799"/>
    <x v="0"/>
    <n v="0.20199497935511579"/>
    <n v="13.490916112895254"/>
    <n v="59.225036558953775"/>
    <x v="0"/>
  </r>
  <r>
    <x v="17"/>
    <x v="884"/>
    <n v="512"/>
    <n v="210"/>
    <n v="16"/>
    <n v="32"/>
    <n v="50"/>
    <n v="50"/>
    <n v="50"/>
    <s v="Snapdragon 8 Elite"/>
    <x v="0"/>
    <n v="100"/>
    <n v="6100"/>
    <n v="6.73"/>
    <n v="899"/>
    <x v="0"/>
    <n v="0.21895785885838684"/>
    <n v="12.667864699898734"/>
    <n v="70.96697204282475"/>
    <x v="0"/>
  </r>
  <r>
    <x v="17"/>
    <x v="885"/>
    <n v="128"/>
    <n v="210"/>
    <n v="16"/>
    <n v="32"/>
    <n v="50"/>
    <n v="50"/>
    <n v="50"/>
    <s v="Snapdragon 8 Elite"/>
    <x v="0"/>
    <n v="100"/>
    <n v="6100"/>
    <n v="6.73"/>
    <n v="999"/>
    <x v="0"/>
    <n v="0.16742481622619801"/>
    <n v="16.83119657861706"/>
    <n v="59.354068817018302"/>
    <x v="0"/>
  </r>
  <r>
    <x v="17"/>
    <x v="886"/>
    <n v="256"/>
    <n v="190"/>
    <n v="12"/>
    <n v="32"/>
    <n v="50"/>
    <n v="50"/>
    <m/>
    <s v="Snapdragon 8 Elite"/>
    <x v="0"/>
    <n v="100"/>
    <n v="5400"/>
    <n v="6.36"/>
    <n v="699"/>
    <x v="0"/>
    <n v="0.22047407798874538"/>
    <n v="12.114738418340245"/>
    <n v="57.698315544461011"/>
    <x v="0"/>
  </r>
  <r>
    <x v="17"/>
    <x v="887"/>
    <n v="512"/>
    <n v="190"/>
    <n v="16"/>
    <n v="32"/>
    <n v="50"/>
    <n v="50"/>
    <m/>
    <s v="Snapdragon 8 Elite"/>
    <x v="0"/>
    <n v="100"/>
    <n v="5400"/>
    <n v="6.36"/>
    <n v="799"/>
    <x v="0"/>
    <n v="0.23683534680336818"/>
    <n v="11.506294809821522"/>
    <n v="69.440251028331986"/>
    <x v="0"/>
  </r>
  <r>
    <x v="17"/>
    <x v="888"/>
    <n v="256"/>
    <n v="209"/>
    <n v="12"/>
    <n v="32"/>
    <n v="50"/>
    <n v="50"/>
    <n v="50"/>
    <s v="Dimensity 9300+"/>
    <x v="0"/>
    <n v="100"/>
    <n v="5000"/>
    <n v="6.67"/>
    <n v="635"/>
    <x v="0"/>
    <n v="0.23785925515864678"/>
    <n v="11.068684389076076"/>
    <n v="57.369058298084212"/>
    <x v="0"/>
  </r>
  <r>
    <x v="17"/>
    <x v="889"/>
    <n v="512"/>
    <n v="209"/>
    <n v="12"/>
    <n v="32"/>
    <n v="50"/>
    <n v="50"/>
    <n v="50"/>
    <s v="Dimensity 9300+"/>
    <x v="0"/>
    <n v="100"/>
    <n v="5000"/>
    <n v="6.67"/>
    <n v="791"/>
    <x v="0"/>
    <n v="0.22397745884498674"/>
    <n v="12.148486055195448"/>
    <n v="65.110993781955173"/>
    <x v="0"/>
  </r>
  <r>
    <x v="17"/>
    <x v="890"/>
    <n v="128"/>
    <n v="209"/>
    <n v="12"/>
    <n v="32"/>
    <n v="50"/>
    <n v="50"/>
    <n v="50"/>
    <s v="Dimensity 9300+"/>
    <x v="0"/>
    <n v="100"/>
    <n v="5000"/>
    <n v="6.67"/>
    <n v="899"/>
    <x v="0"/>
    <n v="0.16506026710732066"/>
    <n v="16.804338073645038"/>
    <n v="53.498090556148725"/>
    <x v="0"/>
  </r>
  <r>
    <x v="17"/>
    <x v="891"/>
    <n v="256"/>
    <n v="206"/>
    <n v="12"/>
    <n v="32"/>
    <n v="50"/>
    <n v="50"/>
    <n v="50"/>
    <s v="Snapdragon 8 Gen 3"/>
    <x v="0"/>
    <n v="100"/>
    <n v="5000"/>
    <n v="6.73"/>
    <n v="799"/>
    <x v="0"/>
    <n v="0.19587807972403523"/>
    <n v="13.912211746945632"/>
    <n v="57.431558298084212"/>
    <x v="1"/>
  </r>
  <r>
    <x v="17"/>
    <x v="892"/>
    <n v="512"/>
    <n v="206"/>
    <n v="12"/>
    <n v="32"/>
    <n v="50"/>
    <n v="50"/>
    <n v="50"/>
    <s v="Snapdragon 8 Gen 3"/>
    <x v="0"/>
    <n v="100"/>
    <n v="5000"/>
    <n v="6.73"/>
    <n v="899"/>
    <x v="0"/>
    <n v="0.20108295791746569"/>
    <n v="13.793951311060594"/>
    <n v="65.173493781955173"/>
    <x v="1"/>
  </r>
  <r>
    <x v="17"/>
    <x v="893"/>
    <n v="256"/>
    <n v="189"/>
    <n v="12"/>
    <n v="32"/>
    <n v="50"/>
    <n v="50"/>
    <m/>
    <s v="Snapdragon 8 Gen 3"/>
    <x v="0"/>
    <n v="100"/>
    <n v="4610"/>
    <n v="6.36"/>
    <n v="699"/>
    <x v="0"/>
    <n v="0.21555226709012132"/>
    <n v="12.391360197300415"/>
    <n v="56.41027206620015"/>
    <x v="1"/>
  </r>
  <r>
    <x v="17"/>
    <x v="894"/>
    <n v="512"/>
    <n v="189"/>
    <n v="12"/>
    <n v="32"/>
    <n v="50"/>
    <n v="50"/>
    <m/>
    <s v="Snapdragon 8 Gen 3"/>
    <x v="0"/>
    <n v="100"/>
    <n v="4610"/>
    <n v="6.36"/>
    <n v="799"/>
    <x v="0"/>
    <n v="0.21879976092142459"/>
    <n v="12.454754567508477"/>
    <n v="64.152207550071111"/>
    <x v="1"/>
  </r>
  <r>
    <x v="17"/>
    <x v="895"/>
    <n v="256"/>
    <n v="195"/>
    <n v="12"/>
    <n v="32"/>
    <n v="50"/>
    <n v="50"/>
    <m/>
    <s v="Dimensity 8300-Ultra"/>
    <x v="2"/>
    <n v="77"/>
    <n v="5000"/>
    <n v="6.67"/>
    <n v="599"/>
    <x v="0"/>
    <n v="0.22465099323829754"/>
    <n v="11.617312726783227"/>
    <n v="51.560977490003395"/>
    <x v="0"/>
  </r>
  <r>
    <x v="17"/>
    <x v="896"/>
    <n v="512"/>
    <n v="195"/>
    <n v="12"/>
    <n v="32"/>
    <n v="50"/>
    <n v="50"/>
    <m/>
    <s v="Dimensity 8300-Ultra"/>
    <x v="2"/>
    <n v="77"/>
    <n v="5000"/>
    <n v="6.67"/>
    <n v="699"/>
    <x v="0"/>
    <n v="0.22660548989314341"/>
    <n v="11.786942073282999"/>
    <n v="59.302912973874371"/>
    <x v="0"/>
  </r>
  <r>
    <x v="17"/>
    <x v="897"/>
    <n v="128"/>
    <n v="205"/>
    <n v="8"/>
    <n v="16"/>
    <n v="200"/>
    <n v="8"/>
    <n v="2"/>
    <s v="Snapdragon 7s Gen 3"/>
    <x v="2"/>
    <n v="58"/>
    <n v="5110"/>
    <n v="6.67"/>
    <n v="375"/>
    <x v="0"/>
    <n v="0.28548026227285539"/>
    <n v="8.5217463463529732"/>
    <n v="44.005064778827595"/>
    <x v="0"/>
  </r>
  <r>
    <x v="17"/>
    <x v="898"/>
    <n v="256"/>
    <n v="205"/>
    <n v="12"/>
    <n v="16"/>
    <n v="200"/>
    <n v="8"/>
    <n v="2"/>
    <s v="Snapdragon 7s Gen 3"/>
    <x v="2"/>
    <n v="58"/>
    <n v="5110"/>
    <n v="6.67"/>
    <n v="399"/>
    <x v="0"/>
    <n v="0.31925653258606473"/>
    <n v="7.6914131750592629"/>
    <n v="51.87603252076309"/>
    <x v="0"/>
  </r>
  <r>
    <x v="17"/>
    <x v="899"/>
    <n v="512"/>
    <n v="205"/>
    <n v="16"/>
    <n v="16"/>
    <n v="200"/>
    <n v="8"/>
    <n v="2"/>
    <s v="Snapdragon 7s Gen 3"/>
    <x v="2"/>
    <n v="58"/>
    <n v="5110"/>
    <n v="6.67"/>
    <n v="429"/>
    <x v="0"/>
    <n v="0.36812142542406706"/>
    <n v="6.7433779080895961"/>
    <n v="63.617968004634051"/>
    <x v="0"/>
  </r>
  <r>
    <x v="17"/>
    <x v="900"/>
    <n v="128"/>
    <n v="195"/>
    <n v="8"/>
    <n v="16"/>
    <n v="108"/>
    <n v="8"/>
    <n v="2"/>
    <s v="Dimensity 7300-Ultra"/>
    <x v="2"/>
    <n v="57"/>
    <n v="5500"/>
    <n v="6.67"/>
    <n v="349"/>
    <x v="0"/>
    <n v="0.27356820922662273"/>
    <n v="8.7974779398453471"/>
    <n v="39.670460373571011"/>
    <x v="0"/>
  </r>
  <r>
    <x v="17"/>
    <x v="901"/>
    <n v="256"/>
    <n v="195"/>
    <n v="12"/>
    <n v="16"/>
    <n v="108"/>
    <n v="8"/>
    <n v="2"/>
    <s v="Dimensity 7300-Ultra"/>
    <x v="2"/>
    <n v="57"/>
    <n v="5500"/>
    <n v="6.67"/>
    <n v="379"/>
    <x v="0"/>
    <n v="0.305653163481862"/>
    <n v="7.9719944272431782"/>
    <n v="47.541428115506505"/>
    <x v="0"/>
  </r>
  <r>
    <x v="17"/>
    <x v="902"/>
    <n v="128"/>
    <n v="190"/>
    <n v="6"/>
    <n v="16"/>
    <n v="108"/>
    <n v="8"/>
    <n v="2"/>
    <s v="Snapdragon 732G"/>
    <x v="2"/>
    <n v="48"/>
    <n v="5000"/>
    <n v="6.67"/>
    <n v="299"/>
    <x v="0"/>
    <n v="0.27197943848390554"/>
    <n v="8.6459875421244305"/>
    <n v="34.582515709539393"/>
    <x v="0"/>
  </r>
  <r>
    <x v="17"/>
    <x v="903"/>
    <n v="256"/>
    <n v="190"/>
    <n v="8"/>
    <n v="16"/>
    <n v="108"/>
    <n v="8"/>
    <n v="2"/>
    <s v="Snapdragon 732G"/>
    <x v="2"/>
    <n v="48"/>
    <n v="5000"/>
    <n v="6.67"/>
    <n v="329"/>
    <x v="0"/>
    <n v="0.29331847030145974"/>
    <n v="8.1327977699286382"/>
    <n v="40.453483451474881"/>
    <x v="0"/>
  </r>
  <r>
    <x v="17"/>
    <x v="904"/>
    <n v="128"/>
    <n v="185"/>
    <n v="6"/>
    <n v="16"/>
    <n v="50"/>
    <n v="8"/>
    <n v="2"/>
    <s v="Dimensity 7025-Ultra"/>
    <x v="2"/>
    <n v="47"/>
    <n v="5000"/>
    <n v="6.67"/>
    <n v="279"/>
    <x v="0"/>
    <n v="0.26154834653447601"/>
    <n v="8.8979231738430471"/>
    <n v="31.355631482655163"/>
    <x v="0"/>
  </r>
  <r>
    <x v="17"/>
    <x v="905"/>
    <n v="256"/>
    <n v="185"/>
    <n v="8"/>
    <n v="16"/>
    <n v="50"/>
    <n v="8"/>
    <n v="2"/>
    <s v="Dimensity 7025-Ultra"/>
    <x v="2"/>
    <n v="47"/>
    <n v="5000"/>
    <n v="6.67"/>
    <n v="309"/>
    <x v="0"/>
    <n v="0.28470077951508271"/>
    <n v="8.3005164703813428"/>
    <n v="37.22659922459065"/>
    <x v="0"/>
  </r>
  <r>
    <x v="17"/>
    <x v="906"/>
    <n v="128"/>
    <n v="180"/>
    <n v="4"/>
    <n v="16"/>
    <n v="50"/>
    <n v="8"/>
    <n v="2"/>
    <s v="Snapdragon 680"/>
    <x v="2"/>
    <n v="32"/>
    <n v="5000"/>
    <n v="6.67"/>
    <n v="249"/>
    <x v="0"/>
    <n v="0.23492168753486237"/>
    <n v="9.73883011825564"/>
    <n v="25.567752694776381"/>
    <x v="0"/>
  </r>
  <r>
    <x v="17"/>
    <x v="907"/>
    <n v="256"/>
    <n v="180"/>
    <n v="6"/>
    <n v="16"/>
    <n v="50"/>
    <n v="8"/>
    <n v="2"/>
    <s v="Snapdragon 680"/>
    <x v="2"/>
    <n v="32"/>
    <n v="5000"/>
    <n v="6.67"/>
    <n v="279"/>
    <x v="0"/>
    <n v="0.2622414207135379"/>
    <n v="8.8744069772701053"/>
    <n v="31.43872043671186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F0370-E363-4701-92E8-3B474B7184ED}" name="PivotTable9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3:B14" firstHeaderRow="1" firstDataRow="1" firstDataCol="1" rowPageCount="1" colPageCount="1"/>
  <pivotFields count="20">
    <pivotField axis="axisRow" showAll="0" measureFilter="1" sortType="ascending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12">
        <item x="10"/>
        <item x="9"/>
        <item x="6"/>
        <item x="7"/>
        <item x="5"/>
        <item x="4"/>
        <item x="3"/>
        <item x="2"/>
        <item x="1"/>
        <item x="0"/>
        <item x="8"/>
        <item t="default"/>
      </items>
    </pivotField>
  </pivotFields>
  <rowFields count="2">
    <field x="0"/>
    <field x="10"/>
  </rowFields>
  <rowItems count="11">
    <i>
      <x v="5"/>
    </i>
    <i>
      <x v="12"/>
    </i>
    <i>
      <x v="4"/>
    </i>
    <i>
      <x v="11"/>
    </i>
    <i>
      <x v="17"/>
    </i>
    <i>
      <x v="8"/>
    </i>
    <i>
      <x v="6"/>
    </i>
    <i>
      <x v="10"/>
    </i>
    <i>
      <x v="15"/>
    </i>
    <i>
      <x v="7"/>
    </i>
    <i t="grand">
      <x/>
    </i>
  </rowItems>
  <colItems count="1">
    <i/>
  </colItems>
  <pageFields count="1">
    <pageField fld="19" hier="-1"/>
  </pageFields>
  <dataFields count="1">
    <dataField name="Average of Price-to-Specs Ratio" fld="17" subtotal="average" baseField="0" baseItem="0" numFmtId="164"/>
  </dataFields>
  <chartFormats count="5"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6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6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903D72-B560-45D8-BEE9-DA8F7150E014}" name="PivotTable15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6:B17" firstHeaderRow="1" firstDataRow="1" firstDataCol="1" rowPageCount="3" colPageCount="1"/>
  <pivotFields count="20">
    <pivotField axis="axisPage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 measureFilter="1" sortType="descending">
      <items count="909">
        <item x="180"/>
        <item x="597"/>
        <item x="598"/>
        <item x="643"/>
        <item x="644"/>
        <item x="645"/>
        <item x="646"/>
        <item x="641"/>
        <item x="642"/>
        <item x="637"/>
        <item x="638"/>
        <item x="635"/>
        <item x="636"/>
        <item x="639"/>
        <item x="640"/>
        <item x="175"/>
        <item x="142"/>
        <item x="143"/>
        <item x="176"/>
        <item x="182"/>
        <item x="183"/>
        <item x="184"/>
        <item x="187"/>
        <item x="188"/>
        <item x="189"/>
        <item x="193"/>
        <item x="194"/>
        <item x="152"/>
        <item x="196"/>
        <item x="157"/>
        <item x="197"/>
        <item x="198"/>
        <item x="162"/>
        <item x="199"/>
        <item x="174"/>
        <item x="456"/>
        <item x="453"/>
        <item x="457"/>
        <item x="458"/>
        <item x="454"/>
        <item x="455"/>
        <item x="470"/>
        <item x="471"/>
        <item x="469"/>
        <item x="507"/>
        <item x="508"/>
        <item x="468"/>
        <item x="467"/>
        <item x="466"/>
        <item x="465"/>
        <item x="464"/>
        <item x="463"/>
        <item x="462"/>
        <item x="548"/>
        <item x="461"/>
        <item x="459"/>
        <item x="460"/>
        <item x="315"/>
        <item x="509"/>
        <item x="510"/>
        <item x="452"/>
        <item x="394"/>
        <item x="393"/>
        <item x="390"/>
        <item x="389"/>
        <item x="610"/>
        <item x="611"/>
        <item x="606"/>
        <item x="609"/>
        <item x="655"/>
        <item x="656"/>
        <item x="572"/>
        <item x="607"/>
        <item x="608"/>
        <item x="604"/>
        <item x="605"/>
        <item x="782"/>
        <item x="796"/>
        <item x="781"/>
        <item x="797"/>
        <item x="780"/>
        <item x="795"/>
        <item x="787"/>
        <item x="773"/>
        <item x="793"/>
        <item x="786"/>
        <item x="792"/>
        <item x="788"/>
        <item x="785"/>
        <item x="378"/>
        <item x="355"/>
        <item x="356"/>
        <item x="380"/>
        <item x="381"/>
        <item x="373"/>
        <item x="374"/>
        <item x="357"/>
        <item x="358"/>
        <item x="365"/>
        <item x="366"/>
        <item x="369"/>
        <item x="370"/>
        <item x="359"/>
        <item x="360"/>
        <item x="354"/>
        <item x="379"/>
        <item x="573"/>
        <item x="517"/>
        <item x="518"/>
        <item x="513"/>
        <item x="514"/>
        <item x="515"/>
        <item x="516"/>
        <item x="574"/>
        <item x="583"/>
        <item x="575"/>
        <item x="576"/>
        <item x="587"/>
        <item x="577"/>
        <item x="578"/>
        <item x="579"/>
        <item x="494"/>
        <item x="492"/>
        <item x="493"/>
        <item x="473"/>
        <item x="474"/>
        <item x="491"/>
        <item x="489"/>
        <item x="490"/>
        <item x="487"/>
        <item x="488"/>
        <item x="485"/>
        <item x="486"/>
        <item x="483"/>
        <item x="484"/>
        <item x="481"/>
        <item x="482"/>
        <item x="476"/>
        <item x="475"/>
        <item x="388"/>
        <item x="387"/>
        <item x="392"/>
        <item x="391"/>
        <item x="395"/>
        <item x="386"/>
        <item x="361"/>
        <item x="362"/>
        <item x="732"/>
        <item x="731"/>
        <item x="729"/>
        <item x="730"/>
        <item x="663"/>
        <item x="664"/>
        <item x="727"/>
        <item x="728"/>
        <item x="725"/>
        <item x="726"/>
        <item x="673"/>
        <item x="672"/>
        <item x="671"/>
        <item x="743"/>
        <item x="744"/>
        <item x="741"/>
        <item x="742"/>
        <item x="739"/>
        <item x="740"/>
        <item x="670"/>
        <item x="669"/>
        <item x="668"/>
        <item x="667"/>
        <item x="666"/>
        <item x="665"/>
        <item x="737"/>
        <item x="738"/>
        <item x="735"/>
        <item x="736"/>
        <item x="733"/>
        <item x="734"/>
        <item x="712"/>
        <item x="711"/>
        <item x="709"/>
        <item x="710"/>
        <item x="707"/>
        <item x="708"/>
        <item x="705"/>
        <item x="706"/>
        <item x="695"/>
        <item x="696"/>
        <item x="691"/>
        <item x="692"/>
        <item x="693"/>
        <item x="694"/>
        <item x="689"/>
        <item x="690"/>
        <item x="685"/>
        <item x="686"/>
        <item x="687"/>
        <item x="688"/>
        <item x="683"/>
        <item x="684"/>
        <item x="679"/>
        <item x="680"/>
        <item x="681"/>
        <item x="682"/>
        <item x="676"/>
        <item x="675"/>
        <item x="674"/>
        <item x="748"/>
        <item x="721"/>
        <item x="750"/>
        <item x="749"/>
        <item x="677"/>
        <item x="678"/>
        <item x="720"/>
        <item x="718"/>
        <item x="719"/>
        <item x="717"/>
        <item x="747"/>
        <item x="715"/>
        <item x="716"/>
        <item x="714"/>
        <item x="713"/>
        <item x="746"/>
        <item x="745"/>
        <item x="703"/>
        <item x="704"/>
        <item x="699"/>
        <item x="700"/>
        <item x="701"/>
        <item x="702"/>
        <item x="697"/>
        <item x="698"/>
        <item x="724"/>
        <item x="722"/>
        <item x="723"/>
        <item x="304"/>
        <item x="294"/>
        <item x="626"/>
        <item x="627"/>
        <item x="628"/>
        <item x="633"/>
        <item x="634"/>
        <item x="629"/>
        <item x="630"/>
        <item x="624"/>
        <item x="625"/>
        <item x="285"/>
        <item x="276"/>
        <item x="277"/>
        <item x="274"/>
        <item x="275"/>
        <item x="273"/>
        <item x="278"/>
        <item x="279"/>
        <item x="280"/>
        <item x="265"/>
        <item x="266"/>
        <item x="267"/>
        <item x="268"/>
        <item x="269"/>
        <item x="305"/>
        <item x="270"/>
        <item x="272"/>
        <item x="271"/>
        <item x="261"/>
        <item x="301"/>
        <item x="264"/>
        <item x="262"/>
        <item x="263"/>
        <item x="257"/>
        <item x="259"/>
        <item x="258"/>
        <item x="253"/>
        <item x="293"/>
        <item x="255"/>
        <item x="289"/>
        <item x="254"/>
        <item x="83"/>
        <item x="82"/>
        <item x="81"/>
        <item x="80"/>
        <item x="85"/>
        <item x="84"/>
        <item x="86"/>
        <item x="87"/>
        <item x="88"/>
        <item x="89"/>
        <item x="90"/>
        <item x="91"/>
        <item x="92"/>
        <item x="95"/>
        <item x="93"/>
        <item x="96"/>
        <item x="94"/>
        <item x="61"/>
        <item x="62"/>
        <item x="60"/>
        <item x="64"/>
        <item x="65"/>
        <item x="63"/>
        <item x="67"/>
        <item x="68"/>
        <item x="66"/>
        <item x="52"/>
        <item x="53"/>
        <item x="51"/>
        <item x="49"/>
        <item x="50"/>
        <item x="48"/>
        <item x="54"/>
        <item x="55"/>
        <item x="56"/>
        <item x="57"/>
        <item x="58"/>
        <item x="59"/>
        <item x="39"/>
        <item x="40"/>
        <item x="41"/>
        <item x="36"/>
        <item x="37"/>
        <item x="38"/>
        <item x="42"/>
        <item x="43"/>
        <item x="44"/>
        <item x="45"/>
        <item x="46"/>
        <item x="4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70"/>
        <item x="69"/>
        <item x="78"/>
        <item x="79"/>
        <item x="77"/>
        <item x="72"/>
        <item x="73"/>
        <item x="71"/>
        <item x="75"/>
        <item x="76"/>
        <item x="74"/>
        <item x="848"/>
        <item x="553"/>
        <item x="564"/>
        <item x="317"/>
        <item x="316"/>
        <item x="314"/>
        <item x="551"/>
        <item x="552"/>
        <item x="562"/>
        <item x="563"/>
        <item x="549"/>
        <item x="550"/>
        <item x="511"/>
        <item x="512"/>
        <item x="312"/>
        <item x="313"/>
        <item x="311"/>
        <item x="310"/>
        <item x="309"/>
        <item x="560"/>
        <item x="561"/>
        <item x="472"/>
        <item x="558"/>
        <item x="559"/>
        <item x="556"/>
        <item x="557"/>
        <item x="554"/>
        <item x="555"/>
        <item x="319"/>
        <item x="320"/>
        <item x="321"/>
        <item x="580"/>
        <item x="565"/>
        <item x="566"/>
        <item x="567"/>
        <item x="585"/>
        <item x="568"/>
        <item x="569"/>
        <item x="570"/>
        <item x="571"/>
        <item x="594"/>
        <item x="151"/>
        <item x="161"/>
        <item x="166"/>
        <item x="156"/>
        <item x="145"/>
        <item x="146"/>
        <item x="147"/>
        <item x="148"/>
        <item x="149"/>
        <item x="150"/>
        <item x="153"/>
        <item x="154"/>
        <item x="155"/>
        <item x="158"/>
        <item x="159"/>
        <item x="160"/>
        <item x="163"/>
        <item x="164"/>
        <item x="165"/>
        <item x="168"/>
        <item x="169"/>
        <item x="172"/>
        <item x="241"/>
        <item x="214"/>
        <item x="215"/>
        <item x="220"/>
        <item x="221"/>
        <item x="222"/>
        <item x="227"/>
        <item x="228"/>
        <item x="229"/>
        <item x="212"/>
        <item x="219"/>
        <item x="230"/>
        <item x="213"/>
        <item x="233"/>
        <item x="234"/>
        <item x="239"/>
        <item x="240"/>
        <item x="761"/>
        <item x="763"/>
        <item x="341"/>
        <item x="340"/>
        <item x="348"/>
        <item x="347"/>
        <item x="346"/>
        <item x="327"/>
        <item x="326"/>
        <item x="330"/>
        <item x="331"/>
        <item x="329"/>
        <item x="328"/>
        <item x="325"/>
        <item x="342"/>
        <item x="343"/>
        <item x="324"/>
        <item x="349"/>
        <item x="385"/>
        <item x="334"/>
        <item x="335"/>
        <item x="384"/>
        <item x="336"/>
        <item x="337"/>
        <item x="371"/>
        <item x="372"/>
        <item x="344"/>
        <item x="345"/>
        <item x="332"/>
        <item x="333"/>
        <item x="382"/>
        <item x="383"/>
        <item x="338"/>
        <item x="339"/>
        <item x="367"/>
        <item x="368"/>
        <item x="353"/>
        <item x="654"/>
        <item x="652"/>
        <item x="653"/>
        <item x="601"/>
        <item x="602"/>
        <item x="603"/>
        <item x="659"/>
        <item x="660"/>
        <item x="260"/>
        <item x="296"/>
        <item x="300"/>
        <item x="290"/>
        <item x="291"/>
        <item x="256"/>
        <item x="295"/>
        <item x="613"/>
        <item x="657"/>
        <item x="658"/>
        <item x="612"/>
        <item x="283"/>
        <item x="282"/>
        <item x="245"/>
        <item x="246"/>
        <item x="247"/>
        <item x="248"/>
        <item x="249"/>
        <item x="250"/>
        <item x="231"/>
        <item x="232"/>
        <item x="235"/>
        <item x="236"/>
        <item x="237"/>
        <item x="238"/>
        <item x="242"/>
        <item x="243"/>
        <item x="363"/>
        <item x="364"/>
        <item x="407"/>
        <item x="448"/>
        <item x="408"/>
        <item x="415"/>
        <item x="403"/>
        <item x="411"/>
        <item x="404"/>
        <item x="424"/>
        <item x="401"/>
        <item x="402"/>
        <item x="434"/>
        <item x="433"/>
        <item x="423"/>
        <item x="432"/>
        <item x="431"/>
        <item x="427"/>
        <item x="422"/>
        <item x="426"/>
        <item x="421"/>
        <item x="425"/>
        <item x="420"/>
        <item x="430"/>
        <item x="418"/>
        <item x="417"/>
        <item x="428"/>
        <item x="419"/>
        <item x="414"/>
        <item x="412"/>
        <item x="429"/>
        <item x="410"/>
        <item x="409"/>
        <item x="416"/>
        <item x="413"/>
        <item x="444"/>
        <item x="441"/>
        <item x="446"/>
        <item x="440"/>
        <item x="405"/>
        <item x="443"/>
        <item x="442"/>
        <item x="438"/>
        <item x="439"/>
        <item x="445"/>
        <item x="447"/>
        <item x="400"/>
        <item x="399"/>
        <item x="398"/>
        <item x="397"/>
        <item x="449"/>
        <item x="406"/>
        <item x="435"/>
        <item x="436"/>
        <item x="437"/>
        <item x="599"/>
        <item x="600"/>
        <item x="650"/>
        <item x="651"/>
        <item x="647"/>
        <item x="648"/>
        <item x="631"/>
        <item x="632"/>
        <item x="649"/>
        <item x="209"/>
        <item x="211"/>
        <item x="210"/>
        <item x="244"/>
        <item x="216"/>
        <item x="218"/>
        <item x="217"/>
        <item x="306"/>
        <item x="615"/>
        <item x="307"/>
        <item x="617"/>
        <item x="616"/>
        <item x="308"/>
        <item x="519"/>
        <item x="520"/>
        <item x="477"/>
        <item x="478"/>
        <item x="858"/>
        <item x="595"/>
        <item x="596"/>
        <item x="133"/>
        <item x="614"/>
        <item x="135"/>
        <item x="202"/>
        <item x="138"/>
        <item x="204"/>
        <item x="857"/>
        <item x="171"/>
        <item x="618"/>
        <item x="619"/>
        <item x="479"/>
        <item x="480"/>
        <item x="621"/>
        <item x="620"/>
        <item x="173"/>
        <item x="203"/>
        <item x="167"/>
        <item x="170"/>
        <item x="662"/>
        <item x="661"/>
        <item x="207"/>
        <item x="208"/>
        <item x="134"/>
        <item x="136"/>
        <item x="137"/>
        <item x="139"/>
        <item x="140"/>
        <item x="141"/>
        <item x="205"/>
        <item x="206"/>
        <item x="789"/>
        <item x="784"/>
        <item x="97"/>
        <item x="98"/>
        <item x="99"/>
        <item x="100"/>
        <item x="114"/>
        <item x="115"/>
        <item x="116"/>
        <item x="117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3"/>
        <item x="112"/>
        <item x="179"/>
        <item x="144"/>
        <item x="186"/>
        <item x="119"/>
        <item x="120"/>
        <item x="121"/>
        <item x="123"/>
        <item x="124"/>
        <item x="127"/>
        <item x="128"/>
        <item x="131"/>
        <item x="132"/>
        <item x="779"/>
        <item x="762"/>
        <item x="766"/>
        <item x="783"/>
        <item x="798"/>
        <item x="772"/>
        <item x="790"/>
        <item x="794"/>
        <item x="223"/>
        <item x="224"/>
        <item x="225"/>
        <item x="226"/>
        <item x="350"/>
        <item x="351"/>
        <item x="375"/>
        <item x="352"/>
        <item x="882"/>
        <item x="881"/>
        <item x="906"/>
        <item x="907"/>
        <item x="904"/>
        <item x="905"/>
        <item x="902"/>
        <item x="903"/>
        <item x="900"/>
        <item x="901"/>
        <item x="897"/>
        <item x="898"/>
        <item x="899"/>
        <item x="521"/>
        <item x="522"/>
        <item x="523"/>
        <item x="495"/>
        <item x="505"/>
        <item x="506"/>
        <item x="504"/>
        <item x="502"/>
        <item x="501"/>
        <item x="503"/>
        <item x="500"/>
        <item x="451"/>
        <item x="450"/>
        <item x="499"/>
        <item x="545"/>
        <item x="546"/>
        <item x="547"/>
        <item x="542"/>
        <item x="543"/>
        <item x="544"/>
        <item x="538"/>
        <item x="539"/>
        <item x="540"/>
        <item x="541"/>
        <item x="498"/>
        <item x="534"/>
        <item x="535"/>
        <item x="536"/>
        <item x="537"/>
        <item x="497"/>
        <item x="531"/>
        <item x="532"/>
        <item x="533"/>
        <item x="527"/>
        <item x="528"/>
        <item x="529"/>
        <item x="530"/>
        <item x="524"/>
        <item x="525"/>
        <item x="526"/>
        <item x="496"/>
        <item x="815"/>
        <item x="816"/>
        <item x="847"/>
        <item x="376"/>
        <item x="377"/>
        <item x="287"/>
        <item x="281"/>
        <item x="776"/>
        <item x="775"/>
        <item x="791"/>
        <item x="774"/>
        <item x="777"/>
        <item x="771"/>
        <item x="768"/>
        <item x="765"/>
        <item x="767"/>
        <item x="769"/>
        <item x="764"/>
        <item x="770"/>
        <item x="760"/>
        <item x="778"/>
        <item x="867"/>
        <item x="868"/>
        <item x="877"/>
        <item x="878"/>
        <item x="396"/>
        <item x="846"/>
        <item x="200"/>
        <item x="201"/>
        <item x="623"/>
        <item x="622"/>
        <item x="819"/>
        <item x="820"/>
        <item x="837"/>
        <item x="838"/>
        <item x="811"/>
        <item x="812"/>
        <item x="809"/>
        <item x="810"/>
        <item x="863"/>
        <item x="864"/>
        <item x="879"/>
        <item x="880"/>
        <item x="829"/>
        <item x="830"/>
        <item x="873"/>
        <item x="874"/>
        <item x="869"/>
        <item x="870"/>
        <item x="871"/>
        <item x="872"/>
        <item x="806"/>
        <item x="862"/>
        <item x="181"/>
        <item x="859"/>
        <item x="804"/>
        <item x="800"/>
        <item x="177"/>
        <item x="178"/>
        <item x="185"/>
        <item x="118"/>
        <item x="841"/>
        <item x="842"/>
        <item x="843"/>
        <item x="844"/>
        <item x="845"/>
        <item x="827"/>
        <item x="828"/>
        <item x="821"/>
        <item x="822"/>
        <item x="584"/>
        <item x="581"/>
        <item x="582"/>
        <item x="190"/>
        <item x="192"/>
        <item x="851"/>
        <item x="852"/>
        <item x="191"/>
        <item x="807"/>
        <item x="586"/>
        <item x="195"/>
        <item x="122"/>
        <item x="588"/>
        <item x="589"/>
        <item x="125"/>
        <item x="126"/>
        <item x="803"/>
        <item x="590"/>
        <item x="591"/>
        <item x="129"/>
        <item x="849"/>
        <item x="850"/>
        <item x="130"/>
        <item x="592"/>
        <item x="593"/>
        <item x="865"/>
        <item x="866"/>
        <item x="855"/>
        <item x="856"/>
        <item x="801"/>
        <item x="853"/>
        <item x="854"/>
        <item x="893"/>
        <item x="894"/>
        <item x="891"/>
        <item x="892"/>
        <item x="895"/>
        <item x="896"/>
        <item x="890"/>
        <item x="888"/>
        <item x="889"/>
        <item x="886"/>
        <item x="887"/>
        <item x="885"/>
        <item x="883"/>
        <item x="884"/>
        <item x="251"/>
        <item x="292"/>
        <item x="252"/>
        <item x="288"/>
        <item x="751"/>
        <item x="753"/>
        <item x="755"/>
        <item x="757"/>
        <item x="758"/>
        <item x="759"/>
        <item x="752"/>
        <item x="754"/>
        <item x="756"/>
        <item x="875"/>
        <item x="876"/>
        <item x="861"/>
        <item x="817"/>
        <item x="818"/>
        <item x="814"/>
        <item x="813"/>
        <item x="860"/>
        <item x="839"/>
        <item x="840"/>
        <item x="823"/>
        <item x="824"/>
        <item x="831"/>
        <item x="832"/>
        <item x="835"/>
        <item x="836"/>
        <item x="808"/>
        <item x="833"/>
        <item x="834"/>
        <item x="802"/>
        <item x="805"/>
        <item x="826"/>
        <item x="825"/>
        <item x="799"/>
        <item x="318"/>
        <item x="322"/>
        <item x="323"/>
        <item x="302"/>
        <item x="303"/>
        <item x="297"/>
        <item x="298"/>
        <item x="286"/>
        <item x="284"/>
        <item x="2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dataField="1" showAll="0"/>
    <pivotField showAll="0"/>
    <pivotField axis="axisPage" multipleItemSelectionAllowed="1" showAll="0">
      <items count="12">
        <item x="10"/>
        <item x="9"/>
        <item x="6"/>
        <item x="7"/>
        <item x="5"/>
        <item x="4"/>
        <item x="3"/>
        <item x="2"/>
        <item x="1"/>
        <item x="0"/>
        <item x="8"/>
        <item t="default"/>
      </items>
    </pivotField>
  </pivotFields>
  <rowFields count="1">
    <field x="1"/>
  </rowFields>
  <rowItems count="11">
    <i>
      <x v="6"/>
    </i>
    <i>
      <x v="69"/>
    </i>
    <i>
      <x v="616"/>
    </i>
    <i>
      <x v="239"/>
    </i>
    <i>
      <x v="376"/>
    </i>
    <i>
      <x v="586"/>
    </i>
    <i>
      <x v="589"/>
    </i>
    <i>
      <x v="384"/>
    </i>
    <i>
      <x v="70"/>
    </i>
    <i>
      <x v="385"/>
    </i>
    <i t="grand">
      <x/>
    </i>
  </rowItems>
  <colItems count="1">
    <i/>
  </colItems>
  <pageFields count="3">
    <pageField fld="19" hier="-1"/>
    <pageField fld="15" hier="-1"/>
    <pageField fld="0" hier="-1"/>
  </pageFields>
  <dataFields count="1">
    <dataField name="Average of Price-to-Specs Ratio" fld="17" subtotal="average" baseField="1" baseItem="38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FD186-4FF3-4BD1-8400-4D6C81139F4A}" name="PivotTable1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3:B7" firstHeaderRow="1" firstDataRow="1" firstDataCol="1" rowPageCount="1" colPageCount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12">
        <item h="1" x="10"/>
        <item h="1" x="9"/>
        <item h="1" x="6"/>
        <item h="1" x="7"/>
        <item h="1" x="5"/>
        <item h="1" x="4"/>
        <item h="1" x="3"/>
        <item h="1" x="2"/>
        <item h="1" x="1"/>
        <item x="0"/>
        <item h="1" x="8"/>
        <item t="default"/>
      </items>
    </pivotField>
  </pivotFields>
  <rowFields count="1">
    <field x="10"/>
  </rowFields>
  <rowItems count="4">
    <i>
      <x v="1"/>
    </i>
    <i>
      <x v="2"/>
    </i>
    <i>
      <x/>
    </i>
    <i t="grand">
      <x/>
    </i>
  </rowItems>
  <colItems count="1">
    <i/>
  </colItems>
  <pageFields count="1">
    <pageField fld="19" hier="-1"/>
  </pageFields>
  <dataFields count="1">
    <dataField name="Average of Price-to-Specs Ratio" fld="17" subtotal="average" baseField="0" baseItem="1" numFmtId="16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8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8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9C7AF-7A4F-4CAD-96B5-7EBA8CF8C088}" name="PivotTable5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29:E42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2">
        <item x="10"/>
        <item x="9"/>
        <item x="6"/>
        <item x="7"/>
        <item x="5"/>
        <item x="4"/>
        <item x="3"/>
        <item x="2"/>
        <item x="1"/>
        <item x="0"/>
        <item x="8"/>
        <item t="default"/>
      </items>
    </pivotField>
  </pivotFields>
  <rowFields count="1">
    <field x="1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Average of Launched Price (USA)" fld="14" subtotal="average" baseField="22" baseItem="0" numFmtId="164"/>
  </dataFields>
  <chartFormats count="6"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6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6" format="2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6" format="2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230B7-5D93-4864-95FA-F7F1C7684C49}" name="PivotTable3" cacheId="18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9">
  <location ref="A15:E28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2">
        <item x="10"/>
        <item x="9"/>
        <item x="6"/>
        <item x="7"/>
        <item x="5"/>
        <item x="4"/>
        <item x="3"/>
        <item x="2"/>
        <item x="1"/>
        <item x="0"/>
        <item x="8"/>
        <item t="default"/>
      </items>
    </pivotField>
  </pivotFields>
  <rowFields count="1">
    <field x="1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Average of Specs Score" fld="18" subtotal="average" baseField="22" baseItem="0" numFmtId="2"/>
  </dataFields>
  <chartFormats count="6"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6" format="2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6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6" format="2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B05BB-34C9-41DE-BBA7-A4F85EB51816}" name="PivotTable2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1:E14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2">
        <item x="10"/>
        <item x="9"/>
        <item x="6"/>
        <item x="7"/>
        <item x="5"/>
        <item x="4"/>
        <item x="3"/>
        <item x="2"/>
        <item x="1"/>
        <item x="0"/>
        <item x="8"/>
        <item t="default"/>
      </items>
    </pivotField>
  </pivotFields>
  <rowFields count="1">
    <field x="1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Average of Price-to-Specs Ratio" fld="17" subtotal="average" baseField="22" baseItem="0" numFmtId="164"/>
  </dataFields>
  <chartFormats count="6"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4" format="3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4" format="3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4" format="3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C4CD82-EC2B-4E49-8730-432E4B755C30}" name="Table2_1" displayName="Table2_1" ref="A1:T931" totalsRowShown="0" dataDxfId="3">
  <autoFilter ref="A1:T931" xr:uid="{ABC4CD82-EC2B-4E49-8730-432E4B755C30}"/>
  <sortState xmlns:xlrd2="http://schemas.microsoft.com/office/spreadsheetml/2017/richdata2" ref="A2:T931">
    <sortCondition ref="A1:A931"/>
  </sortState>
  <tableColumns count="20">
    <tableColumn id="1" xr3:uid="{B0574D99-4AF3-4A87-A2C3-1C9CCBA496C4}" name="Company Name" dataDxfId="20"/>
    <tableColumn id="2" xr3:uid="{4F29D5E6-10E6-402D-8D4A-5061B037B4B4}" name="Model Name" dataDxfId="19"/>
    <tableColumn id="24" xr3:uid="{CDAABFC1-2434-462E-B080-CEE7BB3061C9}" name="Storage" dataDxfId="2">
      <calculatedColumnFormula>IF(ISNUMBER(SEARCH("GB", Table2_1[[#This Row],[Model Name]])), IFERROR(VALUE(TRIM(RIGHT(SUBSTITUTE(LEFT(Table2_1[[#This Row],[Model Name]], SEARCH("GB", Table2_1[[#This Row],[Model Name]])-1), " ", REPT(" ", 100)), 100))), 128), 128)</calculatedColumnFormula>
    </tableColumn>
    <tableColumn id="3" xr3:uid="{6D7E5939-1216-489A-947D-FFA99F8B8946}" name="Mobile Weight" dataDxfId="18"/>
    <tableColumn id="4" xr3:uid="{3ACBCF5F-B55C-4B5D-8A5C-C53E3C34364B}" name="RAM" dataDxfId="17"/>
    <tableColumn id="5" xr3:uid="{C0C4FDF2-A6D0-4FB0-BF26-E34A128BAD4C}" name="Front Camera" dataDxfId="16"/>
    <tableColumn id="6" xr3:uid="{A2703E04-E858-4561-8720-88C33AD2D5B9}" name="Back Camera main" dataDxfId="15"/>
    <tableColumn id="7" xr3:uid="{1EC4893B-143E-4E32-9E7D-F67E94840217}" name="Back Camera Wide" dataDxfId="14"/>
    <tableColumn id="8" xr3:uid="{D859BAE7-62AE-4D3E-9C21-E7F05D525DFA}" name="Back Camera telephoto" dataDxfId="13"/>
    <tableColumn id="9" xr3:uid="{AD09285C-6E6F-4FB9-88B2-0D55320CA9A9}" name="Processor" dataDxfId="12"/>
    <tableColumn id="10" xr3:uid="{3C1DA20C-2BB6-4B62-80D2-0CF424E03FAB}" name="Tier" dataDxfId="11"/>
    <tableColumn id="11" xr3:uid="{73CB7D24-71D5-4A12-B121-1BB7EC369012}" name="Tier Score" dataDxfId="10"/>
    <tableColumn id="12" xr3:uid="{81FB3C83-4BD1-4162-826E-8C1A60D86788}" name="Battery Capacity" dataDxfId="9"/>
    <tableColumn id="13" xr3:uid="{052BBFF8-E16C-4491-8629-27E2A3CF2798}" name="Screen Size" dataDxfId="8"/>
    <tableColumn id="17" xr3:uid="{DD7BD734-8291-44F5-B971-002A6558E2F5}" name="Launched Price (USA)" dataDxfId="7"/>
    <tableColumn id="19" xr3:uid="{0CE7A7E4-A246-472D-98F7-DDB590643AE9}" name="Phone/tablet" dataDxfId="6"/>
    <tableColumn id="23" xr3:uid="{82034307-AFD7-49C3-AE35-96DA69A2FEE4}" name="Value Score" dataDxfId="5">
      <calculatedColumnFormula>Table2_1[[#This Row],[Specs Score]] / (Table2_1[[#This Row],[Launched Price (USA)]] ^ 0.85)</calculatedColumnFormula>
    </tableColumn>
    <tableColumn id="25" xr3:uid="{3518AE47-5358-4C7E-89E1-F42C1E31359C}" name="Price-to-Specs Ratio" dataDxfId="0">
      <calculatedColumnFormula>IFERROR(Table2_1[[#This Row],[Launched Price (USA)]] / S2, "")</calculatedColumnFormula>
    </tableColumn>
    <tableColumn id="21" xr3:uid="{2C51242A-059B-42A5-87D9-454D3F0F7FC2}" name="Specs Score" dataDxfId="1">
      <calculatedColumnFormula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calculatedColumnFormula>
    </tableColumn>
    <tableColumn id="20" xr3:uid="{75C5A796-B743-471E-8FE8-6CCC6D7489DD}" name="Launched Year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E0E3BB-8C94-483E-B550-ECBDE1C4D9D2}" name="Table2" displayName="Table2" ref="A1:R931" totalsRowShown="0" dataDxfId="45">
  <autoFilter ref="A1:R931" xr:uid="{FFE0E3BB-8C94-483E-B550-ECBDE1C4D9D2}"/>
  <sortState xmlns:xlrd2="http://schemas.microsoft.com/office/spreadsheetml/2017/richdata2" ref="A2:R931">
    <sortCondition ref="A1:A931"/>
  </sortState>
  <tableColumns count="18">
    <tableColumn id="1" xr3:uid="{8B12453F-3E8E-4121-9E68-F7A56F8AD90D}" name="Company Name"/>
    <tableColumn id="2" xr3:uid="{29BB0F1A-3856-471E-AF93-9F5BAEDED2F5}" name="Model Name"/>
    <tableColumn id="3" xr3:uid="{79423D3D-911E-42BB-AC98-3325D255E577}" name="Mobile Wei ht" dataDxfId="44"/>
    <tableColumn id="4" xr3:uid="{73634905-B030-46BC-8434-AC3689EC6D2E}" name="RAM"/>
    <tableColumn id="5" xr3:uid="{0CE135FB-28BE-4011-B02E-3172DB47405E}" name="Front Camera"/>
    <tableColumn id="6" xr3:uid="{B8402046-7ADE-4873-8BF9-2A49C251F0BB}" name="Back Camera"/>
    <tableColumn id="7" xr3:uid="{50C7A065-7377-4214-BF35-FCB3CCC2BA97}" name="Processor" dataDxfId="43"/>
    <tableColumn id="8" xr3:uid="{DF31AF55-EB77-42BF-92A6-DD4542676FD4}" name="tier text format"/>
    <tableColumn id="19" xr3:uid="{B36E3C7C-72DA-43D3-A530-543BC36D3CF1}" name="Tier Score" dataDxfId="42">
      <calculatedColumnFormula>_xlfn.XLOOKUP(G2, $T$2:$T$183,$U$2:$U$183,"Unknown",0)</calculatedColumnFormula>
    </tableColumn>
    <tableColumn id="10" xr3:uid="{33A27966-B4F7-4335-8F05-99C5ABC13597}" name="Battery Capacity" dataDxfId="41"/>
    <tableColumn id="11" xr3:uid="{FC980C1F-6303-40D7-8946-74F32C0C83D1}" name="Screen Size" dataDxfId="40"/>
    <tableColumn id="12" xr3:uid="{DFEC9E19-A19D-409E-A39D-EC1B7DAB32BB}" name="Launched Price (Pakistan)" dataDxfId="39"/>
    <tableColumn id="13" xr3:uid="{BCBD1E9F-803C-498B-BEAC-92A6001CC70D}" name="Launched Price (India)" dataDxfId="38"/>
    <tableColumn id="14" xr3:uid="{22C500A7-B319-4E1B-991C-17BF39C42705}" name="Launched Price (China)" dataDxfId="37"/>
    <tableColumn id="15" xr3:uid="{89B26509-18D4-4197-B847-7439AFD9863C}" name="Launched Price (USA)" dataDxfId="36"/>
    <tableColumn id="16" xr3:uid="{7B644248-51A2-4746-8B11-4D51FB5725E8}" name="Launched Price (Dubai)" dataDxfId="35"/>
    <tableColumn id="17" xr3:uid="{558C3624-F721-4A69-BCA1-035C26A849AC}" name="Phone/tablet"/>
    <tableColumn id="18" xr3:uid="{F7D597B5-2AB6-4EA0-8E61-ADF936D56050}" name="Launched Ye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98BF55-B629-447C-BE16-2DE98CEBF610}" name="Mobiles_Dataset__2025" displayName="Mobiles_Dataset__2025" ref="A1:O931" totalsRowShown="0">
  <autoFilter ref="A1:O931" xr:uid="{E998BF55-B629-447C-BE16-2DE98CEBF610}"/>
  <sortState xmlns:xlrd2="http://schemas.microsoft.com/office/spreadsheetml/2017/richdata2" ref="A2:O931">
    <sortCondition ref="A1:A931"/>
  </sortState>
  <tableColumns count="15">
    <tableColumn id="1" xr3:uid="{33D13770-CE27-4828-BF32-D0D5CC7D7FEE}" name="Company Name" dataDxfId="34"/>
    <tableColumn id="2" xr3:uid="{13CEFDD0-2825-4D14-827F-E7CB12586973}" name="Model Name" dataDxfId="33"/>
    <tableColumn id="3" xr3:uid="{46B05365-3D97-4FF6-B81B-42309B477E90}" name="Mobile Weight" dataDxfId="32"/>
    <tableColumn id="4" xr3:uid="{B42FF92A-71A8-4BB5-AC12-8BF39DA22F72}" name="RAM" dataDxfId="31"/>
    <tableColumn id="5" xr3:uid="{163EDA1D-76D9-49FC-A3C4-16F087FF7272}" name="Front Camera" dataDxfId="30"/>
    <tableColumn id="6" xr3:uid="{666A458B-A50F-43FD-8249-A7B6A67D35C8}" name="Back Camera" dataDxfId="29"/>
    <tableColumn id="7" xr3:uid="{D5A91806-86E4-4E46-9D09-062DA6F97775}" name="Processor" dataDxfId="28"/>
    <tableColumn id="8" xr3:uid="{69CE52A0-373C-4926-8BBA-58A9D7D6723A}" name="Battery Capacity" dataDxfId="27"/>
    <tableColumn id="9" xr3:uid="{A7203EF9-B370-49AF-B05F-77E93D05C707}" name="Screen Size" dataDxfId="26"/>
    <tableColumn id="10" xr3:uid="{DE535980-56EF-4821-888F-888249A971B1}" name="Launched Price (Pakistan)" dataDxfId="25"/>
    <tableColumn id="11" xr3:uid="{A3D27486-60C5-4122-8324-320172DAD2CC}" name="Launched Price (India)" dataDxfId="24"/>
    <tableColumn id="12" xr3:uid="{B2FD6744-C470-49BF-9322-CB94C036FCBC}" name="Launched Price (China)" dataDxfId="23"/>
    <tableColumn id="13" xr3:uid="{05C9CB9C-E8E5-48B0-BA16-FECC312FE887}" name="Launched Price (USA)" dataDxfId="22"/>
    <tableColumn id="14" xr3:uid="{4F664F11-20CA-4C8F-A95E-DE7D628BE943}" name="Launched Price (Dubai)" dataDxfId="21"/>
    <tableColumn id="15" xr3:uid="{011E9CD8-1A3B-4582-B84F-6DBB00FA76B7}" name="Launched Yea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4CBA-4624-4D7B-88CC-2D21B304B0A5}">
  <sheetPr>
    <tabColor rgb="FF7030A0"/>
  </sheetPr>
  <dimension ref="A1"/>
  <sheetViews>
    <sheetView tabSelected="1" topLeftCell="A11" zoomScale="85" zoomScaleNormal="85" workbookViewId="0">
      <selection activeCell="AA44" sqref="AA4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8DA34-53E2-4820-AB02-98B2F7D25926}">
  <sheetPr>
    <tabColor rgb="FFFFFF00"/>
  </sheetPr>
  <dimension ref="A1:B14"/>
  <sheetViews>
    <sheetView zoomScale="85" zoomScaleNormal="85" workbookViewId="0">
      <selection activeCell="B4" sqref="B4"/>
    </sheetView>
  </sheetViews>
  <sheetFormatPr defaultRowHeight="15" x14ac:dyDescent="0.25"/>
  <cols>
    <col min="1" max="1" width="14.5703125" bestFit="1" customWidth="1"/>
    <col min="2" max="2" width="29.28515625" bestFit="1" customWidth="1"/>
    <col min="3" max="3" width="14.5703125" bestFit="1" customWidth="1"/>
    <col min="4" max="5" width="12.28515625" bestFit="1" customWidth="1"/>
    <col min="6" max="6" width="12" bestFit="1" customWidth="1"/>
    <col min="7" max="7" width="7.7109375" bestFit="1" customWidth="1"/>
    <col min="8" max="12" width="12" bestFit="1" customWidth="1"/>
    <col min="13" max="13" width="11" bestFit="1" customWidth="1"/>
    <col min="14" max="20" width="12" bestFit="1" customWidth="1"/>
  </cols>
  <sheetData>
    <row r="1" spans="1:2" x14ac:dyDescent="0.25">
      <c r="A1" s="1" t="s">
        <v>14</v>
      </c>
      <c r="B1" t="s">
        <v>2447</v>
      </c>
    </row>
    <row r="3" spans="1:2" x14ac:dyDescent="0.25">
      <c r="A3" s="1" t="s">
        <v>2442</v>
      </c>
      <c r="B3" t="s">
        <v>2451</v>
      </c>
    </row>
    <row r="4" spans="1:2" x14ac:dyDescent="0.25">
      <c r="A4" s="2" t="s">
        <v>1112</v>
      </c>
      <c r="B4" s="9">
        <v>7.4735565934866655</v>
      </c>
    </row>
    <row r="5" spans="1:2" x14ac:dyDescent="0.25">
      <c r="A5" s="2" t="s">
        <v>1338</v>
      </c>
      <c r="B5" s="9">
        <v>7.8464013099605783</v>
      </c>
    </row>
    <row r="6" spans="1:2" x14ac:dyDescent="0.25">
      <c r="A6" s="2" t="s">
        <v>2041</v>
      </c>
      <c r="B6" s="9">
        <v>9.0207529898953656</v>
      </c>
    </row>
    <row r="7" spans="1:2" x14ac:dyDescent="0.25">
      <c r="A7" s="2" t="s">
        <v>2291</v>
      </c>
      <c r="B7" s="9">
        <v>9.1672437300700285</v>
      </c>
    </row>
    <row r="8" spans="1:2" x14ac:dyDescent="0.25">
      <c r="A8" s="2" t="s">
        <v>1549</v>
      </c>
      <c r="B8" s="9">
        <v>10.95657088522165</v>
      </c>
    </row>
    <row r="9" spans="1:2" x14ac:dyDescent="0.25">
      <c r="A9" s="2" t="s">
        <v>1865</v>
      </c>
      <c r="B9" s="9">
        <v>10.978982738541401</v>
      </c>
    </row>
    <row r="10" spans="1:2" x14ac:dyDescent="0.25">
      <c r="A10" s="2" t="s">
        <v>1614</v>
      </c>
      <c r="B10" s="9">
        <v>11.884894131466865</v>
      </c>
    </row>
    <row r="11" spans="1:2" x14ac:dyDescent="0.25">
      <c r="A11" s="2" t="s">
        <v>1118</v>
      </c>
      <c r="B11" s="9">
        <v>11.968822096974673</v>
      </c>
    </row>
    <row r="12" spans="1:2" x14ac:dyDescent="0.25">
      <c r="A12" s="2" t="s">
        <v>1981</v>
      </c>
      <c r="B12" s="9">
        <v>12.100129624521564</v>
      </c>
    </row>
    <row r="13" spans="1:2" x14ac:dyDescent="0.25">
      <c r="A13" s="2" t="s">
        <v>1646</v>
      </c>
      <c r="B13" s="9">
        <v>12.387255556530729</v>
      </c>
    </row>
    <row r="14" spans="1:2" x14ac:dyDescent="0.25">
      <c r="A14" s="2" t="s">
        <v>2362</v>
      </c>
      <c r="B14" s="9">
        <v>10.702254883368044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8805-2431-4A05-A246-AC7F4B1C5DDE}">
  <sheetPr>
    <tabColor rgb="FFFFFF00"/>
  </sheetPr>
  <dimension ref="A2:B17"/>
  <sheetViews>
    <sheetView zoomScale="85" zoomScaleNormal="85" workbookViewId="0">
      <selection activeCell="K34" sqref="K34"/>
    </sheetView>
  </sheetViews>
  <sheetFormatPr defaultRowHeight="15" x14ac:dyDescent="0.25"/>
  <cols>
    <col min="1" max="1" width="18.5703125" bestFit="1" customWidth="1"/>
    <col min="2" max="2" width="29.28515625" bestFit="1" customWidth="1"/>
    <col min="3" max="3" width="20.7109375" bestFit="1" customWidth="1"/>
  </cols>
  <sheetData>
    <row r="2" spans="1:2" x14ac:dyDescent="0.25">
      <c r="A2" s="1" t="s">
        <v>14</v>
      </c>
      <c r="B2" t="s">
        <v>2447</v>
      </c>
    </row>
    <row r="3" spans="1:2" x14ac:dyDescent="0.25">
      <c r="A3" s="1" t="s">
        <v>2370</v>
      </c>
      <c r="B3" t="s">
        <v>2447</v>
      </c>
    </row>
    <row r="4" spans="1:2" x14ac:dyDescent="0.25">
      <c r="A4" s="1" t="s">
        <v>0</v>
      </c>
      <c r="B4" t="s">
        <v>2447</v>
      </c>
    </row>
    <row r="6" spans="1:2" x14ac:dyDescent="0.25">
      <c r="A6" s="1" t="s">
        <v>2442</v>
      </c>
      <c r="B6" t="s">
        <v>2451</v>
      </c>
    </row>
    <row r="7" spans="1:2" x14ac:dyDescent="0.25">
      <c r="A7" s="2" t="s">
        <v>1423</v>
      </c>
      <c r="B7" s="9">
        <v>6.2089057579783722</v>
      </c>
    </row>
    <row r="8" spans="1:2" x14ac:dyDescent="0.25">
      <c r="A8" s="2" t="s">
        <v>1480</v>
      </c>
      <c r="B8" s="9">
        <v>6.1266237540232282</v>
      </c>
    </row>
    <row r="9" spans="1:2" x14ac:dyDescent="0.25">
      <c r="A9" s="2" t="s">
        <v>1098</v>
      </c>
      <c r="B9" s="9">
        <v>6.097133568016071</v>
      </c>
    </row>
    <row r="10" spans="1:2" x14ac:dyDescent="0.25">
      <c r="A10" s="2" t="s">
        <v>1361</v>
      </c>
      <c r="B10" s="9">
        <v>6.0400590520852715</v>
      </c>
    </row>
    <row r="11" spans="1:2" x14ac:dyDescent="0.25">
      <c r="A11" s="2" t="s">
        <v>1337</v>
      </c>
      <c r="B11" s="9">
        <v>5.9473411340239544</v>
      </c>
    </row>
    <row r="12" spans="1:2" x14ac:dyDescent="0.25">
      <c r="A12" s="2" t="s">
        <v>1426</v>
      </c>
      <c r="B12" s="9">
        <v>5.7835294377185518</v>
      </c>
    </row>
    <row r="13" spans="1:2" x14ac:dyDescent="0.25">
      <c r="A13" s="2" t="s">
        <v>1430</v>
      </c>
      <c r="B13" s="9">
        <v>5.7632239999891741</v>
      </c>
    </row>
    <row r="14" spans="1:2" x14ac:dyDescent="0.25">
      <c r="A14" s="2" t="s">
        <v>1309</v>
      </c>
      <c r="B14" s="9">
        <v>5.7490529119910683</v>
      </c>
    </row>
    <row r="15" spans="1:2" x14ac:dyDescent="0.25">
      <c r="A15" s="2" t="s">
        <v>1482</v>
      </c>
      <c r="B15" s="9">
        <v>5.6273752051261434</v>
      </c>
    </row>
    <row r="16" spans="1:2" x14ac:dyDescent="0.25">
      <c r="A16" s="2" t="s">
        <v>1312</v>
      </c>
      <c r="B16" s="9">
        <v>5.3900914178045571</v>
      </c>
    </row>
    <row r="17" spans="1:2" x14ac:dyDescent="0.25">
      <c r="A17" s="2" t="s">
        <v>2362</v>
      </c>
      <c r="B17" s="9">
        <v>5.822706714046002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484C-15C0-46FE-943C-B05D3EA56A8A}">
  <sheetPr>
    <tabColor rgb="FFFFFF00"/>
  </sheetPr>
  <dimension ref="A1:B7"/>
  <sheetViews>
    <sheetView zoomScale="85" zoomScaleNormal="85" workbookViewId="0">
      <selection activeCell="L37" sqref="L37"/>
    </sheetView>
  </sheetViews>
  <sheetFormatPr defaultRowHeight="15" x14ac:dyDescent="0.25"/>
  <cols>
    <col min="1" max="1" width="14.5703125" bestFit="1" customWidth="1"/>
    <col min="2" max="2" width="29.28515625" bestFit="1" customWidth="1"/>
    <col min="3" max="5" width="16.42578125" bestFit="1" customWidth="1"/>
  </cols>
  <sheetData>
    <row r="1" spans="1:2" x14ac:dyDescent="0.25">
      <c r="A1" s="1" t="s">
        <v>14</v>
      </c>
      <c r="B1" s="2">
        <v>2024</v>
      </c>
    </row>
    <row r="3" spans="1:2" x14ac:dyDescent="0.25">
      <c r="A3" s="1" t="s">
        <v>2442</v>
      </c>
      <c r="B3" t="s">
        <v>2451</v>
      </c>
    </row>
    <row r="4" spans="1:2" x14ac:dyDescent="0.25">
      <c r="A4" s="2" t="s">
        <v>2437</v>
      </c>
      <c r="B4" s="9">
        <v>18.459288771193805</v>
      </c>
    </row>
    <row r="5" spans="1:2" x14ac:dyDescent="0.25">
      <c r="A5" s="2" t="s">
        <v>2438</v>
      </c>
      <c r="B5" s="9">
        <v>10.763587642214757</v>
      </c>
    </row>
    <row r="6" spans="1:2" x14ac:dyDescent="0.25">
      <c r="A6" s="2" t="s">
        <v>2439</v>
      </c>
      <c r="B6" s="9">
        <v>10.221077780020197</v>
      </c>
    </row>
    <row r="7" spans="1:2" x14ac:dyDescent="0.25">
      <c r="A7" s="2" t="s">
        <v>2362</v>
      </c>
      <c r="B7" s="9">
        <v>13.52516775997263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8F13-DBB5-468D-B873-78C4E25E701D}">
  <sheetPr>
    <tabColor rgb="FFFFFF00"/>
  </sheetPr>
  <dimension ref="A1:E42"/>
  <sheetViews>
    <sheetView topLeftCell="A21" zoomScale="55" zoomScaleNormal="55" workbookViewId="0">
      <selection activeCell="AD74" sqref="AD74:AD75"/>
    </sheetView>
  </sheetViews>
  <sheetFormatPr defaultRowHeight="15" x14ac:dyDescent="0.25"/>
  <cols>
    <col min="1" max="1" width="42.28515625" bestFit="1" customWidth="1"/>
    <col min="2" max="2" width="23.5703125" bestFit="1" customWidth="1"/>
    <col min="3" max="3" width="12.28515625" bestFit="1" customWidth="1"/>
    <col min="4" max="4" width="14.42578125" bestFit="1" customWidth="1"/>
    <col min="5" max="5" width="16.28515625" bestFit="1" customWidth="1"/>
  </cols>
  <sheetData>
    <row r="1" spans="1:5" x14ac:dyDescent="0.25">
      <c r="A1" s="1" t="s">
        <v>2451</v>
      </c>
      <c r="B1" s="1" t="s">
        <v>2452</v>
      </c>
    </row>
    <row r="2" spans="1:5" x14ac:dyDescent="0.25">
      <c r="A2" s="1" t="s">
        <v>2442</v>
      </c>
      <c r="B2" t="s">
        <v>2439</v>
      </c>
      <c r="C2" t="s">
        <v>2437</v>
      </c>
      <c r="D2" t="s">
        <v>2438</v>
      </c>
      <c r="E2" t="s">
        <v>2362</v>
      </c>
    </row>
    <row r="3" spans="1:5" x14ac:dyDescent="0.25">
      <c r="A3" s="2">
        <v>2014</v>
      </c>
      <c r="B3" s="9">
        <v>42.864316064444964</v>
      </c>
      <c r="C3" s="9"/>
      <c r="D3" s="9"/>
      <c r="E3" s="9">
        <v>42.864316064444964</v>
      </c>
    </row>
    <row r="4" spans="1:5" x14ac:dyDescent="0.25">
      <c r="A4" s="2">
        <v>2016</v>
      </c>
      <c r="B4" s="9">
        <v>18.145057626436888</v>
      </c>
      <c r="C4" s="9"/>
      <c r="D4" s="9"/>
      <c r="E4" s="9">
        <v>18.145057626436888</v>
      </c>
    </row>
    <row r="5" spans="1:5" x14ac:dyDescent="0.25">
      <c r="A5" s="2">
        <v>2017</v>
      </c>
      <c r="B5" s="9">
        <v>18.26891874790066</v>
      </c>
      <c r="C5" s="9">
        <v>29.46301197599746</v>
      </c>
      <c r="D5" s="9"/>
      <c r="E5" s="9">
        <v>23.244071293721461</v>
      </c>
    </row>
    <row r="6" spans="1:5" x14ac:dyDescent="0.25">
      <c r="A6" s="2">
        <v>2018</v>
      </c>
      <c r="B6" s="9">
        <v>17.01644811005994</v>
      </c>
      <c r="C6" s="9">
        <v>30.798824560358977</v>
      </c>
      <c r="D6" s="9"/>
      <c r="E6" s="9">
        <v>24.235788155454674</v>
      </c>
    </row>
    <row r="7" spans="1:5" x14ac:dyDescent="0.25">
      <c r="A7" s="2">
        <v>2019</v>
      </c>
      <c r="B7" s="9">
        <v>14.956390111417111</v>
      </c>
      <c r="C7" s="9">
        <v>23.806397021834563</v>
      </c>
      <c r="D7" s="9">
        <v>9.1269397503199752</v>
      </c>
      <c r="E7" s="9">
        <v>19.00121202133689</v>
      </c>
    </row>
    <row r="8" spans="1:5" x14ac:dyDescent="0.25">
      <c r="A8" s="2">
        <v>2020</v>
      </c>
      <c r="B8" s="9">
        <v>10.011468784289438</v>
      </c>
      <c r="C8" s="9">
        <v>21.0860251292047</v>
      </c>
      <c r="D8" s="9">
        <v>11.451613429819337</v>
      </c>
      <c r="E8" s="9">
        <v>15.454574150041314</v>
      </c>
    </row>
    <row r="9" spans="1:5" x14ac:dyDescent="0.25">
      <c r="A9" s="2">
        <v>2021</v>
      </c>
      <c r="B9" s="9">
        <v>10.565152688830938</v>
      </c>
      <c r="C9" s="9">
        <v>22.864916995769189</v>
      </c>
      <c r="D9" s="9">
        <v>12.305169549461013</v>
      </c>
      <c r="E9" s="9">
        <v>14.684727962199116</v>
      </c>
    </row>
    <row r="10" spans="1:5" x14ac:dyDescent="0.25">
      <c r="A10" s="2">
        <v>2022</v>
      </c>
      <c r="B10" s="9">
        <v>11.677027103194082</v>
      </c>
      <c r="C10" s="9">
        <v>20.298166168036477</v>
      </c>
      <c r="D10" s="9">
        <v>11.727259778387477</v>
      </c>
      <c r="E10" s="9">
        <v>15.107623335310665</v>
      </c>
    </row>
    <row r="11" spans="1:5" x14ac:dyDescent="0.25">
      <c r="A11" s="2">
        <v>2023</v>
      </c>
      <c r="B11" s="9">
        <v>9.5676451615487874</v>
      </c>
      <c r="C11" s="9">
        <v>18.967902024216215</v>
      </c>
      <c r="D11" s="9">
        <v>10.510952141115295</v>
      </c>
      <c r="E11" s="9">
        <v>13.921478448961016</v>
      </c>
    </row>
    <row r="12" spans="1:5" x14ac:dyDescent="0.25">
      <c r="A12" s="2">
        <v>2024</v>
      </c>
      <c r="B12" s="9">
        <v>10.22107778002019</v>
      </c>
      <c r="C12" s="9">
        <v>18.459288771193794</v>
      </c>
      <c r="D12" s="9">
        <v>10.763587642214755</v>
      </c>
      <c r="E12" s="9">
        <v>13.525167759972634</v>
      </c>
    </row>
    <row r="13" spans="1:5" x14ac:dyDescent="0.25">
      <c r="A13" s="2">
        <v>2025</v>
      </c>
      <c r="B13" s="9">
        <v>13.964286949355639</v>
      </c>
      <c r="C13" s="9"/>
      <c r="D13" s="9">
        <v>8.871743662025164</v>
      </c>
      <c r="E13" s="9">
        <v>9.7205008765802443</v>
      </c>
    </row>
    <row r="14" spans="1:5" x14ac:dyDescent="0.25">
      <c r="A14" s="2" t="s">
        <v>2362</v>
      </c>
      <c r="B14" s="9">
        <v>11.566393290924603</v>
      </c>
      <c r="C14" s="9">
        <v>20.405162276367882</v>
      </c>
      <c r="D14" s="9">
        <v>11.085637518596346</v>
      </c>
      <c r="E14" s="9">
        <v>14.848159259339329</v>
      </c>
    </row>
    <row r="15" spans="1:5" x14ac:dyDescent="0.25">
      <c r="A15" s="1" t="s">
        <v>2453</v>
      </c>
      <c r="B15" s="1" t="s">
        <v>2452</v>
      </c>
    </row>
    <row r="16" spans="1:5" x14ac:dyDescent="0.25">
      <c r="A16" s="1" t="s">
        <v>2442</v>
      </c>
      <c r="B16" t="s">
        <v>2439</v>
      </c>
      <c r="C16" t="s">
        <v>2437</v>
      </c>
      <c r="D16" t="s">
        <v>2438</v>
      </c>
      <c r="E16" t="s">
        <v>2362</v>
      </c>
    </row>
    <row r="17" spans="1:5" x14ac:dyDescent="0.25">
      <c r="A17" s="2">
        <v>2014</v>
      </c>
      <c r="B17" s="8">
        <v>3.9526816938267464</v>
      </c>
      <c r="C17" s="8"/>
      <c r="D17" s="8"/>
      <c r="E17" s="8">
        <v>3.9526816938267464</v>
      </c>
    </row>
    <row r="18" spans="1:5" x14ac:dyDescent="0.25">
      <c r="A18" s="2">
        <v>2016</v>
      </c>
      <c r="B18" s="8">
        <v>11.43193362056471</v>
      </c>
      <c r="C18" s="8"/>
      <c r="D18" s="8"/>
      <c r="E18" s="8">
        <v>11.43193362056471</v>
      </c>
    </row>
    <row r="19" spans="1:5" x14ac:dyDescent="0.25">
      <c r="A19" s="2">
        <v>2017</v>
      </c>
      <c r="B19" s="8">
        <v>13.471816566996599</v>
      </c>
      <c r="C19" s="8">
        <v>29.268022676370947</v>
      </c>
      <c r="D19" s="8"/>
      <c r="E19" s="8">
        <v>20.49235261560742</v>
      </c>
    </row>
    <row r="20" spans="1:5" x14ac:dyDescent="0.25">
      <c r="A20" s="2">
        <v>2018</v>
      </c>
      <c r="B20" s="8">
        <v>14.193437901016219</v>
      </c>
      <c r="C20" s="8">
        <v>32.766717905517744</v>
      </c>
      <c r="D20" s="8"/>
      <c r="E20" s="8">
        <v>23.922298855755109</v>
      </c>
    </row>
    <row r="21" spans="1:5" x14ac:dyDescent="0.25">
      <c r="A21" s="2">
        <v>2019</v>
      </c>
      <c r="B21" s="8">
        <v>22.153198874811128</v>
      </c>
      <c r="C21" s="8">
        <v>38.335210820640029</v>
      </c>
      <c r="D21" s="8">
        <v>37.528729312813077</v>
      </c>
      <c r="E21" s="8">
        <v>31.246956832812653</v>
      </c>
    </row>
    <row r="22" spans="1:5" x14ac:dyDescent="0.25">
      <c r="A22" s="2">
        <v>2020</v>
      </c>
      <c r="B22" s="8">
        <v>18.726236938569954</v>
      </c>
      <c r="C22" s="8">
        <v>44.482958447028501</v>
      </c>
      <c r="D22" s="8">
        <v>32.15130180568795</v>
      </c>
      <c r="E22" s="8">
        <v>34.17882115310853</v>
      </c>
    </row>
    <row r="23" spans="1:5" x14ac:dyDescent="0.25">
      <c r="A23" s="2">
        <v>2021</v>
      </c>
      <c r="B23" s="8">
        <v>20.513184827160856</v>
      </c>
      <c r="C23" s="8">
        <v>43.212380791598456</v>
      </c>
      <c r="D23" s="8">
        <v>33.670102698138457</v>
      </c>
      <c r="E23" s="8">
        <v>32.31313070787737</v>
      </c>
    </row>
    <row r="24" spans="1:5" x14ac:dyDescent="0.25">
      <c r="A24" s="2">
        <v>2022</v>
      </c>
      <c r="B24" s="8">
        <v>18.95872325058944</v>
      </c>
      <c r="C24" s="8">
        <v>49.304247701057449</v>
      </c>
      <c r="D24" s="8">
        <v>34.938036067522482</v>
      </c>
      <c r="E24" s="8">
        <v>36.336921797061002</v>
      </c>
    </row>
    <row r="25" spans="1:5" x14ac:dyDescent="0.25">
      <c r="A25" s="2">
        <v>2023</v>
      </c>
      <c r="B25" s="8">
        <v>21.791150979882513</v>
      </c>
      <c r="C25" s="8">
        <v>52.011510847613827</v>
      </c>
      <c r="D25" s="8">
        <v>37.710270606759899</v>
      </c>
      <c r="E25" s="8">
        <v>40.130247971280184</v>
      </c>
    </row>
    <row r="26" spans="1:5" x14ac:dyDescent="0.25">
      <c r="A26" s="2">
        <v>2024</v>
      </c>
      <c r="B26" s="8">
        <v>24.814512002828881</v>
      </c>
      <c r="C26" s="8">
        <v>56.052173138626635</v>
      </c>
      <c r="D26" s="8">
        <v>41.844516921103065</v>
      </c>
      <c r="E26" s="8">
        <v>42.88089301690885</v>
      </c>
    </row>
    <row r="27" spans="1:5" x14ac:dyDescent="0.25">
      <c r="A27" s="2">
        <v>2025</v>
      </c>
      <c r="B27" s="8">
        <v>35.734012184777228</v>
      </c>
      <c r="C27" s="8"/>
      <c r="D27" s="8">
        <v>45.568329928905385</v>
      </c>
      <c r="E27" s="8">
        <v>43.929276971550699</v>
      </c>
    </row>
    <row r="28" spans="1:5" x14ac:dyDescent="0.25">
      <c r="A28" s="2" t="s">
        <v>2362</v>
      </c>
      <c r="B28" s="8">
        <v>21.08458353336</v>
      </c>
      <c r="C28" s="8">
        <v>49.407188854765089</v>
      </c>
      <c r="D28" s="8">
        <v>37.854974170604173</v>
      </c>
      <c r="E28" s="8">
        <v>37.645113696782168</v>
      </c>
    </row>
    <row r="29" spans="1:5" x14ac:dyDescent="0.25">
      <c r="A29" s="1" t="s">
        <v>2454</v>
      </c>
      <c r="B29" s="1" t="s">
        <v>2452</v>
      </c>
    </row>
    <row r="30" spans="1:5" x14ac:dyDescent="0.25">
      <c r="A30" s="1" t="s">
        <v>2442</v>
      </c>
      <c r="B30" t="s">
        <v>2439</v>
      </c>
      <c r="C30" t="s">
        <v>2437</v>
      </c>
      <c r="D30" t="s">
        <v>2438</v>
      </c>
      <c r="E30" t="s">
        <v>2362</v>
      </c>
    </row>
    <row r="31" spans="1:5" x14ac:dyDescent="0.25">
      <c r="A31" s="2">
        <v>2014</v>
      </c>
      <c r="B31" s="9">
        <v>169</v>
      </c>
      <c r="C31" s="9"/>
      <c r="D31" s="9"/>
      <c r="E31" s="9">
        <v>169</v>
      </c>
    </row>
    <row r="32" spans="1:5" x14ac:dyDescent="0.25">
      <c r="A32" s="2">
        <v>2016</v>
      </c>
      <c r="B32" s="9">
        <v>211</v>
      </c>
      <c r="C32" s="9"/>
      <c r="D32" s="9"/>
      <c r="E32" s="9">
        <v>211</v>
      </c>
    </row>
    <row r="33" spans="1:5" x14ac:dyDescent="0.25">
      <c r="A33" s="2">
        <v>2017</v>
      </c>
      <c r="B33" s="9">
        <v>241</v>
      </c>
      <c r="C33" s="9">
        <v>836.5</v>
      </c>
      <c r="D33" s="9"/>
      <c r="E33" s="9">
        <v>505.66666666666669</v>
      </c>
    </row>
    <row r="34" spans="1:5" x14ac:dyDescent="0.25">
      <c r="A34" s="2">
        <v>2018</v>
      </c>
      <c r="B34" s="9">
        <v>226</v>
      </c>
      <c r="C34" s="9">
        <v>999</v>
      </c>
      <c r="D34" s="9"/>
      <c r="E34" s="9">
        <v>630.90476190476193</v>
      </c>
    </row>
    <row r="35" spans="1:5" x14ac:dyDescent="0.25">
      <c r="A35" s="2">
        <v>2019</v>
      </c>
      <c r="B35" s="9">
        <v>320</v>
      </c>
      <c r="C35" s="9">
        <v>895.08695652173913</v>
      </c>
      <c r="D35" s="9">
        <v>349</v>
      </c>
      <c r="E35" s="9">
        <v>609.43478260869563</v>
      </c>
    </row>
    <row r="36" spans="1:5" x14ac:dyDescent="0.25">
      <c r="A36" s="2">
        <v>2020</v>
      </c>
      <c r="B36" s="9">
        <v>187.88888888888889</v>
      </c>
      <c r="C36" s="9">
        <v>931.82608695652175</v>
      </c>
      <c r="D36" s="9">
        <v>357.57142857142856</v>
      </c>
      <c r="E36" s="9">
        <v>573.75247524752479</v>
      </c>
    </row>
    <row r="37" spans="1:5" x14ac:dyDescent="0.25">
      <c r="A37" s="2">
        <v>2021</v>
      </c>
      <c r="B37" s="9">
        <v>213.30303030303031</v>
      </c>
      <c r="C37" s="9">
        <v>982.33333333333337</v>
      </c>
      <c r="D37" s="9">
        <v>412.26086956521738</v>
      </c>
      <c r="E37" s="9">
        <v>508.92660550458714</v>
      </c>
    </row>
    <row r="38" spans="1:5" x14ac:dyDescent="0.25">
      <c r="A38" s="2">
        <v>2022</v>
      </c>
      <c r="B38" s="9">
        <v>214.27500000000001</v>
      </c>
      <c r="C38" s="9">
        <v>987.64406779661022</v>
      </c>
      <c r="D38" s="9">
        <v>410.64</v>
      </c>
      <c r="E38" s="9">
        <v>586.40268456375838</v>
      </c>
    </row>
    <row r="39" spans="1:5" x14ac:dyDescent="0.25">
      <c r="A39" s="2">
        <v>2023</v>
      </c>
      <c r="B39" s="9">
        <v>205.18604651162789</v>
      </c>
      <c r="C39" s="9">
        <v>969.03797468354435</v>
      </c>
      <c r="D39" s="9">
        <v>395.32258064516128</v>
      </c>
      <c r="E39" s="9">
        <v>597.21195652173913</v>
      </c>
    </row>
    <row r="40" spans="1:5" x14ac:dyDescent="0.25">
      <c r="A40" s="2">
        <v>2024</v>
      </c>
      <c r="B40" s="9">
        <v>252.77027027027026</v>
      </c>
      <c r="C40" s="9">
        <v>1019.3818181818182</v>
      </c>
      <c r="D40" s="9">
        <v>450.12037037037038</v>
      </c>
      <c r="E40" s="9">
        <v>614.55479452054794</v>
      </c>
    </row>
    <row r="41" spans="1:5" x14ac:dyDescent="0.25">
      <c r="A41" s="2">
        <v>2025</v>
      </c>
      <c r="B41" s="9">
        <v>499</v>
      </c>
      <c r="C41" s="9"/>
      <c r="D41" s="9">
        <v>414.6</v>
      </c>
      <c r="E41" s="9">
        <v>428.66666666666669</v>
      </c>
    </row>
    <row r="42" spans="1:5" x14ac:dyDescent="0.25">
      <c r="A42" s="2" t="s">
        <v>2362</v>
      </c>
      <c r="B42" s="9">
        <v>231.67432950191571</v>
      </c>
      <c r="C42" s="9">
        <v>978.48895027624314</v>
      </c>
      <c r="D42" s="9">
        <v>416.36482084690556</v>
      </c>
      <c r="E42" s="9">
        <v>583.33763440860218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3C3D-2652-45A6-94CB-7B6D7A9F0B32}">
  <sheetPr>
    <tabColor rgb="FFFF0000"/>
  </sheetPr>
  <dimension ref="A1:T931"/>
  <sheetViews>
    <sheetView zoomScale="85" zoomScaleNormal="85" workbookViewId="0">
      <selection activeCell="R3" sqref="R3"/>
    </sheetView>
  </sheetViews>
  <sheetFormatPr defaultRowHeight="15" x14ac:dyDescent="0.25"/>
  <cols>
    <col min="1" max="1" width="17.42578125" bestFit="1" customWidth="1"/>
    <col min="2" max="2" width="43.42578125" bestFit="1" customWidth="1"/>
    <col min="3" max="3" width="43.42578125" customWidth="1"/>
    <col min="4" max="4" width="16.28515625" bestFit="1" customWidth="1"/>
    <col min="5" max="5" width="7.5703125" style="8" bestFit="1" customWidth="1"/>
    <col min="6" max="6" width="15.140625" bestFit="1" customWidth="1"/>
    <col min="7" max="7" width="19.5703125" bestFit="1" customWidth="1"/>
    <col min="8" max="8" width="20" bestFit="1" customWidth="1"/>
    <col min="9" max="9" width="24.140625" bestFit="1" customWidth="1"/>
    <col min="10" max="10" width="22.85546875" bestFit="1" customWidth="1"/>
    <col min="11" max="11" width="10.140625" bestFit="1" customWidth="1"/>
    <col min="12" max="12" width="12" bestFit="1" customWidth="1"/>
    <col min="13" max="13" width="17.7109375" bestFit="1" customWidth="1"/>
    <col min="14" max="14" width="13.28515625" bestFit="1" customWidth="1"/>
    <col min="15" max="15" width="22.42578125" bestFit="1" customWidth="1"/>
    <col min="16" max="16" width="15.140625" bestFit="1" customWidth="1"/>
    <col min="17" max="17" width="13.7109375" bestFit="1" customWidth="1"/>
    <col min="18" max="18" width="21.28515625" bestFit="1" customWidth="1"/>
    <col min="19" max="19" width="13.5703125" bestFit="1" customWidth="1"/>
    <col min="20" max="20" width="16.28515625" bestFit="1" customWidth="1"/>
  </cols>
  <sheetData>
    <row r="1" spans="1:20" x14ac:dyDescent="0.25">
      <c r="A1" t="s">
        <v>0</v>
      </c>
      <c r="B1" t="s">
        <v>1</v>
      </c>
      <c r="C1" t="s">
        <v>2455</v>
      </c>
      <c r="D1" t="s">
        <v>2</v>
      </c>
      <c r="E1" s="8" t="s">
        <v>3</v>
      </c>
      <c r="F1" t="s">
        <v>4</v>
      </c>
      <c r="G1" t="s">
        <v>2444</v>
      </c>
      <c r="H1" t="s">
        <v>2445</v>
      </c>
      <c r="I1" t="s">
        <v>2446</v>
      </c>
      <c r="J1" t="s">
        <v>6</v>
      </c>
      <c r="K1" t="s">
        <v>2435</v>
      </c>
      <c r="L1" t="s">
        <v>2443</v>
      </c>
      <c r="M1" t="s">
        <v>7</v>
      </c>
      <c r="N1" t="s">
        <v>8</v>
      </c>
      <c r="O1" t="s">
        <v>12</v>
      </c>
      <c r="P1" t="s">
        <v>2370</v>
      </c>
      <c r="Q1" t="s">
        <v>2448</v>
      </c>
      <c r="R1" t="s">
        <v>2450</v>
      </c>
      <c r="S1" t="s">
        <v>2449</v>
      </c>
      <c r="T1" t="s">
        <v>14</v>
      </c>
    </row>
    <row r="2" spans="1:20" x14ac:dyDescent="0.25">
      <c r="A2" s="6" t="s">
        <v>15</v>
      </c>
      <c r="B2" s="6" t="s">
        <v>16</v>
      </c>
      <c r="C2" s="11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" s="6">
        <v>174</v>
      </c>
      <c r="E2" s="6">
        <v>6</v>
      </c>
      <c r="F2" s="6">
        <v>12</v>
      </c>
      <c r="G2" s="6">
        <v>48</v>
      </c>
      <c r="H2" s="6"/>
      <c r="I2" s="6"/>
      <c r="J2" s="6" t="s">
        <v>21</v>
      </c>
      <c r="K2" s="6" t="s">
        <v>2437</v>
      </c>
      <c r="L2" s="6">
        <v>100</v>
      </c>
      <c r="M2" s="6">
        <v>3600</v>
      </c>
      <c r="N2" s="6">
        <v>6.1</v>
      </c>
      <c r="O2" s="6">
        <v>799</v>
      </c>
      <c r="P2" s="6" t="s">
        <v>2368</v>
      </c>
      <c r="Q2" s="6">
        <f>Table2_1[[#This Row],[Specs Score]] / (Table2_1[[#This Row],[Launched Price (USA)]] ^ 0.85)</f>
        <v>0.14007781915580619</v>
      </c>
      <c r="R2" s="6">
        <f>IFERROR(Table2_1[[#This Row],[Launched Price (USA)]] / S2, "")</f>
        <v>19.45416724881186</v>
      </c>
      <c r="S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41.07089189586349</v>
      </c>
      <c r="T2" s="6">
        <v>2024</v>
      </c>
    </row>
    <row r="3" spans="1:20" x14ac:dyDescent="0.25">
      <c r="A3" s="6" t="s">
        <v>15</v>
      </c>
      <c r="B3" s="6" t="s">
        <v>29</v>
      </c>
      <c r="C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" s="6">
        <v>174</v>
      </c>
      <c r="E3" s="6">
        <v>6</v>
      </c>
      <c r="F3" s="6">
        <v>12</v>
      </c>
      <c r="G3" s="6">
        <v>48</v>
      </c>
      <c r="H3" s="6"/>
      <c r="I3" s="6"/>
      <c r="J3" s="6" t="s">
        <v>21</v>
      </c>
      <c r="K3" s="6" t="s">
        <v>2437</v>
      </c>
      <c r="L3" s="6">
        <v>100</v>
      </c>
      <c r="M3" s="6">
        <v>3600</v>
      </c>
      <c r="N3" s="6">
        <v>6.1</v>
      </c>
      <c r="O3" s="6">
        <v>849</v>
      </c>
      <c r="P3" s="6" t="s">
        <v>2368</v>
      </c>
      <c r="Q3" s="6">
        <f>Table2_1[[#This Row],[Specs Score]] / (Table2_1[[#This Row],[Launched Price (USA)]] ^ 0.85)</f>
        <v>0.1455725542519041</v>
      </c>
      <c r="R3" s="6">
        <f>IFERROR(Table2_1[[#This Row],[Launched Price (USA)]] / S3, "")</f>
        <v>18.891074086438934</v>
      </c>
      <c r="S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44.94185963779897</v>
      </c>
      <c r="T3" s="6">
        <v>2024</v>
      </c>
    </row>
    <row r="4" spans="1:20" x14ac:dyDescent="0.25">
      <c r="A4" s="6" t="s">
        <v>15</v>
      </c>
      <c r="B4" s="6" t="s">
        <v>35</v>
      </c>
      <c r="C4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4" s="6">
        <v>174</v>
      </c>
      <c r="E4" s="6">
        <v>6</v>
      </c>
      <c r="F4" s="6">
        <v>12</v>
      </c>
      <c r="G4" s="6">
        <v>48</v>
      </c>
      <c r="H4" s="6"/>
      <c r="I4" s="6"/>
      <c r="J4" s="6" t="s">
        <v>21</v>
      </c>
      <c r="K4" s="6" t="s">
        <v>2437</v>
      </c>
      <c r="L4" s="6">
        <v>100</v>
      </c>
      <c r="M4" s="6">
        <v>3600</v>
      </c>
      <c r="N4" s="6">
        <v>6.1</v>
      </c>
      <c r="O4" s="6">
        <v>899</v>
      </c>
      <c r="P4" s="6" t="s">
        <v>2368</v>
      </c>
      <c r="Q4" s="6">
        <f>Table2_1[[#This Row],[Specs Score]] / (Table2_1[[#This Row],[Launched Price (USA)]] ^ 0.85)</f>
        <v>0.16254788170212059</v>
      </c>
      <c r="R4" s="6">
        <f>IFERROR(Table2_1[[#This Row],[Launched Price (USA)]] / S4, "")</f>
        <v>17.06407061077919</v>
      </c>
      <c r="S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52.683795121669938</v>
      </c>
      <c r="T4" s="6">
        <v>2024</v>
      </c>
    </row>
    <row r="5" spans="1:20" x14ac:dyDescent="0.25">
      <c r="A5" s="6" t="s">
        <v>15</v>
      </c>
      <c r="B5" s="6" t="s">
        <v>41</v>
      </c>
      <c r="C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" s="6">
        <v>203</v>
      </c>
      <c r="E5" s="6">
        <v>6</v>
      </c>
      <c r="F5" s="6">
        <v>12</v>
      </c>
      <c r="G5" s="6">
        <v>48</v>
      </c>
      <c r="H5" s="6"/>
      <c r="I5" s="6"/>
      <c r="J5" s="6" t="s">
        <v>21</v>
      </c>
      <c r="K5" s="6" t="s">
        <v>2437</v>
      </c>
      <c r="L5" s="6">
        <v>100</v>
      </c>
      <c r="M5" s="6">
        <v>4200</v>
      </c>
      <c r="N5" s="6">
        <v>6.7</v>
      </c>
      <c r="O5" s="6">
        <v>899</v>
      </c>
      <c r="P5" s="6" t="s">
        <v>2368</v>
      </c>
      <c r="Q5" s="6">
        <f>Table2_1[[#This Row],[Specs Score]] / (Table2_1[[#This Row],[Launched Price (USA)]] ^ 0.85)</f>
        <v>0.1316646441174843</v>
      </c>
      <c r="R5" s="6">
        <f>IFERROR(Table2_1[[#This Row],[Launched Price (USA)]] / S5, "")</f>
        <v>21.066616247582544</v>
      </c>
      <c r="S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42.674152765428708</v>
      </c>
      <c r="T5" s="6">
        <v>2024</v>
      </c>
    </row>
    <row r="6" spans="1:20" x14ac:dyDescent="0.25">
      <c r="A6" s="6" t="s">
        <v>15</v>
      </c>
      <c r="B6" s="6" t="s">
        <v>47</v>
      </c>
      <c r="C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" s="6">
        <v>203</v>
      </c>
      <c r="E6" s="6">
        <v>6</v>
      </c>
      <c r="F6" s="6">
        <v>12</v>
      </c>
      <c r="G6" s="6">
        <v>48</v>
      </c>
      <c r="H6" s="6"/>
      <c r="I6" s="6"/>
      <c r="J6" s="6" t="s">
        <v>21</v>
      </c>
      <c r="K6" s="6" t="s">
        <v>2437</v>
      </c>
      <c r="L6" s="6">
        <v>100</v>
      </c>
      <c r="M6" s="6">
        <v>4200</v>
      </c>
      <c r="N6" s="6">
        <v>6.7</v>
      </c>
      <c r="O6" s="6">
        <v>949</v>
      </c>
      <c r="P6" s="6" t="s">
        <v>2368</v>
      </c>
      <c r="Q6" s="6">
        <f>Table2_1[[#This Row],[Specs Score]] / (Table2_1[[#This Row],[Launched Price (USA)]] ^ 0.85)</f>
        <v>0.13715065261554685</v>
      </c>
      <c r="R6" s="6">
        <f>IFERROR(Table2_1[[#This Row],[Launched Price (USA)]] / S6, "")</f>
        <v>20.38881819738447</v>
      </c>
      <c r="S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46.545120507364189</v>
      </c>
      <c r="T6" s="6">
        <v>2024</v>
      </c>
    </row>
    <row r="7" spans="1:20" x14ac:dyDescent="0.25">
      <c r="A7" s="6" t="s">
        <v>15</v>
      </c>
      <c r="B7" s="6" t="s">
        <v>52</v>
      </c>
      <c r="C7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7" s="6">
        <v>203</v>
      </c>
      <c r="E7" s="6">
        <v>6</v>
      </c>
      <c r="F7" s="6">
        <v>12</v>
      </c>
      <c r="G7" s="6">
        <v>48</v>
      </c>
      <c r="H7" s="6"/>
      <c r="I7" s="6"/>
      <c r="J7" s="6" t="s">
        <v>21</v>
      </c>
      <c r="K7" s="6" t="s">
        <v>2437</v>
      </c>
      <c r="L7" s="6">
        <v>100</v>
      </c>
      <c r="M7" s="6">
        <v>4200</v>
      </c>
      <c r="N7" s="6">
        <v>6.7</v>
      </c>
      <c r="O7" s="6">
        <v>999</v>
      </c>
      <c r="P7" s="6" t="s">
        <v>2368</v>
      </c>
      <c r="Q7" s="6">
        <f>Table2_1[[#This Row],[Specs Score]] / (Table2_1[[#This Row],[Launched Price (USA)]] ^ 0.85)</f>
        <v>0.15313188386147883</v>
      </c>
      <c r="R7" s="6">
        <f>IFERROR(Table2_1[[#This Row],[Launched Price (USA)]] / S7, "")</f>
        <v>18.402176757591942</v>
      </c>
      <c r="S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54.287055991235157</v>
      </c>
      <c r="T7" s="6">
        <v>2024</v>
      </c>
    </row>
    <row r="8" spans="1:20" x14ac:dyDescent="0.25">
      <c r="A8" s="6" t="s">
        <v>15</v>
      </c>
      <c r="B8" s="6" t="s">
        <v>58</v>
      </c>
      <c r="C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" s="6">
        <v>206</v>
      </c>
      <c r="E8" s="6">
        <v>6</v>
      </c>
      <c r="F8" s="6">
        <v>12</v>
      </c>
      <c r="G8" s="6">
        <v>50</v>
      </c>
      <c r="H8" s="6">
        <v>12</v>
      </c>
      <c r="I8" s="6"/>
      <c r="J8" s="6" t="s">
        <v>62</v>
      </c>
      <c r="K8" s="6" t="s">
        <v>2437</v>
      </c>
      <c r="L8" s="6">
        <v>100</v>
      </c>
      <c r="M8" s="6">
        <v>4400</v>
      </c>
      <c r="N8" s="6">
        <v>6.1</v>
      </c>
      <c r="O8" s="6">
        <v>999</v>
      </c>
      <c r="P8" s="6" t="s">
        <v>2368</v>
      </c>
      <c r="Q8" s="6">
        <f>Table2_1[[#This Row],[Specs Score]] / (Table2_1[[#This Row],[Launched Price (USA)]] ^ 0.85)</f>
        <v>0.11982057238462979</v>
      </c>
      <c r="R8" s="6">
        <f>IFERROR(Table2_1[[#This Row],[Launched Price (USA)]] / S8, "")</f>
        <v>23.518165019243835</v>
      </c>
      <c r="S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42.477803824514545</v>
      </c>
      <c r="T8" s="6">
        <v>2024</v>
      </c>
    </row>
    <row r="9" spans="1:20" x14ac:dyDescent="0.25">
      <c r="A9" s="6" t="s">
        <v>15</v>
      </c>
      <c r="B9" s="6" t="s">
        <v>67</v>
      </c>
      <c r="C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9" s="6">
        <v>206</v>
      </c>
      <c r="E9" s="6">
        <v>8</v>
      </c>
      <c r="F9" s="6">
        <v>12</v>
      </c>
      <c r="G9" s="6">
        <v>50</v>
      </c>
      <c r="H9" s="6">
        <v>12</v>
      </c>
      <c r="I9" s="6"/>
      <c r="J9" s="6" t="s">
        <v>62</v>
      </c>
      <c r="K9" s="6" t="s">
        <v>2437</v>
      </c>
      <c r="L9" s="6">
        <v>100</v>
      </c>
      <c r="M9" s="6">
        <v>4400</v>
      </c>
      <c r="N9" s="6">
        <v>6.1</v>
      </c>
      <c r="O9" s="6">
        <v>1049</v>
      </c>
      <c r="P9" s="6" t="s">
        <v>2368</v>
      </c>
      <c r="Q9" s="6">
        <f>Table2_1[[#This Row],[Specs Score]] / (Table2_1[[#This Row],[Launched Price (USA)]] ^ 0.85)</f>
        <v>0.13083570507035716</v>
      </c>
      <c r="R9" s="6">
        <f>IFERROR(Table2_1[[#This Row],[Launched Price (USA)]] / S9, "")</f>
        <v>21.696518153688057</v>
      </c>
      <c r="S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48.348771566450026</v>
      </c>
      <c r="T9" s="6">
        <v>2024</v>
      </c>
    </row>
    <row r="10" spans="1:20" x14ac:dyDescent="0.25">
      <c r="A10" s="6" t="s">
        <v>15</v>
      </c>
      <c r="B10" s="6" t="s">
        <v>73</v>
      </c>
      <c r="C10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10" s="6">
        <v>206</v>
      </c>
      <c r="E10" s="6">
        <v>8</v>
      </c>
      <c r="F10" s="6">
        <v>12</v>
      </c>
      <c r="G10" s="6">
        <v>50</v>
      </c>
      <c r="H10" s="6">
        <v>12</v>
      </c>
      <c r="I10" s="6"/>
      <c r="J10" s="6" t="s">
        <v>62</v>
      </c>
      <c r="K10" s="6" t="s">
        <v>2437</v>
      </c>
      <c r="L10" s="6">
        <v>100</v>
      </c>
      <c r="M10" s="6">
        <v>4400</v>
      </c>
      <c r="N10" s="6">
        <v>6.1</v>
      </c>
      <c r="O10" s="6">
        <v>1099</v>
      </c>
      <c r="P10" s="6" t="s">
        <v>2368</v>
      </c>
      <c r="Q10" s="6">
        <f>Table2_1[[#This Row],[Specs Score]] / (Table2_1[[#This Row],[Launched Price (USA)]] ^ 0.85)</f>
        <v>0.14589582896692682</v>
      </c>
      <c r="R10" s="6">
        <f>IFERROR(Table2_1[[#This Row],[Launched Price (USA)]] / S10, "")</f>
        <v>19.5932634440505</v>
      </c>
      <c r="S1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56.090707050320994</v>
      </c>
      <c r="T10" s="6">
        <v>2024</v>
      </c>
    </row>
    <row r="11" spans="1:20" x14ac:dyDescent="0.25">
      <c r="A11" s="6" t="s">
        <v>15</v>
      </c>
      <c r="B11" s="6" t="s">
        <v>79</v>
      </c>
      <c r="C1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1" s="6">
        <v>221</v>
      </c>
      <c r="E11" s="6">
        <v>6</v>
      </c>
      <c r="F11" s="6">
        <v>12</v>
      </c>
      <c r="G11" s="6">
        <v>48</v>
      </c>
      <c r="H11" s="6">
        <v>12</v>
      </c>
      <c r="I11" s="6"/>
      <c r="J11" s="6" t="s">
        <v>62</v>
      </c>
      <c r="K11" s="6" t="s">
        <v>2437</v>
      </c>
      <c r="L11" s="6">
        <v>100</v>
      </c>
      <c r="M11" s="6">
        <v>4500</v>
      </c>
      <c r="N11" s="6">
        <v>6.7</v>
      </c>
      <c r="O11" s="6">
        <v>1099</v>
      </c>
      <c r="P11" s="6" t="s">
        <v>2368</v>
      </c>
      <c r="Q11" s="6">
        <f>Table2_1[[#This Row],[Specs Score]] / (Table2_1[[#This Row],[Launched Price (USA)]] ^ 0.85)</f>
        <v>0.11227070070233708</v>
      </c>
      <c r="R11" s="6">
        <f>IFERROR(Table2_1[[#This Row],[Launched Price (USA)]] / S11, "")</f>
        <v>25.461455165547267</v>
      </c>
      <c r="S1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43.163283200211318</v>
      </c>
      <c r="T11" s="6">
        <v>2024</v>
      </c>
    </row>
    <row r="12" spans="1:20" x14ac:dyDescent="0.25">
      <c r="A12" s="6" t="s">
        <v>15</v>
      </c>
      <c r="B12" s="6" t="s">
        <v>85</v>
      </c>
      <c r="C1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12" s="6">
        <v>221</v>
      </c>
      <c r="E12" s="6">
        <v>8</v>
      </c>
      <c r="F12" s="6">
        <v>12</v>
      </c>
      <c r="G12" s="6">
        <v>48</v>
      </c>
      <c r="H12" s="6">
        <v>12</v>
      </c>
      <c r="I12" s="6"/>
      <c r="J12" s="6" t="s">
        <v>62</v>
      </c>
      <c r="K12" s="6" t="s">
        <v>2437</v>
      </c>
      <c r="L12" s="6">
        <v>100</v>
      </c>
      <c r="M12" s="6">
        <v>4500</v>
      </c>
      <c r="N12" s="6">
        <v>6.7</v>
      </c>
      <c r="O12" s="6">
        <v>1199</v>
      </c>
      <c r="P12" s="6" t="s">
        <v>2368</v>
      </c>
      <c r="Q12" s="6">
        <f>Table2_1[[#This Row],[Specs Score]] / (Table2_1[[#This Row],[Launched Price (USA)]] ^ 0.85)</f>
        <v>0.11844132022480587</v>
      </c>
      <c r="R12" s="6">
        <f>IFERROR(Table2_1[[#This Row],[Launched Price (USA)]] / S12, "")</f>
        <v>24.45229562932742</v>
      </c>
      <c r="S1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49.034250942146798</v>
      </c>
      <c r="T12" s="6">
        <v>2024</v>
      </c>
    </row>
    <row r="13" spans="1:20" x14ac:dyDescent="0.25">
      <c r="A13" s="6" t="s">
        <v>15</v>
      </c>
      <c r="B13" s="6" t="s">
        <v>90</v>
      </c>
      <c r="C13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13" s="6">
        <v>221</v>
      </c>
      <c r="E13" s="6">
        <v>8</v>
      </c>
      <c r="F13" s="6">
        <v>12</v>
      </c>
      <c r="G13" s="6">
        <v>48</v>
      </c>
      <c r="H13" s="6">
        <v>12</v>
      </c>
      <c r="I13" s="6"/>
      <c r="J13" s="6" t="s">
        <v>62</v>
      </c>
      <c r="K13" s="6" t="s">
        <v>2437</v>
      </c>
      <c r="L13" s="6">
        <v>100</v>
      </c>
      <c r="M13" s="6">
        <v>4500</v>
      </c>
      <c r="N13" s="6">
        <v>6.7</v>
      </c>
      <c r="O13" s="6">
        <v>1299</v>
      </c>
      <c r="P13" s="6" t="s">
        <v>2368</v>
      </c>
      <c r="Q13" s="6">
        <f>Table2_1[[#This Row],[Specs Score]] / (Table2_1[[#This Row],[Launched Price (USA)]] ^ 0.85)</f>
        <v>0.12811454538457634</v>
      </c>
      <c r="R13" s="6">
        <f>IFERROR(Table2_1[[#This Row],[Launched Price (USA)]] / S13, "")</f>
        <v>22.879310530880097</v>
      </c>
      <c r="S1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56.776186426017766</v>
      </c>
      <c r="T13" s="6">
        <v>2024</v>
      </c>
    </row>
    <row r="14" spans="1:20" x14ac:dyDescent="0.25">
      <c r="A14" s="6" t="s">
        <v>15</v>
      </c>
      <c r="B14" s="6" t="s">
        <v>96</v>
      </c>
      <c r="C1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4" s="6">
        <v>171</v>
      </c>
      <c r="E14" s="6">
        <v>6</v>
      </c>
      <c r="F14" s="6">
        <v>12</v>
      </c>
      <c r="G14" s="6">
        <v>48</v>
      </c>
      <c r="H14" s="6"/>
      <c r="I14" s="6"/>
      <c r="J14" s="6" t="s">
        <v>98</v>
      </c>
      <c r="K14" s="6" t="s">
        <v>2437</v>
      </c>
      <c r="L14" s="6">
        <v>95</v>
      </c>
      <c r="M14" s="6">
        <v>3200</v>
      </c>
      <c r="N14" s="6">
        <v>6.1</v>
      </c>
      <c r="O14" s="6">
        <v>799</v>
      </c>
      <c r="P14" s="6" t="s">
        <v>2368</v>
      </c>
      <c r="Q14" s="6">
        <f>Table2_1[[#This Row],[Specs Score]] / (Table2_1[[#This Row],[Launched Price (USA)]] ^ 0.85)</f>
        <v>0.13354713476241503</v>
      </c>
      <c r="R14" s="6">
        <f>IFERROR(Table2_1[[#This Row],[Launched Price (USA)]] / S14, "")</f>
        <v>20.405509459666941</v>
      </c>
      <c r="S1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39.15609172019375</v>
      </c>
      <c r="T14" s="6">
        <v>2023</v>
      </c>
    </row>
    <row r="15" spans="1:20" x14ac:dyDescent="0.25">
      <c r="A15" s="6" t="s">
        <v>15</v>
      </c>
      <c r="B15" s="6" t="s">
        <v>104</v>
      </c>
      <c r="C1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15" s="6">
        <v>171</v>
      </c>
      <c r="E15" s="6">
        <v>6</v>
      </c>
      <c r="F15" s="6">
        <v>12</v>
      </c>
      <c r="G15" s="6">
        <v>48</v>
      </c>
      <c r="H15" s="6"/>
      <c r="I15" s="6"/>
      <c r="J15" s="6" t="s">
        <v>98</v>
      </c>
      <c r="K15" s="6" t="s">
        <v>2437</v>
      </c>
      <c r="L15" s="6">
        <v>95</v>
      </c>
      <c r="M15" s="6">
        <v>3200</v>
      </c>
      <c r="N15" s="6">
        <v>6.1</v>
      </c>
      <c r="O15" s="6">
        <v>849</v>
      </c>
      <c r="P15" s="6" t="s">
        <v>2368</v>
      </c>
      <c r="Q15" s="6">
        <f>Table2_1[[#This Row],[Specs Score]] / (Table2_1[[#This Row],[Launched Price (USA)]] ^ 0.85)</f>
        <v>0.13937026634702623</v>
      </c>
      <c r="R15" s="6">
        <f>IFERROR(Table2_1[[#This Row],[Launched Price (USA)]] / S15, "")</f>
        <v>19.731769045180911</v>
      </c>
      <c r="S1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43.02705946212923</v>
      </c>
      <c r="T15" s="6">
        <v>2023</v>
      </c>
    </row>
    <row r="16" spans="1:20" x14ac:dyDescent="0.25">
      <c r="A16" s="6" t="s">
        <v>15</v>
      </c>
      <c r="B16" s="6" t="s">
        <v>107</v>
      </c>
      <c r="C16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16" s="6">
        <v>171</v>
      </c>
      <c r="E16" s="6">
        <v>6</v>
      </c>
      <c r="F16" s="6">
        <v>12</v>
      </c>
      <c r="G16" s="6">
        <v>48</v>
      </c>
      <c r="H16" s="6"/>
      <c r="I16" s="6"/>
      <c r="J16" s="6" t="s">
        <v>98</v>
      </c>
      <c r="K16" s="6" t="s">
        <v>2437</v>
      </c>
      <c r="L16" s="6">
        <v>95</v>
      </c>
      <c r="M16" s="6">
        <v>3200</v>
      </c>
      <c r="N16" s="6">
        <v>6.1</v>
      </c>
      <c r="O16" s="6">
        <v>949</v>
      </c>
      <c r="P16" s="6" t="s">
        <v>2368</v>
      </c>
      <c r="Q16" s="6">
        <f>Table2_1[[#This Row],[Specs Score]] / (Table2_1[[#This Row],[Launched Price (USA)]] ^ 0.85)</f>
        <v>0.14959679368275924</v>
      </c>
      <c r="R16" s="6">
        <f>IFERROR(Table2_1[[#This Row],[Launched Price (USA)]] / S16, "")</f>
        <v>18.69251106919473</v>
      </c>
      <c r="S1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50.768994946000198</v>
      </c>
      <c r="T16" s="6">
        <v>2023</v>
      </c>
    </row>
    <row r="17" spans="1:20" x14ac:dyDescent="0.25">
      <c r="A17" s="6" t="s">
        <v>15</v>
      </c>
      <c r="B17" s="6" t="s">
        <v>109</v>
      </c>
      <c r="C1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7" s="6">
        <v>203</v>
      </c>
      <c r="E17" s="6">
        <v>6</v>
      </c>
      <c r="F17" s="6">
        <v>12</v>
      </c>
      <c r="G17" s="6">
        <v>48</v>
      </c>
      <c r="H17" s="6"/>
      <c r="I17" s="6"/>
      <c r="J17" s="6" t="s">
        <v>98</v>
      </c>
      <c r="K17" s="6" t="s">
        <v>2437</v>
      </c>
      <c r="L17" s="6">
        <v>95</v>
      </c>
      <c r="M17" s="6">
        <v>4300</v>
      </c>
      <c r="N17" s="6">
        <v>6.7</v>
      </c>
      <c r="O17" s="6">
        <v>899</v>
      </c>
      <c r="P17" s="6" t="s">
        <v>2368</v>
      </c>
      <c r="Q17" s="6">
        <f>Table2_1[[#This Row],[Specs Score]] / (Table2_1[[#This Row],[Launched Price (USA)]] ^ 0.85)</f>
        <v>0.12827204774241416</v>
      </c>
      <c r="R17" s="6">
        <f>IFERROR(Table2_1[[#This Row],[Launched Price (USA)]] / S17, "")</f>
        <v>21.623795517535914</v>
      </c>
      <c r="S1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41.574569981063313</v>
      </c>
      <c r="T17" s="6">
        <v>2023</v>
      </c>
    </row>
    <row r="18" spans="1:20" x14ac:dyDescent="0.25">
      <c r="A18" s="6" t="s">
        <v>15</v>
      </c>
      <c r="B18" s="6" t="s">
        <v>112</v>
      </c>
      <c r="C1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18" s="6">
        <v>203</v>
      </c>
      <c r="E18" s="6">
        <v>6</v>
      </c>
      <c r="F18" s="6">
        <v>12</v>
      </c>
      <c r="G18" s="6">
        <v>48</v>
      </c>
      <c r="H18" s="6"/>
      <c r="I18" s="6"/>
      <c r="J18" s="6" t="s">
        <v>98</v>
      </c>
      <c r="K18" s="6" t="s">
        <v>2437</v>
      </c>
      <c r="L18" s="6">
        <v>95</v>
      </c>
      <c r="M18" s="6">
        <v>4300</v>
      </c>
      <c r="N18" s="6">
        <v>6.7</v>
      </c>
      <c r="O18" s="6">
        <v>999</v>
      </c>
      <c r="P18" s="6" t="s">
        <v>2368</v>
      </c>
      <c r="Q18" s="6">
        <f>Table2_1[[#This Row],[Specs Score]] / (Table2_1[[#This Row],[Launched Price (USA)]] ^ 0.85)</f>
        <v>0.12819189911024623</v>
      </c>
      <c r="R18" s="6">
        <f>IFERROR(Table2_1[[#This Row],[Launched Price (USA)]] / S18, "")</f>
        <v>21.982356245604116</v>
      </c>
      <c r="S1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45.445537722998793</v>
      </c>
      <c r="T18" s="6">
        <v>2023</v>
      </c>
    </row>
    <row r="19" spans="1:20" x14ac:dyDescent="0.25">
      <c r="A19" s="6" t="s">
        <v>15</v>
      </c>
      <c r="B19" s="6" t="s">
        <v>113</v>
      </c>
      <c r="C19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19" s="6">
        <v>203</v>
      </c>
      <c r="E19" s="6">
        <v>6</v>
      </c>
      <c r="F19" s="6">
        <v>12</v>
      </c>
      <c r="G19" s="6">
        <v>48</v>
      </c>
      <c r="H19" s="6"/>
      <c r="I19" s="6"/>
      <c r="J19" s="6" t="s">
        <v>98</v>
      </c>
      <c r="K19" s="6" t="s">
        <v>2437</v>
      </c>
      <c r="L19" s="6">
        <v>95</v>
      </c>
      <c r="M19" s="6">
        <v>4300</v>
      </c>
      <c r="N19" s="6">
        <v>6.7</v>
      </c>
      <c r="O19" s="6">
        <v>1049</v>
      </c>
      <c r="P19" s="6" t="s">
        <v>2368</v>
      </c>
      <c r="Q19" s="6">
        <f>Table2_1[[#This Row],[Specs Score]] / (Table2_1[[#This Row],[Launched Price (USA)]] ^ 0.85)</f>
        <v>0.14392962494129571</v>
      </c>
      <c r="R19" s="6">
        <f>IFERROR(Table2_1[[#This Row],[Launched Price (USA)]] / S19, "")</f>
        <v>19.722689136217696</v>
      </c>
      <c r="S1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53.187473206869761</v>
      </c>
      <c r="T19" s="6">
        <v>2023</v>
      </c>
    </row>
    <row r="20" spans="1:20" x14ac:dyDescent="0.25">
      <c r="A20" s="6" t="s">
        <v>15</v>
      </c>
      <c r="B20" s="6" t="s">
        <v>116</v>
      </c>
      <c r="C2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0" s="6">
        <v>206</v>
      </c>
      <c r="E20" s="6">
        <v>6</v>
      </c>
      <c r="F20" s="6">
        <v>12</v>
      </c>
      <c r="G20" s="6">
        <v>48</v>
      </c>
      <c r="H20" s="6">
        <v>12</v>
      </c>
      <c r="I20" s="6"/>
      <c r="J20" s="6" t="s">
        <v>98</v>
      </c>
      <c r="K20" s="6" t="s">
        <v>2437</v>
      </c>
      <c r="L20" s="6">
        <v>95</v>
      </c>
      <c r="M20" s="6">
        <v>4400</v>
      </c>
      <c r="N20" s="6">
        <v>6.1</v>
      </c>
      <c r="O20" s="6">
        <v>1099</v>
      </c>
      <c r="P20" s="6" t="s">
        <v>2368</v>
      </c>
      <c r="Q20" s="6">
        <f>Table2_1[[#This Row],[Specs Score]] / (Table2_1[[#This Row],[Launched Price (USA)]] ^ 0.85)</f>
        <v>0.10693676612533641</v>
      </c>
      <c r="R20" s="6">
        <f>IFERROR(Table2_1[[#This Row],[Launched Price (USA)]] / S20, "")</f>
        <v>26.731455568674171</v>
      </c>
      <c r="S2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41.11261345932418</v>
      </c>
      <c r="T20" s="6">
        <v>2023</v>
      </c>
    </row>
    <row r="21" spans="1:20" x14ac:dyDescent="0.25">
      <c r="A21" s="6" t="s">
        <v>15</v>
      </c>
      <c r="B21" s="6" t="s">
        <v>117</v>
      </c>
      <c r="C2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21" s="6">
        <v>206</v>
      </c>
      <c r="E21" s="6">
        <v>8</v>
      </c>
      <c r="F21" s="6">
        <v>12</v>
      </c>
      <c r="G21" s="6">
        <v>48</v>
      </c>
      <c r="H21" s="6">
        <v>12</v>
      </c>
      <c r="I21" s="6"/>
      <c r="J21" s="6" t="s">
        <v>98</v>
      </c>
      <c r="K21" s="6" t="s">
        <v>2437</v>
      </c>
      <c r="L21" s="6">
        <v>95</v>
      </c>
      <c r="M21" s="6">
        <v>4400</v>
      </c>
      <c r="N21" s="6">
        <v>6.1</v>
      </c>
      <c r="O21" s="6">
        <v>1199</v>
      </c>
      <c r="P21" s="6" t="s">
        <v>2368</v>
      </c>
      <c r="Q21" s="6">
        <f>Table2_1[[#This Row],[Specs Score]] / (Table2_1[[#This Row],[Launched Price (USA)]] ^ 0.85)</f>
        <v>0.11348796564532428</v>
      </c>
      <c r="R21" s="6">
        <f>IFERROR(Table2_1[[#This Row],[Launched Price (USA)]] / S21, "")</f>
        <v>25.519553200168872</v>
      </c>
      <c r="S2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46.983581201259661</v>
      </c>
      <c r="T21" s="6">
        <v>2023</v>
      </c>
    </row>
    <row r="22" spans="1:20" x14ac:dyDescent="0.25">
      <c r="A22" s="6" t="s">
        <v>15</v>
      </c>
      <c r="B22" s="6" t="s">
        <v>119</v>
      </c>
      <c r="C22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22" s="6">
        <v>206</v>
      </c>
      <c r="E22" s="6">
        <v>8</v>
      </c>
      <c r="F22" s="6">
        <v>12</v>
      </c>
      <c r="G22" s="6">
        <v>48</v>
      </c>
      <c r="H22" s="6">
        <v>12</v>
      </c>
      <c r="I22" s="6"/>
      <c r="J22" s="6" t="s">
        <v>98</v>
      </c>
      <c r="K22" s="6" t="s">
        <v>2437</v>
      </c>
      <c r="L22" s="6">
        <v>95</v>
      </c>
      <c r="M22" s="6">
        <v>4400</v>
      </c>
      <c r="N22" s="6">
        <v>6.1</v>
      </c>
      <c r="O22" s="6">
        <v>1299</v>
      </c>
      <c r="P22" s="6" t="s">
        <v>2368</v>
      </c>
      <c r="Q22" s="6">
        <f>Table2_1[[#This Row],[Specs Score]] / (Table2_1[[#This Row],[Launched Price (USA)]] ^ 0.85)</f>
        <v>0.12348724231747089</v>
      </c>
      <c r="R22" s="6">
        <f>IFERROR(Table2_1[[#This Row],[Launched Price (USA)]] / S22, "")</f>
        <v>23.736642039835669</v>
      </c>
      <c r="S2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54.725516685130629</v>
      </c>
      <c r="T22" s="6">
        <v>2023</v>
      </c>
    </row>
    <row r="23" spans="1:20" x14ac:dyDescent="0.25">
      <c r="A23" s="6" t="s">
        <v>15</v>
      </c>
      <c r="B23" s="6" t="s">
        <v>122</v>
      </c>
      <c r="C2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3" s="6">
        <v>221</v>
      </c>
      <c r="E23" s="6">
        <v>6</v>
      </c>
      <c r="F23" s="6">
        <v>12</v>
      </c>
      <c r="G23" s="6">
        <v>48</v>
      </c>
      <c r="H23" s="6">
        <v>12</v>
      </c>
      <c r="I23" s="6"/>
      <c r="J23" s="6" t="s">
        <v>98</v>
      </c>
      <c r="K23" s="6" t="s">
        <v>2437</v>
      </c>
      <c r="L23" s="6">
        <v>95</v>
      </c>
      <c r="M23" s="6">
        <v>4500</v>
      </c>
      <c r="N23" s="6">
        <v>6.7</v>
      </c>
      <c r="O23" s="6">
        <v>1199</v>
      </c>
      <c r="P23" s="6" t="s">
        <v>2368</v>
      </c>
      <c r="Q23" s="6">
        <f>Table2_1[[#This Row],[Specs Score]] / (Table2_1[[#This Row],[Launched Price (USA)]] ^ 0.85)</f>
        <v>0.1012102567209517</v>
      </c>
      <c r="R23" s="6">
        <f>IFERROR(Table2_1[[#This Row],[Launched Price (USA)]] / S23, "")</f>
        <v>28.615303139185205</v>
      </c>
      <c r="S2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41.900656937585055</v>
      </c>
      <c r="T23" s="6">
        <v>2023</v>
      </c>
    </row>
    <row r="24" spans="1:20" x14ac:dyDescent="0.25">
      <c r="A24" s="6" t="s">
        <v>15</v>
      </c>
      <c r="B24" s="6" t="s">
        <v>124</v>
      </c>
      <c r="C2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24" s="6">
        <v>221</v>
      </c>
      <c r="E24" s="6">
        <v>8</v>
      </c>
      <c r="F24" s="6">
        <v>12</v>
      </c>
      <c r="G24" s="6">
        <v>48</v>
      </c>
      <c r="H24" s="6">
        <v>12</v>
      </c>
      <c r="I24" s="6"/>
      <c r="J24" s="6" t="s">
        <v>98</v>
      </c>
      <c r="K24" s="6" t="s">
        <v>2437</v>
      </c>
      <c r="L24" s="6">
        <v>95</v>
      </c>
      <c r="M24" s="6">
        <v>4500</v>
      </c>
      <c r="N24" s="6">
        <v>6.7</v>
      </c>
      <c r="O24" s="6">
        <v>1299</v>
      </c>
      <c r="P24" s="6" t="s">
        <v>2368</v>
      </c>
      <c r="Q24" s="6">
        <f>Table2_1[[#This Row],[Specs Score]] / (Table2_1[[#This Row],[Launched Price (USA)]] ^ 0.85)</f>
        <v>0.10779589760003276</v>
      </c>
      <c r="R24" s="6">
        <f>IFERROR(Table2_1[[#This Row],[Launched Price (USA)]] / S24, "")</f>
        <v>27.191874019659938</v>
      </c>
      <c r="S2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47.771624679520535</v>
      </c>
      <c r="T24" s="6">
        <v>2023</v>
      </c>
    </row>
    <row r="25" spans="1:20" x14ac:dyDescent="0.25">
      <c r="A25" s="6" t="s">
        <v>15</v>
      </c>
      <c r="B25" s="6" t="s">
        <v>125</v>
      </c>
      <c r="C25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25" s="6">
        <v>221</v>
      </c>
      <c r="E25" s="6">
        <v>8</v>
      </c>
      <c r="F25" s="6">
        <v>12</v>
      </c>
      <c r="G25" s="6">
        <v>48</v>
      </c>
      <c r="H25" s="6">
        <v>12</v>
      </c>
      <c r="I25" s="6"/>
      <c r="J25" s="6" t="s">
        <v>98</v>
      </c>
      <c r="K25" s="6" t="s">
        <v>2437</v>
      </c>
      <c r="L25" s="6">
        <v>95</v>
      </c>
      <c r="M25" s="6">
        <v>4500</v>
      </c>
      <c r="N25" s="6">
        <v>6.7</v>
      </c>
      <c r="O25" s="6">
        <v>1399</v>
      </c>
      <c r="P25" s="6" t="s">
        <v>2368</v>
      </c>
      <c r="Q25" s="6">
        <f>Table2_1[[#This Row],[Specs Score]] / (Table2_1[[#This Row],[Launched Price (USA)]] ^ 0.85)</f>
        <v>0.11761264658775411</v>
      </c>
      <c r="R25" s="6">
        <f>IFERROR(Table2_1[[#This Row],[Launched Price (USA)]] / S25, "")</f>
        <v>25.2010499035256</v>
      </c>
      <c r="S2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55.513560163391503</v>
      </c>
      <c r="T25" s="6">
        <v>2023</v>
      </c>
    </row>
    <row r="26" spans="1:20" x14ac:dyDescent="0.25">
      <c r="A26" s="6" t="s">
        <v>15</v>
      </c>
      <c r="B26" s="6" t="s">
        <v>130</v>
      </c>
      <c r="C2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6" s="6">
        <v>172</v>
      </c>
      <c r="E26" s="6">
        <v>6</v>
      </c>
      <c r="F26" s="6">
        <v>12</v>
      </c>
      <c r="G26" s="6">
        <v>12</v>
      </c>
      <c r="H26" s="6">
        <v>12</v>
      </c>
      <c r="I26" s="6"/>
      <c r="J26" s="6" t="s">
        <v>133</v>
      </c>
      <c r="K26" s="6" t="s">
        <v>2437</v>
      </c>
      <c r="L26" s="6">
        <v>90</v>
      </c>
      <c r="M26" s="6">
        <v>3200</v>
      </c>
      <c r="N26" s="6">
        <v>6.1</v>
      </c>
      <c r="O26" s="6">
        <v>799</v>
      </c>
      <c r="P26" s="6" t="s">
        <v>2368</v>
      </c>
      <c r="Q26" s="6">
        <f>Table2_1[[#This Row],[Specs Score]] / (Table2_1[[#This Row],[Launched Price (USA)]] ^ 0.85)</f>
        <v>0.12294422068455621</v>
      </c>
      <c r="R26" s="6">
        <f>IFERROR(Table2_1[[#This Row],[Launched Price (USA)]] / S26, "")</f>
        <v>22.165314534774161</v>
      </c>
      <c r="S2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36.047311611413633</v>
      </c>
      <c r="T26" s="6">
        <v>2022</v>
      </c>
    </row>
    <row r="27" spans="1:20" x14ac:dyDescent="0.25">
      <c r="A27" s="6" t="s">
        <v>15</v>
      </c>
      <c r="B27" s="6" t="s">
        <v>137</v>
      </c>
      <c r="C2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27" s="6">
        <v>172</v>
      </c>
      <c r="E27" s="6">
        <v>6</v>
      </c>
      <c r="F27" s="6">
        <v>12</v>
      </c>
      <c r="G27" s="6">
        <v>12</v>
      </c>
      <c r="H27" s="6">
        <v>12</v>
      </c>
      <c r="I27" s="6"/>
      <c r="J27" s="6" t="s">
        <v>133</v>
      </c>
      <c r="K27" s="6" t="s">
        <v>2437</v>
      </c>
      <c r="L27" s="6">
        <v>90</v>
      </c>
      <c r="M27" s="6">
        <v>3200</v>
      </c>
      <c r="N27" s="6">
        <v>6.1</v>
      </c>
      <c r="O27" s="6">
        <v>849</v>
      </c>
      <c r="P27" s="6" t="s">
        <v>2368</v>
      </c>
      <c r="Q27" s="6">
        <f>Table2_1[[#This Row],[Specs Score]] / (Table2_1[[#This Row],[Launched Price (USA)]] ^ 0.85)</f>
        <v>0.12930052146575285</v>
      </c>
      <c r="R27" s="6">
        <f>IFERROR(Table2_1[[#This Row],[Launched Price (USA)]] / S27, "")</f>
        <v>21.268451790840263</v>
      </c>
      <c r="S2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39.918279353349121</v>
      </c>
      <c r="T27" s="6">
        <v>2022</v>
      </c>
    </row>
    <row r="28" spans="1:20" x14ac:dyDescent="0.25">
      <c r="A28" s="6" t="s">
        <v>15</v>
      </c>
      <c r="B28" s="6" t="s">
        <v>139</v>
      </c>
      <c r="C28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28" s="6">
        <v>172</v>
      </c>
      <c r="E28" s="6">
        <v>6</v>
      </c>
      <c r="F28" s="6">
        <v>12</v>
      </c>
      <c r="G28" s="6">
        <v>12</v>
      </c>
      <c r="H28" s="6">
        <v>12</v>
      </c>
      <c r="I28" s="6"/>
      <c r="J28" s="6" t="s">
        <v>133</v>
      </c>
      <c r="K28" s="6" t="s">
        <v>2437</v>
      </c>
      <c r="L28" s="6">
        <v>90</v>
      </c>
      <c r="M28" s="6">
        <v>3200</v>
      </c>
      <c r="N28" s="6">
        <v>6.1</v>
      </c>
      <c r="O28" s="6">
        <v>949</v>
      </c>
      <c r="P28" s="6" t="s">
        <v>2368</v>
      </c>
      <c r="Q28" s="6">
        <f>Table2_1[[#This Row],[Specs Score]] / (Table2_1[[#This Row],[Launched Price (USA)]] ^ 0.85)</f>
        <v>0.14043640874638416</v>
      </c>
      <c r="R28" s="6">
        <f>IFERROR(Table2_1[[#This Row],[Launched Price (USA)]] / S28, "")</f>
        <v>19.911786030365974</v>
      </c>
      <c r="S2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47.660214837220089</v>
      </c>
      <c r="T28" s="6">
        <v>2022</v>
      </c>
    </row>
    <row r="29" spans="1:20" x14ac:dyDescent="0.25">
      <c r="A29" s="6" t="s">
        <v>15</v>
      </c>
      <c r="B29" s="6" t="s">
        <v>140</v>
      </c>
      <c r="C2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9" s="6">
        <v>203</v>
      </c>
      <c r="E29" s="6">
        <v>6</v>
      </c>
      <c r="F29" s="6">
        <v>12</v>
      </c>
      <c r="G29" s="6">
        <v>12</v>
      </c>
      <c r="H29" s="6">
        <v>12</v>
      </c>
      <c r="I29" s="6"/>
      <c r="J29" s="6" t="s">
        <v>133</v>
      </c>
      <c r="K29" s="6" t="s">
        <v>2437</v>
      </c>
      <c r="L29" s="6">
        <v>90</v>
      </c>
      <c r="M29" s="6">
        <v>4325</v>
      </c>
      <c r="N29" s="6">
        <v>6.7</v>
      </c>
      <c r="O29" s="6">
        <v>899</v>
      </c>
      <c r="P29" s="6" t="s">
        <v>2368</v>
      </c>
      <c r="Q29" s="6">
        <f>Table2_1[[#This Row],[Specs Score]] / (Table2_1[[#This Row],[Launched Price (USA)]] ^ 0.85)</f>
        <v>0.11880613840152449</v>
      </c>
      <c r="R29" s="6">
        <f>IFERROR(Table2_1[[#This Row],[Launched Price (USA)]] / S29, "")</f>
        <v>23.346676933672445</v>
      </c>
      <c r="S2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38.506550741848415</v>
      </c>
      <c r="T29" s="6">
        <v>2022</v>
      </c>
    </row>
    <row r="30" spans="1:20" x14ac:dyDescent="0.25">
      <c r="A30" s="6" t="s">
        <v>15</v>
      </c>
      <c r="B30" s="6" t="s">
        <v>143</v>
      </c>
      <c r="C3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0" s="6">
        <v>203</v>
      </c>
      <c r="E30" s="6">
        <v>6</v>
      </c>
      <c r="F30" s="6">
        <v>12</v>
      </c>
      <c r="G30" s="6">
        <v>12</v>
      </c>
      <c r="H30" s="6">
        <v>12</v>
      </c>
      <c r="I30" s="6"/>
      <c r="J30" s="6" t="s">
        <v>133</v>
      </c>
      <c r="K30" s="6" t="s">
        <v>2437</v>
      </c>
      <c r="L30" s="6">
        <v>90</v>
      </c>
      <c r="M30" s="6">
        <v>4325</v>
      </c>
      <c r="N30" s="6">
        <v>6.7</v>
      </c>
      <c r="O30" s="6">
        <v>999</v>
      </c>
      <c r="P30" s="6" t="s">
        <v>2368</v>
      </c>
      <c r="Q30" s="6">
        <f>Table2_1[[#This Row],[Specs Score]] / (Table2_1[[#This Row],[Launched Price (USA)]] ^ 0.85)</f>
        <v>0.11953768942350083</v>
      </c>
      <c r="R30" s="6">
        <f>IFERROR(Table2_1[[#This Row],[Launched Price (USA)]] / S30, "")</f>
        <v>23.573820170293249</v>
      </c>
      <c r="S3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42.377518483783902</v>
      </c>
      <c r="T30" s="6">
        <v>2022</v>
      </c>
    </row>
    <row r="31" spans="1:20" x14ac:dyDescent="0.25">
      <c r="A31" s="6" t="s">
        <v>15</v>
      </c>
      <c r="B31" s="6" t="s">
        <v>145</v>
      </c>
      <c r="C31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31" s="6">
        <v>203</v>
      </c>
      <c r="E31" s="6">
        <v>6</v>
      </c>
      <c r="F31" s="6">
        <v>12</v>
      </c>
      <c r="G31" s="6">
        <v>12</v>
      </c>
      <c r="H31" s="6">
        <v>12</v>
      </c>
      <c r="I31" s="6"/>
      <c r="J31" s="6" t="s">
        <v>133</v>
      </c>
      <c r="K31" s="6" t="s">
        <v>2437</v>
      </c>
      <c r="L31" s="6">
        <v>90</v>
      </c>
      <c r="M31" s="6">
        <v>4325</v>
      </c>
      <c r="N31" s="6">
        <v>6.7</v>
      </c>
      <c r="O31" s="6">
        <v>1049</v>
      </c>
      <c r="P31" s="6" t="s">
        <v>2368</v>
      </c>
      <c r="Q31" s="6">
        <f>Table2_1[[#This Row],[Specs Score]] / (Table2_1[[#This Row],[Launched Price (USA)]] ^ 0.85)</f>
        <v>0.13562731554796581</v>
      </c>
      <c r="R31" s="6">
        <f>IFERROR(Table2_1[[#This Row],[Launched Price (USA)]] / S31, "")</f>
        <v>20.929996577316732</v>
      </c>
      <c r="S3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50.11945396765487</v>
      </c>
      <c r="T31" s="6">
        <v>2022</v>
      </c>
    </row>
    <row r="32" spans="1:20" x14ac:dyDescent="0.25">
      <c r="A32" s="6" t="s">
        <v>15</v>
      </c>
      <c r="B32" s="6" t="s">
        <v>147</v>
      </c>
      <c r="C3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2" s="6">
        <v>206</v>
      </c>
      <c r="E32" s="6">
        <v>6</v>
      </c>
      <c r="F32" s="6">
        <v>12</v>
      </c>
      <c r="G32" s="6">
        <v>48</v>
      </c>
      <c r="H32" s="6">
        <v>12</v>
      </c>
      <c r="I32" s="6"/>
      <c r="J32" s="6" t="s">
        <v>98</v>
      </c>
      <c r="K32" s="6" t="s">
        <v>2437</v>
      </c>
      <c r="L32" s="6">
        <v>95</v>
      </c>
      <c r="M32" s="6">
        <v>4200</v>
      </c>
      <c r="N32" s="6">
        <v>6.1</v>
      </c>
      <c r="O32" s="6">
        <v>1099</v>
      </c>
      <c r="P32" s="6" t="s">
        <v>2368</v>
      </c>
      <c r="Q32" s="6">
        <f>Table2_1[[#This Row],[Specs Score]] / (Table2_1[[#This Row],[Launched Price (USA)]] ^ 0.85)</f>
        <v>0.10608859127893343</v>
      </c>
      <c r="R32" s="6">
        <f>IFERROR(Table2_1[[#This Row],[Launched Price (USA)]] / S32, "")</f>
        <v>26.945172688939021</v>
      </c>
      <c r="S3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40.786526502802445</v>
      </c>
      <c r="T32" s="6">
        <v>2022</v>
      </c>
    </row>
    <row r="33" spans="1:20" x14ac:dyDescent="0.25">
      <c r="A33" s="6" t="s">
        <v>15</v>
      </c>
      <c r="B33" s="6" t="s">
        <v>149</v>
      </c>
      <c r="C3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3" s="6">
        <v>206</v>
      </c>
      <c r="E33" s="6">
        <v>8</v>
      </c>
      <c r="F33" s="6">
        <v>12</v>
      </c>
      <c r="G33" s="6">
        <v>48</v>
      </c>
      <c r="H33" s="6">
        <v>12</v>
      </c>
      <c r="I33" s="6"/>
      <c r="J33" s="6" t="s">
        <v>98</v>
      </c>
      <c r="K33" s="6" t="s">
        <v>2437</v>
      </c>
      <c r="L33" s="6">
        <v>95</v>
      </c>
      <c r="M33" s="6">
        <v>4200</v>
      </c>
      <c r="N33" s="6">
        <v>6.1</v>
      </c>
      <c r="O33" s="6">
        <v>1199</v>
      </c>
      <c r="P33" s="6" t="s">
        <v>2368</v>
      </c>
      <c r="Q33" s="6">
        <f>Table2_1[[#This Row],[Specs Score]] / (Table2_1[[#This Row],[Launched Price (USA)]] ^ 0.85)</f>
        <v>0.11270030867297465</v>
      </c>
      <c r="R33" s="6">
        <f>IFERROR(Table2_1[[#This Row],[Launched Price (USA)]] / S33, "")</f>
        <v>25.697908115484026</v>
      </c>
      <c r="S3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46.657494244737926</v>
      </c>
      <c r="T33" s="6">
        <v>2022</v>
      </c>
    </row>
    <row r="34" spans="1:20" x14ac:dyDescent="0.25">
      <c r="A34" s="6" t="s">
        <v>15</v>
      </c>
      <c r="B34" s="6" t="s">
        <v>150</v>
      </c>
      <c r="C34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34" s="6">
        <v>206</v>
      </c>
      <c r="E34" s="6">
        <v>8</v>
      </c>
      <c r="F34" s="6">
        <v>12</v>
      </c>
      <c r="G34" s="6">
        <v>48</v>
      </c>
      <c r="H34" s="6">
        <v>12</v>
      </c>
      <c r="I34" s="6"/>
      <c r="J34" s="6" t="s">
        <v>98</v>
      </c>
      <c r="K34" s="6" t="s">
        <v>2437</v>
      </c>
      <c r="L34" s="6">
        <v>95</v>
      </c>
      <c r="M34" s="6">
        <v>4200</v>
      </c>
      <c r="N34" s="6">
        <v>6.1</v>
      </c>
      <c r="O34" s="6">
        <v>1299</v>
      </c>
      <c r="P34" s="6" t="s">
        <v>2368</v>
      </c>
      <c r="Q34" s="6">
        <f>Table2_1[[#This Row],[Specs Score]] / (Table2_1[[#This Row],[Launched Price (USA)]] ^ 0.85)</f>
        <v>0.12275143237988273</v>
      </c>
      <c r="R34" s="6">
        <f>IFERROR(Table2_1[[#This Row],[Launched Price (USA)]] / S34, "")</f>
        <v>23.878926791705876</v>
      </c>
      <c r="S3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54.399429728608894</v>
      </c>
      <c r="T34" s="6">
        <v>2022</v>
      </c>
    </row>
    <row r="35" spans="1:20" x14ac:dyDescent="0.25">
      <c r="A35" s="6" t="s">
        <v>15</v>
      </c>
      <c r="B35" s="6" t="s">
        <v>151</v>
      </c>
      <c r="C3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5" s="6">
        <v>221</v>
      </c>
      <c r="E35" s="6">
        <v>6</v>
      </c>
      <c r="F35" s="6">
        <v>12</v>
      </c>
      <c r="G35" s="6">
        <v>48</v>
      </c>
      <c r="H35" s="6">
        <v>12</v>
      </c>
      <c r="I35" s="6"/>
      <c r="J35" s="6" t="s">
        <v>98</v>
      </c>
      <c r="K35" s="6" t="s">
        <v>2437</v>
      </c>
      <c r="L35" s="6">
        <v>95</v>
      </c>
      <c r="M35" s="6">
        <v>4500</v>
      </c>
      <c r="N35" s="6">
        <v>6.7</v>
      </c>
      <c r="O35" s="6">
        <v>1199</v>
      </c>
      <c r="P35" s="6" t="s">
        <v>2368</v>
      </c>
      <c r="Q35" s="6">
        <f>Table2_1[[#This Row],[Specs Score]] / (Table2_1[[#This Row],[Launched Price (USA)]] ^ 0.85)</f>
        <v>0.1012102567209517</v>
      </c>
      <c r="R35" s="6">
        <f>IFERROR(Table2_1[[#This Row],[Launched Price (USA)]] / S35, "")</f>
        <v>28.615303139185205</v>
      </c>
      <c r="S3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41.900656937585055</v>
      </c>
      <c r="T35" s="6">
        <v>2022</v>
      </c>
    </row>
    <row r="36" spans="1:20" x14ac:dyDescent="0.25">
      <c r="A36" s="6" t="s">
        <v>15</v>
      </c>
      <c r="B36" s="6" t="s">
        <v>153</v>
      </c>
      <c r="C3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6" s="6">
        <v>221</v>
      </c>
      <c r="E36" s="6">
        <v>8</v>
      </c>
      <c r="F36" s="6">
        <v>12</v>
      </c>
      <c r="G36" s="6">
        <v>48</v>
      </c>
      <c r="H36" s="6">
        <v>12</v>
      </c>
      <c r="I36" s="6"/>
      <c r="J36" s="6" t="s">
        <v>98</v>
      </c>
      <c r="K36" s="6" t="s">
        <v>2437</v>
      </c>
      <c r="L36" s="6">
        <v>95</v>
      </c>
      <c r="M36" s="6">
        <v>4500</v>
      </c>
      <c r="N36" s="6">
        <v>6.7</v>
      </c>
      <c r="O36" s="6">
        <v>1299</v>
      </c>
      <c r="P36" s="6" t="s">
        <v>2368</v>
      </c>
      <c r="Q36" s="6">
        <f>Table2_1[[#This Row],[Specs Score]] / (Table2_1[[#This Row],[Launched Price (USA)]] ^ 0.85)</f>
        <v>0.10779589760003276</v>
      </c>
      <c r="R36" s="6">
        <f>IFERROR(Table2_1[[#This Row],[Launched Price (USA)]] / S36, "")</f>
        <v>27.191874019659938</v>
      </c>
      <c r="S3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47.771624679520535</v>
      </c>
      <c r="T36" s="6">
        <v>2022</v>
      </c>
    </row>
    <row r="37" spans="1:20" x14ac:dyDescent="0.25">
      <c r="A37" s="6" t="s">
        <v>15</v>
      </c>
      <c r="B37" s="6" t="s">
        <v>155</v>
      </c>
      <c r="C37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37" s="6">
        <v>221</v>
      </c>
      <c r="E37" s="6">
        <v>8</v>
      </c>
      <c r="F37" s="6">
        <v>12</v>
      </c>
      <c r="G37" s="6">
        <v>48</v>
      </c>
      <c r="H37" s="6">
        <v>12</v>
      </c>
      <c r="I37" s="6"/>
      <c r="J37" s="6" t="s">
        <v>98</v>
      </c>
      <c r="K37" s="6" t="s">
        <v>2437</v>
      </c>
      <c r="L37" s="6">
        <v>95</v>
      </c>
      <c r="M37" s="6">
        <v>4500</v>
      </c>
      <c r="N37" s="6">
        <v>6.7</v>
      </c>
      <c r="O37" s="6">
        <v>1399</v>
      </c>
      <c r="P37" s="6" t="s">
        <v>2368</v>
      </c>
      <c r="Q37" s="6">
        <f>Table2_1[[#This Row],[Specs Score]] / (Table2_1[[#This Row],[Launched Price (USA)]] ^ 0.85)</f>
        <v>0.11761264658775411</v>
      </c>
      <c r="R37" s="6">
        <f>IFERROR(Table2_1[[#This Row],[Launched Price (USA)]] / S37, "")</f>
        <v>25.2010499035256</v>
      </c>
      <c r="S3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55.513560163391503</v>
      </c>
      <c r="T37" s="6">
        <v>2022</v>
      </c>
    </row>
    <row r="38" spans="1:20" x14ac:dyDescent="0.25">
      <c r="A38" s="6" t="s">
        <v>15</v>
      </c>
      <c r="B38" s="6" t="s">
        <v>160</v>
      </c>
      <c r="C3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8" s="6">
        <v>140</v>
      </c>
      <c r="E38" s="6">
        <v>4</v>
      </c>
      <c r="F38" s="6">
        <v>12</v>
      </c>
      <c r="G38" s="6">
        <v>12</v>
      </c>
      <c r="H38" s="6"/>
      <c r="I38" s="6"/>
      <c r="J38" s="6" t="s">
        <v>133</v>
      </c>
      <c r="K38" s="6" t="s">
        <v>2437</v>
      </c>
      <c r="L38" s="6">
        <v>90</v>
      </c>
      <c r="M38" s="6">
        <v>2438</v>
      </c>
      <c r="N38" s="6">
        <v>5.4</v>
      </c>
      <c r="O38" s="6">
        <v>699</v>
      </c>
      <c r="P38" s="6" t="s">
        <v>2368</v>
      </c>
      <c r="Q38" s="6">
        <f>Table2_1[[#This Row],[Specs Score]] / (Table2_1[[#This Row],[Launched Price (USA)]] ^ 0.85)</f>
        <v>0.12256635471813243</v>
      </c>
      <c r="R38" s="6">
        <f>IFERROR(Table2_1[[#This Row],[Launched Price (USA)]] / S38, "")</f>
        <v>21.792161388832202</v>
      </c>
      <c r="S3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32.075753640399135</v>
      </c>
      <c r="T38" s="6">
        <v>2021</v>
      </c>
    </row>
    <row r="39" spans="1:20" x14ac:dyDescent="0.25">
      <c r="A39" s="6" t="s">
        <v>15</v>
      </c>
      <c r="B39" s="6" t="s">
        <v>169</v>
      </c>
      <c r="C3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9" s="6">
        <v>140</v>
      </c>
      <c r="E39" s="6">
        <v>4</v>
      </c>
      <c r="F39" s="6">
        <v>12</v>
      </c>
      <c r="G39" s="6">
        <v>12</v>
      </c>
      <c r="H39" s="6"/>
      <c r="I39" s="6"/>
      <c r="J39" s="6" t="s">
        <v>133</v>
      </c>
      <c r="K39" s="6" t="s">
        <v>2437</v>
      </c>
      <c r="L39" s="6">
        <v>90</v>
      </c>
      <c r="M39" s="6">
        <v>2438</v>
      </c>
      <c r="N39" s="6">
        <v>5.4</v>
      </c>
      <c r="O39" s="6">
        <v>799</v>
      </c>
      <c r="P39" s="6" t="s">
        <v>2368</v>
      </c>
      <c r="Q39" s="6">
        <f>Table2_1[[#This Row],[Specs Score]] / (Table2_1[[#This Row],[Launched Price (USA)]] ^ 0.85)</f>
        <v>0.12260114413405183</v>
      </c>
      <c r="R39" s="6">
        <f>IFERROR(Table2_1[[#This Row],[Launched Price (USA)]] / S39, "")</f>
        <v>22.227340054235221</v>
      </c>
      <c r="S3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35.946721382334623</v>
      </c>
      <c r="T39" s="6">
        <v>2021</v>
      </c>
    </row>
    <row r="40" spans="1:20" x14ac:dyDescent="0.25">
      <c r="A40" s="6" t="s">
        <v>15</v>
      </c>
      <c r="B40" s="6" t="s">
        <v>171</v>
      </c>
      <c r="C40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40" s="6">
        <v>140</v>
      </c>
      <c r="E40" s="6">
        <v>4</v>
      </c>
      <c r="F40" s="6">
        <v>12</v>
      </c>
      <c r="G40" s="6">
        <v>12</v>
      </c>
      <c r="H40" s="6"/>
      <c r="I40" s="6"/>
      <c r="J40" s="6" t="s">
        <v>133</v>
      </c>
      <c r="K40" s="6" t="s">
        <v>2437</v>
      </c>
      <c r="L40" s="6">
        <v>90</v>
      </c>
      <c r="M40" s="6">
        <v>2438</v>
      </c>
      <c r="N40" s="6">
        <v>5.4</v>
      </c>
      <c r="O40" s="6">
        <v>899</v>
      </c>
      <c r="P40" s="6" t="s">
        <v>2368</v>
      </c>
      <c r="Q40" s="6">
        <f>Table2_1[[#This Row],[Specs Score]] / (Table2_1[[#This Row],[Launched Price (USA)]] ^ 0.85)</f>
        <v>0.13479474308204364</v>
      </c>
      <c r="R40" s="6">
        <f>IFERROR(Table2_1[[#This Row],[Launched Price (USA)]] / S40, "")</f>
        <v>20.577423626300625</v>
      </c>
      <c r="S4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43.688656866205591</v>
      </c>
      <c r="T40" s="6">
        <v>2021</v>
      </c>
    </row>
    <row r="41" spans="1:20" x14ac:dyDescent="0.25">
      <c r="A41" s="6" t="s">
        <v>15</v>
      </c>
      <c r="B41" s="6" t="s">
        <v>174</v>
      </c>
      <c r="C4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1" s="6">
        <v>174</v>
      </c>
      <c r="E41" s="6">
        <v>4</v>
      </c>
      <c r="F41" s="6">
        <v>12</v>
      </c>
      <c r="G41" s="6">
        <v>12</v>
      </c>
      <c r="H41" s="6">
        <v>12</v>
      </c>
      <c r="I41" s="6"/>
      <c r="J41" s="6" t="s">
        <v>133</v>
      </c>
      <c r="K41" s="6" t="s">
        <v>2437</v>
      </c>
      <c r="L41" s="6">
        <v>90</v>
      </c>
      <c r="M41" s="6">
        <v>3240</v>
      </c>
      <c r="N41" s="6">
        <v>6.1</v>
      </c>
      <c r="O41" s="6">
        <v>799</v>
      </c>
      <c r="P41" s="6" t="s">
        <v>2368</v>
      </c>
      <c r="Q41" s="6">
        <f>Table2_1[[#This Row],[Specs Score]] / (Table2_1[[#This Row],[Launched Price (USA)]] ^ 0.85)</f>
        <v>0.11634538350678444</v>
      </c>
      <c r="R41" s="6">
        <f>IFERROR(Table2_1[[#This Row],[Launched Price (USA)]] / S41, "")</f>
        <v>23.422479169936015</v>
      </c>
      <c r="S4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34.112529002717977</v>
      </c>
      <c r="T41" s="6">
        <v>2021</v>
      </c>
    </row>
    <row r="42" spans="1:20" x14ac:dyDescent="0.25">
      <c r="A42" s="6" t="s">
        <v>15</v>
      </c>
      <c r="B42" s="6" t="s">
        <v>176</v>
      </c>
      <c r="C4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2" s="6">
        <v>174</v>
      </c>
      <c r="E42" s="6">
        <v>4</v>
      </c>
      <c r="F42" s="6">
        <v>12</v>
      </c>
      <c r="G42" s="6">
        <v>12</v>
      </c>
      <c r="H42" s="6">
        <v>12</v>
      </c>
      <c r="I42" s="6"/>
      <c r="J42" s="6" t="s">
        <v>133</v>
      </c>
      <c r="K42" s="6" t="s">
        <v>2437</v>
      </c>
      <c r="L42" s="6">
        <v>90</v>
      </c>
      <c r="M42" s="6">
        <v>3240</v>
      </c>
      <c r="N42" s="6">
        <v>6.1</v>
      </c>
      <c r="O42" s="6">
        <v>899</v>
      </c>
      <c r="P42" s="6" t="s">
        <v>2368</v>
      </c>
      <c r="Q42" s="6">
        <f>Table2_1[[#This Row],[Specs Score]] / (Table2_1[[#This Row],[Launched Price (USA)]] ^ 0.85)</f>
        <v>0.11719233440233433</v>
      </c>
      <c r="R42" s="6">
        <f>IFERROR(Table2_1[[#This Row],[Launched Price (USA)]] / S42, "")</f>
        <v>23.66817373459811</v>
      </c>
      <c r="S4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37.983496744653465</v>
      </c>
      <c r="T42" s="6">
        <v>2021</v>
      </c>
    </row>
    <row r="43" spans="1:20" x14ac:dyDescent="0.25">
      <c r="A43" s="6" t="s">
        <v>15</v>
      </c>
      <c r="B43" s="6" t="s">
        <v>177</v>
      </c>
      <c r="C43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43" s="6">
        <v>174</v>
      </c>
      <c r="E43" s="6">
        <v>4</v>
      </c>
      <c r="F43" s="6">
        <v>12</v>
      </c>
      <c r="G43" s="6">
        <v>12</v>
      </c>
      <c r="H43" s="6">
        <v>12</v>
      </c>
      <c r="I43" s="6"/>
      <c r="J43" s="6" t="s">
        <v>133</v>
      </c>
      <c r="K43" s="6" t="s">
        <v>2437</v>
      </c>
      <c r="L43" s="6">
        <v>90</v>
      </c>
      <c r="M43" s="6">
        <v>3240</v>
      </c>
      <c r="N43" s="6">
        <v>6.1</v>
      </c>
      <c r="O43" s="6">
        <v>999</v>
      </c>
      <c r="P43" s="6" t="s">
        <v>2368</v>
      </c>
      <c r="Q43" s="6">
        <f>Table2_1[[#This Row],[Specs Score]] / (Table2_1[[#This Row],[Launched Price (USA)]] ^ 0.85)</f>
        <v>0.12898142015040981</v>
      </c>
      <c r="R43" s="6">
        <f>IFERROR(Table2_1[[#This Row],[Launched Price (USA)]] / S43, "")</f>
        <v>21.847797851472336</v>
      </c>
      <c r="S4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45.725432228524433</v>
      </c>
      <c r="T43" s="6">
        <v>2021</v>
      </c>
    </row>
    <row r="44" spans="1:20" x14ac:dyDescent="0.25">
      <c r="A44" s="6" t="s">
        <v>15</v>
      </c>
      <c r="B44" s="6" t="s">
        <v>179</v>
      </c>
      <c r="C4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4" s="6">
        <v>204</v>
      </c>
      <c r="E44" s="6">
        <v>6</v>
      </c>
      <c r="F44" s="6">
        <v>12</v>
      </c>
      <c r="G44" s="6">
        <v>12</v>
      </c>
      <c r="H44" s="6">
        <v>12</v>
      </c>
      <c r="I44" s="6">
        <v>12</v>
      </c>
      <c r="J44" s="6" t="s">
        <v>133</v>
      </c>
      <c r="K44" s="6" t="s">
        <v>2437</v>
      </c>
      <c r="L44" s="6">
        <v>90</v>
      </c>
      <c r="M44" s="6">
        <v>3095</v>
      </c>
      <c r="N44" s="6">
        <v>6.1</v>
      </c>
      <c r="O44" s="6">
        <v>999</v>
      </c>
      <c r="P44" s="6" t="s">
        <v>2368</v>
      </c>
      <c r="Q44" s="6">
        <f>Table2_1[[#This Row],[Specs Score]] / (Table2_1[[#This Row],[Launched Price (USA)]] ^ 0.85)</f>
        <v>0.10119865817292126</v>
      </c>
      <c r="R44" s="6">
        <f>IFERROR(Table2_1[[#This Row],[Launched Price (USA)]] / S44, "")</f>
        <v>27.845823698836394</v>
      </c>
      <c r="S4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35.876115959239719</v>
      </c>
      <c r="T44" s="6">
        <v>2021</v>
      </c>
    </row>
    <row r="45" spans="1:20" x14ac:dyDescent="0.25">
      <c r="A45" s="6" t="s">
        <v>15</v>
      </c>
      <c r="B45" s="6" t="s">
        <v>184</v>
      </c>
      <c r="C4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5" s="6">
        <v>204</v>
      </c>
      <c r="E45" s="6">
        <v>6</v>
      </c>
      <c r="F45" s="6">
        <v>12</v>
      </c>
      <c r="G45" s="6">
        <v>12</v>
      </c>
      <c r="H45" s="6">
        <v>12</v>
      </c>
      <c r="I45" s="6">
        <v>12</v>
      </c>
      <c r="J45" s="6" t="s">
        <v>133</v>
      </c>
      <c r="K45" s="6" t="s">
        <v>2437</v>
      </c>
      <c r="L45" s="6">
        <v>90</v>
      </c>
      <c r="M45" s="6">
        <v>3095</v>
      </c>
      <c r="N45" s="6">
        <v>6.1</v>
      </c>
      <c r="O45" s="6">
        <v>1099</v>
      </c>
      <c r="P45" s="6" t="s">
        <v>2368</v>
      </c>
      <c r="Q45" s="6">
        <f>Table2_1[[#This Row],[Specs Score]] / (Table2_1[[#This Row],[Launched Price (USA)]] ^ 0.85)</f>
        <v>0.10338492828051446</v>
      </c>
      <c r="R45" s="6">
        <f>IFERROR(Table2_1[[#This Row],[Launched Price (USA)]] / S45, "")</f>
        <v>27.649827299593952</v>
      </c>
      <c r="S4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39.747083701175207</v>
      </c>
      <c r="T45" s="6">
        <v>2021</v>
      </c>
    </row>
    <row r="46" spans="1:20" x14ac:dyDescent="0.25">
      <c r="A46" s="6" t="s">
        <v>15</v>
      </c>
      <c r="B46" s="6" t="s">
        <v>187</v>
      </c>
      <c r="C46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46" s="6">
        <v>204</v>
      </c>
      <c r="E46" s="6">
        <v>6</v>
      </c>
      <c r="F46" s="6">
        <v>12</v>
      </c>
      <c r="G46" s="6">
        <v>12</v>
      </c>
      <c r="H46" s="6">
        <v>12</v>
      </c>
      <c r="I46" s="6">
        <v>12</v>
      </c>
      <c r="J46" s="6" t="s">
        <v>133</v>
      </c>
      <c r="K46" s="6" t="s">
        <v>2437</v>
      </c>
      <c r="L46" s="6">
        <v>90</v>
      </c>
      <c r="M46" s="6">
        <v>3095</v>
      </c>
      <c r="N46" s="6">
        <v>6.1</v>
      </c>
      <c r="O46" s="6">
        <v>1199</v>
      </c>
      <c r="P46" s="6" t="s">
        <v>2368</v>
      </c>
      <c r="Q46" s="6">
        <f>Table2_1[[#This Row],[Specs Score]] / (Table2_1[[#This Row],[Launched Price (USA)]] ^ 0.85)</f>
        <v>0.11470884168485163</v>
      </c>
      <c r="R46" s="6">
        <f>IFERROR(Table2_1[[#This Row],[Launched Price (USA)]] / S46, "")</f>
        <v>25.247941957444201</v>
      </c>
      <c r="S4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47.489019185046175</v>
      </c>
      <c r="T46" s="6">
        <v>2021</v>
      </c>
    </row>
    <row r="47" spans="1:20" x14ac:dyDescent="0.25">
      <c r="A47" s="6" t="s">
        <v>15</v>
      </c>
      <c r="B47" s="6" t="s">
        <v>189</v>
      </c>
      <c r="C4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7" s="6">
        <v>238</v>
      </c>
      <c r="E47" s="6">
        <v>6</v>
      </c>
      <c r="F47" s="6">
        <v>12</v>
      </c>
      <c r="G47" s="6">
        <v>12</v>
      </c>
      <c r="H47" s="6">
        <v>12</v>
      </c>
      <c r="I47" s="6">
        <v>12</v>
      </c>
      <c r="J47" s="6" t="s">
        <v>133</v>
      </c>
      <c r="K47" s="6" t="s">
        <v>2437</v>
      </c>
      <c r="L47" s="6">
        <v>90</v>
      </c>
      <c r="M47" s="6">
        <v>4352</v>
      </c>
      <c r="N47" s="6">
        <v>6.7</v>
      </c>
      <c r="O47" s="6">
        <v>1099</v>
      </c>
      <c r="P47" s="6" t="s">
        <v>2368</v>
      </c>
      <c r="Q47" s="6">
        <f>Table2_1[[#This Row],[Specs Score]] / (Table2_1[[#This Row],[Launched Price (USA)]] ^ 0.85)</f>
        <v>0.10027271940459198</v>
      </c>
      <c r="R47" s="6">
        <f>IFERROR(Table2_1[[#This Row],[Launched Price (USA)]] / S47, "")</f>
        <v>28.508007255722468</v>
      </c>
      <c r="S4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38.55057248097885</v>
      </c>
      <c r="T47" s="6">
        <v>2021</v>
      </c>
    </row>
    <row r="48" spans="1:20" x14ac:dyDescent="0.25">
      <c r="A48" s="6" t="s">
        <v>15</v>
      </c>
      <c r="B48" s="6" t="s">
        <v>193</v>
      </c>
      <c r="C4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8" s="6">
        <v>238</v>
      </c>
      <c r="E48" s="6">
        <v>6</v>
      </c>
      <c r="F48" s="6">
        <v>12</v>
      </c>
      <c r="G48" s="6">
        <v>12</v>
      </c>
      <c r="H48" s="6">
        <v>12</v>
      </c>
      <c r="I48" s="6">
        <v>12</v>
      </c>
      <c r="J48" s="6" t="s">
        <v>133</v>
      </c>
      <c r="K48" s="6" t="s">
        <v>2437</v>
      </c>
      <c r="L48" s="6">
        <v>90</v>
      </c>
      <c r="M48" s="6">
        <v>4352</v>
      </c>
      <c r="N48" s="6">
        <v>6.7</v>
      </c>
      <c r="O48" s="6">
        <v>1199</v>
      </c>
      <c r="P48" s="6" t="s">
        <v>2368</v>
      </c>
      <c r="Q48" s="6">
        <f>Table2_1[[#This Row],[Specs Score]] / (Table2_1[[#This Row],[Launched Price (USA)]] ^ 0.85)</f>
        <v>0.10246844059879302</v>
      </c>
      <c r="R48" s="6">
        <f>IFERROR(Table2_1[[#This Row],[Launched Price (USA)]] / S48, "")</f>
        <v>28.263943121809387</v>
      </c>
      <c r="S4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42.421540222914338</v>
      </c>
      <c r="T48" s="6">
        <v>2021</v>
      </c>
    </row>
    <row r="49" spans="1:20" x14ac:dyDescent="0.25">
      <c r="A49" s="6" t="s">
        <v>15</v>
      </c>
      <c r="B49" s="6" t="s">
        <v>196</v>
      </c>
      <c r="C49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49" s="6">
        <v>238</v>
      </c>
      <c r="E49" s="6">
        <v>6</v>
      </c>
      <c r="F49" s="6">
        <v>12</v>
      </c>
      <c r="G49" s="6">
        <v>12</v>
      </c>
      <c r="H49" s="6">
        <v>12</v>
      </c>
      <c r="I49" s="6">
        <v>12</v>
      </c>
      <c r="J49" s="6" t="s">
        <v>133</v>
      </c>
      <c r="K49" s="6" t="s">
        <v>2437</v>
      </c>
      <c r="L49" s="6">
        <v>90</v>
      </c>
      <c r="M49" s="6">
        <v>4352</v>
      </c>
      <c r="N49" s="6">
        <v>6.7</v>
      </c>
      <c r="O49" s="6">
        <v>1399</v>
      </c>
      <c r="P49" s="6" t="s">
        <v>2368</v>
      </c>
      <c r="Q49" s="6">
        <f>Table2_1[[#This Row],[Specs Score]] / (Table2_1[[#This Row],[Launched Price (USA)]] ^ 0.85)</f>
        <v>0.10627780172178905</v>
      </c>
      <c r="R49" s="6">
        <f>IFERROR(Table2_1[[#This Row],[Launched Price (USA)]] / S49, "")</f>
        <v>27.88881711820391</v>
      </c>
      <c r="S4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50.163475706785306</v>
      </c>
      <c r="T49" s="6">
        <v>2021</v>
      </c>
    </row>
    <row r="50" spans="1:20" x14ac:dyDescent="0.25">
      <c r="A50" s="6" t="s">
        <v>15</v>
      </c>
      <c r="B50" s="6" t="s">
        <v>201</v>
      </c>
      <c r="C50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50" s="6">
        <v>135</v>
      </c>
      <c r="E50" s="6">
        <v>4</v>
      </c>
      <c r="F50" s="6">
        <v>12</v>
      </c>
      <c r="G50" s="6">
        <v>12</v>
      </c>
      <c r="H50" s="6"/>
      <c r="I50" s="6"/>
      <c r="J50" s="6" t="s">
        <v>203</v>
      </c>
      <c r="K50" s="6" t="s">
        <v>2437</v>
      </c>
      <c r="L50" s="6">
        <v>85</v>
      </c>
      <c r="M50" s="6">
        <v>2227</v>
      </c>
      <c r="N50" s="6">
        <v>5.4</v>
      </c>
      <c r="O50" s="6">
        <v>699</v>
      </c>
      <c r="P50" s="6" t="s">
        <v>2368</v>
      </c>
      <c r="Q50" s="6">
        <f>Table2_1[[#This Row],[Specs Score]] / (Table2_1[[#This Row],[Launched Price (USA)]] ^ 0.85)</f>
        <v>0.10903132771805153</v>
      </c>
      <c r="R50" s="6">
        <f>IFERROR(Table2_1[[#This Row],[Launched Price (USA)]] / S50, "")</f>
        <v>24.497415914858948</v>
      </c>
      <c r="S5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28.533621767674703</v>
      </c>
      <c r="T50" s="6">
        <v>2020</v>
      </c>
    </row>
    <row r="51" spans="1:20" x14ac:dyDescent="0.25">
      <c r="A51" s="6" t="s">
        <v>15</v>
      </c>
      <c r="B51" s="6" t="s">
        <v>205</v>
      </c>
      <c r="C5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1" s="6">
        <v>135</v>
      </c>
      <c r="E51" s="6">
        <v>4</v>
      </c>
      <c r="F51" s="6">
        <v>12</v>
      </c>
      <c r="G51" s="6">
        <v>12</v>
      </c>
      <c r="H51" s="6"/>
      <c r="I51" s="6"/>
      <c r="J51" s="6" t="s">
        <v>203</v>
      </c>
      <c r="K51" s="6" t="s">
        <v>2437</v>
      </c>
      <c r="L51" s="6">
        <v>85</v>
      </c>
      <c r="M51" s="6">
        <v>2227</v>
      </c>
      <c r="N51" s="6">
        <v>5.4</v>
      </c>
      <c r="O51" s="6">
        <v>799</v>
      </c>
      <c r="P51" s="6" t="s">
        <v>2368</v>
      </c>
      <c r="Q51" s="6">
        <f>Table2_1[[#This Row],[Specs Score]] / (Table2_1[[#This Row],[Launched Price (USA)]] ^ 0.85)</f>
        <v>0.10391899645887098</v>
      </c>
      <c r="R51" s="6">
        <f>IFERROR(Table2_1[[#This Row],[Launched Price (USA)]] / S51, "")</f>
        <v>26.223283659060485</v>
      </c>
      <c r="S5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30.469105638642443</v>
      </c>
      <c r="T51" s="6">
        <v>2020</v>
      </c>
    </row>
    <row r="52" spans="1:20" x14ac:dyDescent="0.25">
      <c r="A52" s="6" t="s">
        <v>15</v>
      </c>
      <c r="B52" s="6" t="s">
        <v>206</v>
      </c>
      <c r="C5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2" s="6">
        <v>135</v>
      </c>
      <c r="E52" s="6">
        <v>4</v>
      </c>
      <c r="F52" s="6">
        <v>12</v>
      </c>
      <c r="G52" s="6">
        <v>12</v>
      </c>
      <c r="H52" s="6"/>
      <c r="I52" s="6"/>
      <c r="J52" s="6" t="s">
        <v>203</v>
      </c>
      <c r="K52" s="6" t="s">
        <v>2437</v>
      </c>
      <c r="L52" s="6">
        <v>85</v>
      </c>
      <c r="M52" s="6">
        <v>2227</v>
      </c>
      <c r="N52" s="6">
        <v>5.4</v>
      </c>
      <c r="O52" s="6">
        <v>899</v>
      </c>
      <c r="P52" s="6" t="s">
        <v>2368</v>
      </c>
      <c r="Q52" s="6">
        <f>Table2_1[[#This Row],[Specs Score]] / (Table2_1[[#This Row],[Launched Price (USA)]] ^ 0.85)</f>
        <v>0.10595110266102237</v>
      </c>
      <c r="R52" s="6">
        <f>IFERROR(Table2_1[[#This Row],[Launched Price (USA)]] / S52, "")</f>
        <v>26.179326701976613</v>
      </c>
      <c r="S5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34.340073380577927</v>
      </c>
      <c r="T52" s="6">
        <v>2020</v>
      </c>
    </row>
    <row r="53" spans="1:20" x14ac:dyDescent="0.25">
      <c r="A53" s="6" t="s">
        <v>15</v>
      </c>
      <c r="B53" s="6" t="s">
        <v>207</v>
      </c>
      <c r="C53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53" s="6">
        <v>164</v>
      </c>
      <c r="E53" s="6">
        <v>4</v>
      </c>
      <c r="F53" s="6">
        <v>12</v>
      </c>
      <c r="G53" s="6">
        <v>12</v>
      </c>
      <c r="H53" s="6">
        <v>12</v>
      </c>
      <c r="I53" s="6"/>
      <c r="J53" s="6" t="s">
        <v>203</v>
      </c>
      <c r="K53" s="6" t="s">
        <v>2437</v>
      </c>
      <c r="L53" s="6">
        <v>85</v>
      </c>
      <c r="M53" s="6">
        <v>2815</v>
      </c>
      <c r="N53" s="6">
        <v>6.1</v>
      </c>
      <c r="O53" s="6">
        <v>799</v>
      </c>
      <c r="P53" s="6" t="s">
        <v>2368</v>
      </c>
      <c r="Q53" s="6">
        <f>Table2_1[[#This Row],[Specs Score]] / (Table2_1[[#This Row],[Launched Price (USA)]] ^ 0.85)</f>
        <v>0.10307444973984922</v>
      </c>
      <c r="R53" s="6">
        <f>IFERROR(Table2_1[[#This Row],[Launched Price (USA)]] / S53, "")</f>
        <v>26.438145714905875</v>
      </c>
      <c r="S5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30.221484086515279</v>
      </c>
      <c r="T53" s="6">
        <v>2020</v>
      </c>
    </row>
    <row r="54" spans="1:20" x14ac:dyDescent="0.25">
      <c r="A54" s="6" t="s">
        <v>15</v>
      </c>
      <c r="B54" s="6" t="s">
        <v>210</v>
      </c>
      <c r="C5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4" s="6">
        <v>164</v>
      </c>
      <c r="E54" s="6">
        <v>4</v>
      </c>
      <c r="F54" s="6">
        <v>12</v>
      </c>
      <c r="G54" s="6">
        <v>12</v>
      </c>
      <c r="H54" s="6">
        <v>12</v>
      </c>
      <c r="I54" s="6"/>
      <c r="J54" s="6" t="s">
        <v>203</v>
      </c>
      <c r="K54" s="6" t="s">
        <v>2437</v>
      </c>
      <c r="L54" s="6">
        <v>85</v>
      </c>
      <c r="M54" s="6">
        <v>2815</v>
      </c>
      <c r="N54" s="6">
        <v>6.1</v>
      </c>
      <c r="O54" s="6">
        <v>899</v>
      </c>
      <c r="P54" s="6" t="s">
        <v>2368</v>
      </c>
      <c r="Q54" s="6">
        <f>Table2_1[[#This Row],[Specs Score]] / (Table2_1[[#This Row],[Launched Price (USA)]] ^ 0.85)</f>
        <v>9.9215461061229415E-2</v>
      </c>
      <c r="R54" s="6">
        <f>IFERROR(Table2_1[[#This Row],[Launched Price (USA)]] / S54, "")</f>
        <v>27.956615847259943</v>
      </c>
      <c r="S5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32.156967957483019</v>
      </c>
      <c r="T54" s="6">
        <v>2020</v>
      </c>
    </row>
    <row r="55" spans="1:20" x14ac:dyDescent="0.25">
      <c r="A55" s="6" t="s">
        <v>15</v>
      </c>
      <c r="B55" s="6" t="s">
        <v>211</v>
      </c>
      <c r="C5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5" s="6">
        <v>164</v>
      </c>
      <c r="E55" s="6">
        <v>4</v>
      </c>
      <c r="F55" s="6">
        <v>12</v>
      </c>
      <c r="G55" s="6">
        <v>12</v>
      </c>
      <c r="H55" s="6">
        <v>12</v>
      </c>
      <c r="I55" s="6"/>
      <c r="J55" s="6" t="s">
        <v>203</v>
      </c>
      <c r="K55" s="6" t="s">
        <v>2437</v>
      </c>
      <c r="L55" s="6">
        <v>85</v>
      </c>
      <c r="M55" s="6">
        <v>2815</v>
      </c>
      <c r="N55" s="6">
        <v>6.1</v>
      </c>
      <c r="O55" s="6">
        <v>999</v>
      </c>
      <c r="P55" s="6" t="s">
        <v>2368</v>
      </c>
      <c r="Q55" s="6">
        <f>Table2_1[[#This Row],[Specs Score]] / (Table2_1[[#This Row],[Launched Price (USA)]] ^ 0.85)</f>
        <v>0.10162690837725526</v>
      </c>
      <c r="R55" s="6">
        <f>IFERROR(Table2_1[[#This Row],[Launched Price (USA)]] / S55, "")</f>
        <v>27.728482928765857</v>
      </c>
      <c r="S5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36.027935699418506</v>
      </c>
      <c r="T55" s="6">
        <v>2020</v>
      </c>
    </row>
    <row r="56" spans="1:20" x14ac:dyDescent="0.25">
      <c r="A56" s="6" t="s">
        <v>15</v>
      </c>
      <c r="B56" s="6" t="s">
        <v>212</v>
      </c>
      <c r="C5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6" s="6">
        <v>189</v>
      </c>
      <c r="E56" s="6">
        <v>6</v>
      </c>
      <c r="F56" s="6">
        <v>12</v>
      </c>
      <c r="G56" s="6">
        <v>12</v>
      </c>
      <c r="H56" s="6">
        <v>12</v>
      </c>
      <c r="I56" s="6">
        <v>12</v>
      </c>
      <c r="J56" s="6" t="s">
        <v>203</v>
      </c>
      <c r="K56" s="6" t="s">
        <v>2437</v>
      </c>
      <c r="L56" s="6">
        <v>85</v>
      </c>
      <c r="M56" s="6">
        <v>2815</v>
      </c>
      <c r="N56" s="6">
        <v>6.1</v>
      </c>
      <c r="O56" s="6">
        <v>999</v>
      </c>
      <c r="P56" s="6" t="s">
        <v>2368</v>
      </c>
      <c r="Q56" s="6">
        <f>Table2_1[[#This Row],[Specs Score]] / (Table2_1[[#This Row],[Launched Price (USA)]] ^ 0.85)</f>
        <v>9.6349318540501258E-2</v>
      </c>
      <c r="R56" s="6">
        <f>IFERROR(Table2_1[[#This Row],[Launched Price (USA)]] / S56, "")</f>
        <v>29.247326672657479</v>
      </c>
      <c r="S5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34.156967957483019</v>
      </c>
      <c r="T56" s="6">
        <v>2020</v>
      </c>
    </row>
    <row r="57" spans="1:20" x14ac:dyDescent="0.25">
      <c r="A57" s="6" t="s">
        <v>15</v>
      </c>
      <c r="B57" s="6" t="s">
        <v>214</v>
      </c>
      <c r="C5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7" s="6">
        <v>189</v>
      </c>
      <c r="E57" s="6">
        <v>6</v>
      </c>
      <c r="F57" s="6">
        <v>12</v>
      </c>
      <c r="G57" s="6">
        <v>12</v>
      </c>
      <c r="H57" s="6">
        <v>12</v>
      </c>
      <c r="I57" s="6">
        <v>12</v>
      </c>
      <c r="J57" s="6" t="s">
        <v>203</v>
      </c>
      <c r="K57" s="6" t="s">
        <v>2437</v>
      </c>
      <c r="L57" s="6">
        <v>85</v>
      </c>
      <c r="M57" s="6">
        <v>2815</v>
      </c>
      <c r="N57" s="6">
        <v>6.1</v>
      </c>
      <c r="O57" s="6">
        <v>1099</v>
      </c>
      <c r="P57" s="6" t="s">
        <v>2368</v>
      </c>
      <c r="Q57" s="6">
        <f>Table2_1[[#This Row],[Specs Score]] / (Table2_1[[#This Row],[Launched Price (USA)]] ^ 0.85)</f>
        <v>9.8913304797356855E-2</v>
      </c>
      <c r="R57" s="6">
        <f>IFERROR(Table2_1[[#This Row],[Launched Price (USA)]] / S57, "")</f>
        <v>28.899806938950018</v>
      </c>
      <c r="S5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38.027935699418506</v>
      </c>
      <c r="T57" s="6">
        <v>2020</v>
      </c>
    </row>
    <row r="58" spans="1:20" x14ac:dyDescent="0.25">
      <c r="A58" s="6" t="s">
        <v>15</v>
      </c>
      <c r="B58" s="6" t="s">
        <v>216</v>
      </c>
      <c r="C58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58" s="6">
        <v>189</v>
      </c>
      <c r="E58" s="6">
        <v>6</v>
      </c>
      <c r="F58" s="6">
        <v>12</v>
      </c>
      <c r="G58" s="6">
        <v>12</v>
      </c>
      <c r="H58" s="6">
        <v>12</v>
      </c>
      <c r="I58" s="6">
        <v>12</v>
      </c>
      <c r="J58" s="6" t="s">
        <v>203</v>
      </c>
      <c r="K58" s="6" t="s">
        <v>2437</v>
      </c>
      <c r="L58" s="6">
        <v>85</v>
      </c>
      <c r="M58" s="6">
        <v>2815</v>
      </c>
      <c r="N58" s="6">
        <v>6.1</v>
      </c>
      <c r="O58" s="6">
        <v>1199</v>
      </c>
      <c r="P58" s="6" t="s">
        <v>2368</v>
      </c>
      <c r="Q58" s="6">
        <f>Table2_1[[#This Row],[Specs Score]] / (Table2_1[[#This Row],[Launched Price (USA)]] ^ 0.85)</f>
        <v>0.11055627169392548</v>
      </c>
      <c r="R58" s="6">
        <f>IFERROR(Table2_1[[#This Row],[Launched Price (USA)]] / S58, "")</f>
        <v>26.196272110937326</v>
      </c>
      <c r="S5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45.769871183289474</v>
      </c>
      <c r="T58" s="6">
        <v>2020</v>
      </c>
    </row>
    <row r="59" spans="1:20" x14ac:dyDescent="0.25">
      <c r="A59" s="6" t="s">
        <v>15</v>
      </c>
      <c r="B59" s="6" t="s">
        <v>217</v>
      </c>
      <c r="C5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9" s="6">
        <v>228</v>
      </c>
      <c r="E59" s="6">
        <v>6</v>
      </c>
      <c r="F59" s="6">
        <v>12</v>
      </c>
      <c r="G59" s="6">
        <v>12</v>
      </c>
      <c r="H59" s="6">
        <v>12</v>
      </c>
      <c r="I59" s="6">
        <v>12</v>
      </c>
      <c r="J59" s="6" t="s">
        <v>203</v>
      </c>
      <c r="K59" s="6" t="s">
        <v>2437</v>
      </c>
      <c r="L59" s="6">
        <v>85</v>
      </c>
      <c r="M59" s="6">
        <v>3687</v>
      </c>
      <c r="N59" s="6">
        <v>6.7</v>
      </c>
      <c r="O59" s="6">
        <v>1099</v>
      </c>
      <c r="P59" s="6" t="s">
        <v>2368</v>
      </c>
      <c r="Q59" s="6">
        <f>Table2_1[[#This Row],[Specs Score]] / (Table2_1[[#This Row],[Launched Price (USA)]] ^ 0.85)</f>
        <v>9.4168359342108626E-2</v>
      </c>
      <c r="R59" s="6">
        <f>IFERROR(Table2_1[[#This Row],[Launched Price (USA)]] / S59, "")</f>
        <v>30.356007392590111</v>
      </c>
      <c r="S5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36.203707087917806</v>
      </c>
      <c r="T59" s="6">
        <v>2020</v>
      </c>
    </row>
    <row r="60" spans="1:20" x14ac:dyDescent="0.25">
      <c r="A60" s="6" t="s">
        <v>15</v>
      </c>
      <c r="B60" s="6" t="s">
        <v>221</v>
      </c>
      <c r="C6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0" s="6">
        <v>228</v>
      </c>
      <c r="E60" s="6">
        <v>6</v>
      </c>
      <c r="F60" s="6">
        <v>12</v>
      </c>
      <c r="G60" s="6">
        <v>12</v>
      </c>
      <c r="H60" s="6">
        <v>12</v>
      </c>
      <c r="I60" s="6">
        <v>12</v>
      </c>
      <c r="J60" s="6" t="s">
        <v>203</v>
      </c>
      <c r="K60" s="6" t="s">
        <v>2437</v>
      </c>
      <c r="L60" s="6">
        <v>85</v>
      </c>
      <c r="M60" s="6">
        <v>3687</v>
      </c>
      <c r="N60" s="6">
        <v>6.7</v>
      </c>
      <c r="O60" s="6">
        <v>1199</v>
      </c>
      <c r="P60" s="6" t="s">
        <v>2368</v>
      </c>
      <c r="Q60" s="6">
        <f>Table2_1[[#This Row],[Specs Score]] / (Table2_1[[#This Row],[Launched Price (USA)]] ^ 0.85)</f>
        <v>9.6799630936093825E-2</v>
      </c>
      <c r="R60" s="6">
        <f>IFERROR(Table2_1[[#This Row],[Launched Price (USA)]] / S60, "")</f>
        <v>29.919144823773223</v>
      </c>
      <c r="S6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40.074674829853286</v>
      </c>
      <c r="T60" s="6">
        <v>2020</v>
      </c>
    </row>
    <row r="61" spans="1:20" x14ac:dyDescent="0.25">
      <c r="A61" s="6" t="s">
        <v>15</v>
      </c>
      <c r="B61" s="6" t="s">
        <v>222</v>
      </c>
      <c r="C61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61" s="6">
        <v>228</v>
      </c>
      <c r="E61" s="6">
        <v>6</v>
      </c>
      <c r="F61" s="6">
        <v>12</v>
      </c>
      <c r="G61" s="6">
        <v>12</v>
      </c>
      <c r="H61" s="6">
        <v>12</v>
      </c>
      <c r="I61" s="6">
        <v>12</v>
      </c>
      <c r="J61" s="6" t="s">
        <v>203</v>
      </c>
      <c r="K61" s="6" t="s">
        <v>2437</v>
      </c>
      <c r="L61" s="6">
        <v>85</v>
      </c>
      <c r="M61" s="6">
        <v>3687</v>
      </c>
      <c r="N61" s="6">
        <v>6.7</v>
      </c>
      <c r="O61" s="6">
        <v>1399</v>
      </c>
      <c r="P61" s="6" t="s">
        <v>2368</v>
      </c>
      <c r="Q61" s="6">
        <f>Table2_1[[#This Row],[Specs Score]] / (Table2_1[[#This Row],[Launched Price (USA)]] ^ 0.85)</f>
        <v>0.10130566429715415</v>
      </c>
      <c r="R61" s="6">
        <f>IFERROR(Table2_1[[#This Row],[Launched Price (USA)]] / S61, "")</f>
        <v>29.25761551940165</v>
      </c>
      <c r="S6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47.816610313724262</v>
      </c>
      <c r="T61" s="6">
        <v>2020</v>
      </c>
    </row>
    <row r="62" spans="1:20" x14ac:dyDescent="0.25">
      <c r="A62" s="6" t="s">
        <v>15</v>
      </c>
      <c r="B62" s="6" t="s">
        <v>223</v>
      </c>
      <c r="C62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62" s="6">
        <v>194</v>
      </c>
      <c r="E62" s="6">
        <v>4</v>
      </c>
      <c r="F62" s="6">
        <v>12</v>
      </c>
      <c r="G62" s="6">
        <v>12</v>
      </c>
      <c r="H62" s="6">
        <v>12</v>
      </c>
      <c r="I62" s="6"/>
      <c r="J62" s="6" t="s">
        <v>225</v>
      </c>
      <c r="K62" s="6" t="s">
        <v>2437</v>
      </c>
      <c r="L62" s="6">
        <v>80</v>
      </c>
      <c r="M62" s="6">
        <v>3110</v>
      </c>
      <c r="N62" s="6">
        <v>6.1</v>
      </c>
      <c r="O62" s="6">
        <v>699</v>
      </c>
      <c r="P62" s="6" t="s">
        <v>2368</v>
      </c>
      <c r="Q62" s="6">
        <f>Table2_1[[#This Row],[Specs Score]] / (Table2_1[[#This Row],[Launched Price (USA)]] ^ 0.85)</f>
        <v>0.11249411106161918</v>
      </c>
      <c r="R62" s="6">
        <f>IFERROR(Table2_1[[#This Row],[Launched Price (USA)]] / S62, "")</f>
        <v>23.743338719262844</v>
      </c>
      <c r="S6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29.439836084758586</v>
      </c>
      <c r="T62" s="6">
        <v>2019</v>
      </c>
    </row>
    <row r="63" spans="1:20" x14ac:dyDescent="0.25">
      <c r="A63" s="6" t="s">
        <v>15</v>
      </c>
      <c r="B63" s="6" t="s">
        <v>230</v>
      </c>
      <c r="C6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3" s="6">
        <v>194</v>
      </c>
      <c r="E63" s="6">
        <v>4</v>
      </c>
      <c r="F63" s="6">
        <v>12</v>
      </c>
      <c r="G63" s="6">
        <v>12</v>
      </c>
      <c r="H63" s="6">
        <v>12</v>
      </c>
      <c r="I63" s="6"/>
      <c r="J63" s="6" t="s">
        <v>225</v>
      </c>
      <c r="K63" s="6" t="s">
        <v>2437</v>
      </c>
      <c r="L63" s="6">
        <v>80</v>
      </c>
      <c r="M63" s="6">
        <v>3110</v>
      </c>
      <c r="N63" s="6">
        <v>6.1</v>
      </c>
      <c r="O63" s="6">
        <v>799</v>
      </c>
      <c r="P63" s="6" t="s">
        <v>2368</v>
      </c>
      <c r="Q63" s="6">
        <f>Table2_1[[#This Row],[Specs Score]] / (Table2_1[[#This Row],[Launched Price (USA)]] ^ 0.85)</f>
        <v>0.1070097626771148</v>
      </c>
      <c r="R63" s="6">
        <f>IFERROR(Table2_1[[#This Row],[Launched Price (USA)]] / S63, "")</f>
        <v>25.465875762461319</v>
      </c>
      <c r="S6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31.375319955726326</v>
      </c>
      <c r="T63" s="6">
        <v>2019</v>
      </c>
    </row>
    <row r="64" spans="1:20" x14ac:dyDescent="0.25">
      <c r="A64" s="6" t="s">
        <v>15</v>
      </c>
      <c r="B64" s="6" t="s">
        <v>232</v>
      </c>
      <c r="C6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4" s="6">
        <v>194</v>
      </c>
      <c r="E64" s="6">
        <v>4</v>
      </c>
      <c r="F64" s="6">
        <v>12</v>
      </c>
      <c r="G64" s="6">
        <v>12</v>
      </c>
      <c r="H64" s="6">
        <v>12</v>
      </c>
      <c r="I64" s="6"/>
      <c r="J64" s="6" t="s">
        <v>225</v>
      </c>
      <c r="K64" s="6" t="s">
        <v>2437</v>
      </c>
      <c r="L64" s="6">
        <v>80</v>
      </c>
      <c r="M64" s="6">
        <v>3110</v>
      </c>
      <c r="N64" s="6">
        <v>6.1</v>
      </c>
      <c r="O64" s="6">
        <v>899</v>
      </c>
      <c r="P64" s="6" t="s">
        <v>2368</v>
      </c>
      <c r="Q64" s="6">
        <f>Table2_1[[#This Row],[Specs Score]] / (Table2_1[[#This Row],[Launched Price (USA)]] ^ 0.85)</f>
        <v>0.10874708987625491</v>
      </c>
      <c r="R64" s="6">
        <f>IFERROR(Table2_1[[#This Row],[Launched Price (USA)]] / S64, "")</f>
        <v>25.506232250939675</v>
      </c>
      <c r="S6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35.246287697661813</v>
      </c>
      <c r="T64" s="6">
        <v>2019</v>
      </c>
    </row>
    <row r="65" spans="1:20" x14ac:dyDescent="0.25">
      <c r="A65" s="6" t="s">
        <v>15</v>
      </c>
      <c r="B65" s="6" t="s">
        <v>234</v>
      </c>
      <c r="C65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65" s="6">
        <v>188</v>
      </c>
      <c r="E65" s="6">
        <v>4</v>
      </c>
      <c r="F65" s="6">
        <v>12</v>
      </c>
      <c r="G65" s="6">
        <v>12</v>
      </c>
      <c r="H65" s="6">
        <v>12</v>
      </c>
      <c r="I65" s="6">
        <v>12</v>
      </c>
      <c r="J65" s="6" t="s">
        <v>225</v>
      </c>
      <c r="K65" s="6" t="s">
        <v>2437</v>
      </c>
      <c r="L65" s="6">
        <v>80</v>
      </c>
      <c r="M65" s="6">
        <v>3046</v>
      </c>
      <c r="N65" s="6">
        <v>5.8</v>
      </c>
      <c r="O65" s="6">
        <v>999</v>
      </c>
      <c r="P65" s="6" t="s">
        <v>2368</v>
      </c>
      <c r="Q65" s="6">
        <f>Table2_1[[#This Row],[Specs Score]] / (Table2_1[[#This Row],[Launched Price (USA)]] ^ 0.85)</f>
        <v>8.1867487307794376E-2</v>
      </c>
      <c r="R65" s="6">
        <f>IFERROR(Table2_1[[#This Row],[Launched Price (USA)]] / S65, "")</f>
        <v>34.420990392039108</v>
      </c>
      <c r="S6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29.022988258671628</v>
      </c>
      <c r="T65" s="6">
        <v>2019</v>
      </c>
    </row>
    <row r="66" spans="1:20" x14ac:dyDescent="0.25">
      <c r="A66" s="6" t="s">
        <v>15</v>
      </c>
      <c r="B66" s="6" t="s">
        <v>240</v>
      </c>
      <c r="C6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6" s="6">
        <v>188</v>
      </c>
      <c r="E66" s="6">
        <v>4</v>
      </c>
      <c r="F66" s="6">
        <v>12</v>
      </c>
      <c r="G66" s="6">
        <v>12</v>
      </c>
      <c r="H66" s="6">
        <v>12</v>
      </c>
      <c r="I66" s="6">
        <v>12</v>
      </c>
      <c r="J66" s="6" t="s">
        <v>225</v>
      </c>
      <c r="K66" s="6" t="s">
        <v>2437</v>
      </c>
      <c r="L66" s="6">
        <v>80</v>
      </c>
      <c r="M66" s="6">
        <v>3046</v>
      </c>
      <c r="N66" s="6">
        <v>5.8</v>
      </c>
      <c r="O66" s="6">
        <v>1099</v>
      </c>
      <c r="P66" s="6" t="s">
        <v>2368</v>
      </c>
      <c r="Q66" s="6">
        <f>Table2_1[[#This Row],[Specs Score]] / (Table2_1[[#This Row],[Launched Price (USA)]] ^ 0.85)</f>
        <v>9.0593794761017671E-2</v>
      </c>
      <c r="R66" s="6">
        <f>IFERROR(Table2_1[[#This Row],[Launched Price (USA)]] / S66, "")</f>
        <v>31.553766125791771</v>
      </c>
      <c r="S6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34.829439871574856</v>
      </c>
      <c r="T66" s="6">
        <v>2019</v>
      </c>
    </row>
    <row r="67" spans="1:20" x14ac:dyDescent="0.25">
      <c r="A67" s="6" t="s">
        <v>15</v>
      </c>
      <c r="B67" s="6" t="s">
        <v>244</v>
      </c>
      <c r="C67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67" s="6">
        <v>188</v>
      </c>
      <c r="E67" s="6">
        <v>4</v>
      </c>
      <c r="F67" s="6">
        <v>12</v>
      </c>
      <c r="G67" s="6">
        <v>12</v>
      </c>
      <c r="H67" s="6">
        <v>12</v>
      </c>
      <c r="I67" s="6">
        <v>12</v>
      </c>
      <c r="J67" s="6" t="s">
        <v>225</v>
      </c>
      <c r="K67" s="6" t="s">
        <v>2437</v>
      </c>
      <c r="L67" s="6">
        <v>80</v>
      </c>
      <c r="M67" s="6">
        <v>3046</v>
      </c>
      <c r="N67" s="6">
        <v>5.8</v>
      </c>
      <c r="O67" s="6">
        <v>1199</v>
      </c>
      <c r="P67" s="6" t="s">
        <v>2368</v>
      </c>
      <c r="Q67" s="6">
        <f>Table2_1[[#This Row],[Specs Score]] / (Table2_1[[#This Row],[Launched Price (USA)]] ^ 0.85)</f>
        <v>0.10283036457177318</v>
      </c>
      <c r="R67" s="6">
        <f>IFERROR(Table2_1[[#This Row],[Launched Price (USA)]] / S67, "")</f>
        <v>28.164464736904989</v>
      </c>
      <c r="S6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42.571375355445824</v>
      </c>
      <c r="T67" s="6">
        <v>2019</v>
      </c>
    </row>
    <row r="68" spans="1:20" x14ac:dyDescent="0.25">
      <c r="A68" s="6" t="s">
        <v>15</v>
      </c>
      <c r="B68" s="6" t="s">
        <v>245</v>
      </c>
      <c r="C68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68" s="6">
        <v>226</v>
      </c>
      <c r="E68" s="6">
        <v>4</v>
      </c>
      <c r="F68" s="6">
        <v>12</v>
      </c>
      <c r="G68" s="6">
        <v>12</v>
      </c>
      <c r="H68" s="6">
        <v>12</v>
      </c>
      <c r="I68" s="6">
        <v>12</v>
      </c>
      <c r="J68" s="6" t="s">
        <v>225</v>
      </c>
      <c r="K68" s="6" t="s">
        <v>2437</v>
      </c>
      <c r="L68" s="6">
        <v>80</v>
      </c>
      <c r="M68" s="6">
        <v>3969</v>
      </c>
      <c r="N68" s="6">
        <v>6.5</v>
      </c>
      <c r="O68" s="6">
        <v>1099</v>
      </c>
      <c r="P68" s="6" t="s">
        <v>2368</v>
      </c>
      <c r="Q68" s="6">
        <f>Table2_1[[#This Row],[Specs Score]] / (Table2_1[[#This Row],[Launched Price (USA)]] ^ 0.85)</f>
        <v>8.130175051361764E-2</v>
      </c>
      <c r="R68" s="6">
        <f>IFERROR(Table2_1[[#This Row],[Launched Price (USA)]] / S68, "")</f>
        <v>35.160072129791772</v>
      </c>
      <c r="S6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31.257046229686122</v>
      </c>
      <c r="T68" s="6">
        <v>2019</v>
      </c>
    </row>
    <row r="69" spans="1:20" x14ac:dyDescent="0.25">
      <c r="A69" s="6" t="s">
        <v>15</v>
      </c>
      <c r="B69" s="6" t="s">
        <v>250</v>
      </c>
      <c r="C6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9" s="6">
        <v>226</v>
      </c>
      <c r="E69" s="6">
        <v>4</v>
      </c>
      <c r="F69" s="6">
        <v>12</v>
      </c>
      <c r="G69" s="6">
        <v>12</v>
      </c>
      <c r="H69" s="6">
        <v>12</v>
      </c>
      <c r="I69" s="6">
        <v>12</v>
      </c>
      <c r="J69" s="6" t="s">
        <v>225</v>
      </c>
      <c r="K69" s="6" t="s">
        <v>2437</v>
      </c>
      <c r="L69" s="6">
        <v>80</v>
      </c>
      <c r="M69" s="6">
        <v>3969</v>
      </c>
      <c r="N69" s="6">
        <v>6.5</v>
      </c>
      <c r="O69" s="6">
        <v>1199</v>
      </c>
      <c r="P69" s="6" t="s">
        <v>2368</v>
      </c>
      <c r="Q69" s="6">
        <f>Table2_1[[#This Row],[Specs Score]] / (Table2_1[[#This Row],[Launched Price (USA)]] ^ 0.85)</f>
        <v>8.9526188985835711E-2</v>
      </c>
      <c r="R69" s="6">
        <f>IFERROR(Table2_1[[#This Row],[Launched Price (USA)]] / S69, "")</f>
        <v>32.349887889486766</v>
      </c>
      <c r="S6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37.063497842589349</v>
      </c>
      <c r="T69" s="6">
        <v>2019</v>
      </c>
    </row>
    <row r="70" spans="1:20" x14ac:dyDescent="0.25">
      <c r="A70" s="6" t="s">
        <v>15</v>
      </c>
      <c r="B70" s="6" t="s">
        <v>252</v>
      </c>
      <c r="C70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70" s="6">
        <v>226</v>
      </c>
      <c r="E70" s="6">
        <v>4</v>
      </c>
      <c r="F70" s="6">
        <v>12</v>
      </c>
      <c r="G70" s="6">
        <v>12</v>
      </c>
      <c r="H70" s="6">
        <v>12</v>
      </c>
      <c r="I70" s="6">
        <v>12</v>
      </c>
      <c r="J70" s="6" t="s">
        <v>225</v>
      </c>
      <c r="K70" s="6" t="s">
        <v>2437</v>
      </c>
      <c r="L70" s="6">
        <v>80</v>
      </c>
      <c r="M70" s="6">
        <v>3969</v>
      </c>
      <c r="N70" s="6">
        <v>6.5</v>
      </c>
      <c r="O70" s="6">
        <v>1399</v>
      </c>
      <c r="P70" s="6" t="s">
        <v>2368</v>
      </c>
      <c r="Q70" s="6">
        <f>Table2_1[[#This Row],[Specs Score]] / (Table2_1[[#This Row],[Launched Price (USA)]] ^ 0.85)</f>
        <v>9.4926096966687759E-2</v>
      </c>
      <c r="R70" s="6">
        <f>IFERROR(Table2_1[[#This Row],[Launched Price (USA)]] / S70, "")</f>
        <v>31.223891750061618</v>
      </c>
      <c r="S7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44.80543332646031</v>
      </c>
      <c r="T70" s="6">
        <v>2019</v>
      </c>
    </row>
    <row r="71" spans="1:20" x14ac:dyDescent="0.25">
      <c r="A71" s="6" t="s">
        <v>15</v>
      </c>
      <c r="B71" s="6" t="s">
        <v>255</v>
      </c>
      <c r="C71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71" s="6">
        <v>174</v>
      </c>
      <c r="E71" s="6">
        <v>3</v>
      </c>
      <c r="F71" s="6">
        <v>7</v>
      </c>
      <c r="G71" s="6">
        <v>12</v>
      </c>
      <c r="H71" s="6">
        <v>12</v>
      </c>
      <c r="I71" s="6"/>
      <c r="J71" s="6" t="s">
        <v>258</v>
      </c>
      <c r="K71" s="6" t="s">
        <v>2437</v>
      </c>
      <c r="L71" s="6">
        <v>70</v>
      </c>
      <c r="M71" s="6">
        <v>2716</v>
      </c>
      <c r="N71" s="6">
        <v>5.8</v>
      </c>
      <c r="O71" s="6">
        <v>999</v>
      </c>
      <c r="P71" s="6" t="s">
        <v>2368</v>
      </c>
      <c r="Q71" s="6">
        <f>Table2_1[[#This Row],[Specs Score]] / (Table2_1[[#This Row],[Launched Price (USA)]] ^ 0.85)</f>
        <v>6.7974112494196673E-2</v>
      </c>
      <c r="R71" s="6">
        <f>IFERROR(Table2_1[[#This Row],[Launched Price (USA)]] / S71, "")</f>
        <v>41.456370530509822</v>
      </c>
      <c r="S7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24.097623289640993</v>
      </c>
      <c r="T71" s="6">
        <v>2017</v>
      </c>
    </row>
    <row r="72" spans="1:20" x14ac:dyDescent="0.25">
      <c r="A72" s="6" t="s">
        <v>15</v>
      </c>
      <c r="B72" s="6" t="s">
        <v>263</v>
      </c>
      <c r="C7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2" s="6">
        <v>174</v>
      </c>
      <c r="E72" s="6">
        <v>3</v>
      </c>
      <c r="F72" s="6">
        <v>7</v>
      </c>
      <c r="G72" s="6">
        <v>12</v>
      </c>
      <c r="H72" s="6">
        <v>12</v>
      </c>
      <c r="I72" s="6"/>
      <c r="J72" s="6" t="s">
        <v>258</v>
      </c>
      <c r="K72" s="6" t="s">
        <v>2437</v>
      </c>
      <c r="L72" s="6">
        <v>70</v>
      </c>
      <c r="M72" s="6">
        <v>2716</v>
      </c>
      <c r="N72" s="6">
        <v>5.8</v>
      </c>
      <c r="O72" s="6">
        <v>1099</v>
      </c>
      <c r="P72" s="6" t="s">
        <v>2368</v>
      </c>
      <c r="Q72" s="6">
        <f>Table2_1[[#This Row],[Specs Score]] / (Table2_1[[#This Row],[Launched Price (USA)]] ^ 0.85)</f>
        <v>7.7782578021019844E-2</v>
      </c>
      <c r="R72" s="6">
        <f>IFERROR(Table2_1[[#This Row],[Launched Price (USA)]] / S72, "")</f>
        <v>36.750844277296068</v>
      </c>
      <c r="S7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29.904074902544217</v>
      </c>
      <c r="T72" s="6">
        <v>2017</v>
      </c>
    </row>
    <row r="73" spans="1:20" x14ac:dyDescent="0.25">
      <c r="A73" s="6" t="s">
        <v>15</v>
      </c>
      <c r="B73" s="6" t="s">
        <v>265</v>
      </c>
      <c r="C73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73" s="6">
        <v>177</v>
      </c>
      <c r="E73" s="6">
        <v>4</v>
      </c>
      <c r="F73" s="6">
        <v>7</v>
      </c>
      <c r="G73" s="6">
        <v>12</v>
      </c>
      <c r="H73" s="6">
        <v>12</v>
      </c>
      <c r="I73" s="6"/>
      <c r="J73" s="6" t="s">
        <v>267</v>
      </c>
      <c r="K73" s="6" t="s">
        <v>2437</v>
      </c>
      <c r="L73" s="6">
        <v>75</v>
      </c>
      <c r="M73" s="6">
        <v>2658</v>
      </c>
      <c r="N73" s="6">
        <v>5.8</v>
      </c>
      <c r="O73" s="6">
        <v>999</v>
      </c>
      <c r="P73" s="6" t="s">
        <v>2368</v>
      </c>
      <c r="Q73" s="6">
        <f>Table2_1[[#This Row],[Specs Score]] / (Table2_1[[#This Row],[Launched Price (USA)]] ^ 0.85)</f>
        <v>7.4089737409224629E-2</v>
      </c>
      <c r="R73" s="6">
        <f>IFERROR(Table2_1[[#This Row],[Launched Price (USA)]] / S73, "")</f>
        <v>38.034417350912634</v>
      </c>
      <c r="S7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26.265684334875949</v>
      </c>
      <c r="T73" s="6">
        <v>2018</v>
      </c>
    </row>
    <row r="74" spans="1:20" x14ac:dyDescent="0.25">
      <c r="A74" s="6" t="s">
        <v>15</v>
      </c>
      <c r="B74" s="6" t="s">
        <v>270</v>
      </c>
      <c r="C7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4" s="6">
        <v>177</v>
      </c>
      <c r="E74" s="6">
        <v>4</v>
      </c>
      <c r="F74" s="6">
        <v>7</v>
      </c>
      <c r="G74" s="6">
        <v>12</v>
      </c>
      <c r="H74" s="6">
        <v>12</v>
      </c>
      <c r="I74" s="6"/>
      <c r="J74" s="6" t="s">
        <v>267</v>
      </c>
      <c r="K74" s="6" t="s">
        <v>2437</v>
      </c>
      <c r="L74" s="6">
        <v>75</v>
      </c>
      <c r="M74" s="6">
        <v>2658</v>
      </c>
      <c r="N74" s="6">
        <v>5.8</v>
      </c>
      <c r="O74" s="6">
        <v>1099</v>
      </c>
      <c r="P74" s="6" t="s">
        <v>2368</v>
      </c>
      <c r="Q74" s="6">
        <f>Table2_1[[#This Row],[Specs Score]] / (Table2_1[[#This Row],[Launched Price (USA)]] ^ 0.85)</f>
        <v>8.3421855542725562E-2</v>
      </c>
      <c r="R74" s="6">
        <f>IFERROR(Table2_1[[#This Row],[Launched Price (USA)]] / S74, "")</f>
        <v>34.266504787502313</v>
      </c>
      <c r="S7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32.072135947779174</v>
      </c>
      <c r="T74" s="6">
        <v>2018</v>
      </c>
    </row>
    <row r="75" spans="1:20" x14ac:dyDescent="0.25">
      <c r="A75" s="6" t="s">
        <v>15</v>
      </c>
      <c r="B75" s="6" t="s">
        <v>273</v>
      </c>
      <c r="C75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75" s="6">
        <v>177</v>
      </c>
      <c r="E75" s="6">
        <v>4</v>
      </c>
      <c r="F75" s="6">
        <v>7</v>
      </c>
      <c r="G75" s="6">
        <v>12</v>
      </c>
      <c r="H75" s="6">
        <v>12</v>
      </c>
      <c r="I75" s="6"/>
      <c r="J75" s="6" t="s">
        <v>267</v>
      </c>
      <c r="K75" s="6" t="s">
        <v>2437</v>
      </c>
      <c r="L75" s="6">
        <v>75</v>
      </c>
      <c r="M75" s="6">
        <v>2658</v>
      </c>
      <c r="N75" s="6">
        <v>5.8</v>
      </c>
      <c r="O75" s="6">
        <v>1299</v>
      </c>
      <c r="P75" s="6" t="s">
        <v>2368</v>
      </c>
      <c r="Q75" s="6">
        <f>Table2_1[[#This Row],[Specs Score]] / (Table2_1[[#This Row],[Launched Price (USA)]] ^ 0.85)</f>
        <v>8.9839807540111158E-2</v>
      </c>
      <c r="R75" s="6">
        <f>IFERROR(Table2_1[[#This Row],[Launched Price (USA)]] / S75, "")</f>
        <v>32.626655684536736</v>
      </c>
      <c r="S7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39.814071431650149</v>
      </c>
      <c r="T75" s="6">
        <v>2018</v>
      </c>
    </row>
    <row r="76" spans="1:20" x14ac:dyDescent="0.25">
      <c r="A76" s="6" t="s">
        <v>15</v>
      </c>
      <c r="B76" s="6" t="s">
        <v>276</v>
      </c>
      <c r="C76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76" s="6">
        <v>208</v>
      </c>
      <c r="E76" s="6">
        <v>4</v>
      </c>
      <c r="F76" s="6">
        <v>7</v>
      </c>
      <c r="G76" s="6">
        <v>12</v>
      </c>
      <c r="H76" s="6">
        <v>12</v>
      </c>
      <c r="I76" s="6"/>
      <c r="J76" s="6" t="s">
        <v>267</v>
      </c>
      <c r="K76" s="6" t="s">
        <v>2437</v>
      </c>
      <c r="L76" s="6">
        <v>75</v>
      </c>
      <c r="M76" s="6">
        <v>3174</v>
      </c>
      <c r="N76" s="6">
        <v>6.5</v>
      </c>
      <c r="O76" s="6">
        <v>1099</v>
      </c>
      <c r="P76" s="6" t="s">
        <v>2368</v>
      </c>
      <c r="Q76" s="6">
        <f>Table2_1[[#This Row],[Specs Score]] / (Table2_1[[#This Row],[Launched Price (USA)]] ^ 0.85)</f>
        <v>7.2403775482895449E-2</v>
      </c>
      <c r="R76" s="6">
        <f>IFERROR(Table2_1[[#This Row],[Launched Price (USA)]] / S76, "")</f>
        <v>39.481026966783475</v>
      </c>
      <c r="S7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27.836155349368706</v>
      </c>
      <c r="T76" s="6">
        <v>2018</v>
      </c>
    </row>
    <row r="77" spans="1:20" x14ac:dyDescent="0.25">
      <c r="A77" s="6" t="s">
        <v>15</v>
      </c>
      <c r="B77" s="6" t="s">
        <v>280</v>
      </c>
      <c r="C7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7" s="6">
        <v>208</v>
      </c>
      <c r="E77" s="6">
        <v>4</v>
      </c>
      <c r="F77" s="6">
        <v>7</v>
      </c>
      <c r="G77" s="6">
        <v>12</v>
      </c>
      <c r="H77" s="6">
        <v>12</v>
      </c>
      <c r="I77" s="6"/>
      <c r="J77" s="6" t="s">
        <v>267</v>
      </c>
      <c r="K77" s="6" t="s">
        <v>2437</v>
      </c>
      <c r="L77" s="6">
        <v>75</v>
      </c>
      <c r="M77" s="6">
        <v>3174</v>
      </c>
      <c r="N77" s="6">
        <v>6.5</v>
      </c>
      <c r="O77" s="6">
        <v>1249</v>
      </c>
      <c r="P77" s="6" t="s">
        <v>2368</v>
      </c>
      <c r="Q77" s="6">
        <f>Table2_1[[#This Row],[Specs Score]] / (Table2_1[[#This Row],[Launched Price (USA)]] ^ 0.85)</f>
        <v>7.8489501216832902E-2</v>
      </c>
      <c r="R77" s="6">
        <f>IFERROR(Table2_1[[#This Row],[Launched Price (USA)]] / S77, "")</f>
        <v>37.125541471880439</v>
      </c>
      <c r="S7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33.642606962271927</v>
      </c>
      <c r="T77" s="6">
        <v>2018</v>
      </c>
    </row>
    <row r="78" spans="1:20" x14ac:dyDescent="0.25">
      <c r="A78" s="6" t="s">
        <v>15</v>
      </c>
      <c r="B78" s="6" t="s">
        <v>283</v>
      </c>
      <c r="C78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78" s="6">
        <v>208</v>
      </c>
      <c r="E78" s="6">
        <v>4</v>
      </c>
      <c r="F78" s="6">
        <v>7</v>
      </c>
      <c r="G78" s="6">
        <v>12</v>
      </c>
      <c r="H78" s="6">
        <v>12</v>
      </c>
      <c r="I78" s="6"/>
      <c r="J78" s="6" t="s">
        <v>267</v>
      </c>
      <c r="K78" s="6" t="s">
        <v>2437</v>
      </c>
      <c r="L78" s="6">
        <v>75</v>
      </c>
      <c r="M78" s="6">
        <v>3174</v>
      </c>
      <c r="N78" s="6">
        <v>6.5</v>
      </c>
      <c r="O78" s="6">
        <v>1399</v>
      </c>
      <c r="P78" s="6" t="s">
        <v>2368</v>
      </c>
      <c r="Q78" s="6">
        <f>Table2_1[[#This Row],[Specs Score]] / (Table2_1[[#This Row],[Launched Price (USA)]] ^ 0.85)</f>
        <v>8.7678497840675176E-2</v>
      </c>
      <c r="R78" s="6">
        <f>IFERROR(Table2_1[[#This Row],[Launched Price (USA)]] / S78, "")</f>
        <v>33.804892293315397</v>
      </c>
      <c r="S7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41.384542446142895</v>
      </c>
      <c r="T78" s="6">
        <v>2018</v>
      </c>
    </row>
    <row r="79" spans="1:20" x14ac:dyDescent="0.25">
      <c r="A79" s="6" t="s">
        <v>15</v>
      </c>
      <c r="B79" s="6" t="s">
        <v>286</v>
      </c>
      <c r="C79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79" s="6">
        <v>194</v>
      </c>
      <c r="E79" s="6">
        <v>3</v>
      </c>
      <c r="F79" s="6">
        <v>7</v>
      </c>
      <c r="G79" s="6">
        <v>12</v>
      </c>
      <c r="H79" s="6">
        <v>12</v>
      </c>
      <c r="I79" s="6"/>
      <c r="J79" s="6" t="s">
        <v>267</v>
      </c>
      <c r="K79" s="6" t="s">
        <v>2437</v>
      </c>
      <c r="L79" s="6">
        <v>75</v>
      </c>
      <c r="M79" s="6">
        <v>2942</v>
      </c>
      <c r="N79" s="6">
        <v>6.1</v>
      </c>
      <c r="O79" s="6">
        <v>749</v>
      </c>
      <c r="P79" s="6" t="s">
        <v>2368</v>
      </c>
      <c r="Q79" s="6">
        <f>Table2_1[[#This Row],[Specs Score]] / (Table2_1[[#This Row],[Launched Price (USA)]] ^ 0.85)</f>
        <v>9.3832202775319437E-2</v>
      </c>
      <c r="R79" s="6">
        <f>IFERROR(Table2_1[[#This Row],[Launched Price (USA)]] / S79, "")</f>
        <v>28.762084697947984</v>
      </c>
      <c r="S7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26.041227813136821</v>
      </c>
      <c r="T79" s="6">
        <v>2018</v>
      </c>
    </row>
    <row r="80" spans="1:20" x14ac:dyDescent="0.25">
      <c r="A80" s="6" t="s">
        <v>15</v>
      </c>
      <c r="B80" s="6" t="s">
        <v>290</v>
      </c>
      <c r="C8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0" s="6">
        <v>194</v>
      </c>
      <c r="E80" s="6">
        <v>3</v>
      </c>
      <c r="F80" s="6">
        <v>7</v>
      </c>
      <c r="G80" s="6">
        <v>12</v>
      </c>
      <c r="H80" s="6">
        <v>12</v>
      </c>
      <c r="I80" s="6"/>
      <c r="J80" s="6" t="s">
        <v>267</v>
      </c>
      <c r="K80" s="6" t="s">
        <v>2437</v>
      </c>
      <c r="L80" s="6">
        <v>75</v>
      </c>
      <c r="M80" s="6">
        <v>2942</v>
      </c>
      <c r="N80" s="6">
        <v>6.1</v>
      </c>
      <c r="O80" s="6">
        <v>799</v>
      </c>
      <c r="P80" s="6" t="s">
        <v>2368</v>
      </c>
      <c r="Q80" s="6">
        <f>Table2_1[[#This Row],[Specs Score]] / (Table2_1[[#This Row],[Launched Price (USA)]] ^ 0.85)</f>
        <v>9.5418350538787014E-2</v>
      </c>
      <c r="R80" s="6">
        <f>IFERROR(Table2_1[[#This Row],[Launched Price (USA)]] / S80, "")</f>
        <v>28.559467925387573</v>
      </c>
      <c r="S8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27.976711684104561</v>
      </c>
      <c r="T80" s="6">
        <v>2018</v>
      </c>
    </row>
    <row r="81" spans="1:20" x14ac:dyDescent="0.25">
      <c r="A81" s="6" t="s">
        <v>15</v>
      </c>
      <c r="B81" s="6" t="s">
        <v>292</v>
      </c>
      <c r="C8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1" s="6">
        <v>194</v>
      </c>
      <c r="E81" s="6">
        <v>3</v>
      </c>
      <c r="F81" s="6">
        <v>7</v>
      </c>
      <c r="G81" s="6">
        <v>12</v>
      </c>
      <c r="H81" s="6">
        <v>12</v>
      </c>
      <c r="I81" s="6"/>
      <c r="J81" s="6" t="s">
        <v>267</v>
      </c>
      <c r="K81" s="6" t="s">
        <v>2437</v>
      </c>
      <c r="L81" s="6">
        <v>75</v>
      </c>
      <c r="M81" s="6">
        <v>2942</v>
      </c>
      <c r="N81" s="6">
        <v>6.1</v>
      </c>
      <c r="O81" s="6">
        <v>899</v>
      </c>
      <c r="P81" s="6" t="s">
        <v>2368</v>
      </c>
      <c r="Q81" s="6">
        <f>Table2_1[[#This Row],[Specs Score]] / (Table2_1[[#This Row],[Launched Price (USA)]] ^ 0.85)</f>
        <v>9.8261198075719161E-2</v>
      </c>
      <c r="R81" s="6">
        <f>IFERROR(Table2_1[[#This Row],[Launched Price (USA)]] / S81, "")</f>
        <v>28.228116340085318</v>
      </c>
      <c r="S8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31.847679426040045</v>
      </c>
      <c r="T81" s="6">
        <v>2018</v>
      </c>
    </row>
    <row r="82" spans="1:20" x14ac:dyDescent="0.25">
      <c r="A82" s="6" t="s">
        <v>15</v>
      </c>
      <c r="B82" s="6" t="s">
        <v>293</v>
      </c>
      <c r="C82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82" s="6">
        <v>458</v>
      </c>
      <c r="E82" s="6">
        <v>4</v>
      </c>
      <c r="F82" s="6">
        <v>12</v>
      </c>
      <c r="G82" s="6">
        <v>12</v>
      </c>
      <c r="H82" s="6"/>
      <c r="I82" s="6"/>
      <c r="J82" s="6" t="s">
        <v>203</v>
      </c>
      <c r="K82" s="6" t="s">
        <v>2437</v>
      </c>
      <c r="L82" s="6">
        <v>85</v>
      </c>
      <c r="M82" s="6">
        <v>7608</v>
      </c>
      <c r="N82" s="6">
        <v>10.9</v>
      </c>
      <c r="O82" s="6">
        <v>599</v>
      </c>
      <c r="P82" s="6" t="s">
        <v>2369</v>
      </c>
      <c r="Q82" s="6">
        <f>Table2_1[[#This Row],[Specs Score]] / (Table2_1[[#This Row],[Launched Price (USA)]] ^ 0.85)</f>
        <v>0.18750838541871373</v>
      </c>
      <c r="R82" s="6">
        <f>IFERROR(Table2_1[[#This Row],[Launched Price (USA)]] / S82, "")</f>
        <v>13.918528694084202</v>
      </c>
      <c r="S8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43.03615799955876</v>
      </c>
      <c r="T82" s="6">
        <v>2020</v>
      </c>
    </row>
    <row r="83" spans="1:20" x14ac:dyDescent="0.25">
      <c r="A83" s="6" t="s">
        <v>15</v>
      </c>
      <c r="B83" s="6" t="s">
        <v>302</v>
      </c>
      <c r="C8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3" s="6">
        <v>458</v>
      </c>
      <c r="E83" s="6">
        <v>4</v>
      </c>
      <c r="F83" s="6">
        <v>12</v>
      </c>
      <c r="G83" s="6">
        <v>12</v>
      </c>
      <c r="H83" s="6"/>
      <c r="I83" s="6"/>
      <c r="J83" s="6" t="s">
        <v>203</v>
      </c>
      <c r="K83" s="6" t="s">
        <v>2437</v>
      </c>
      <c r="L83" s="6">
        <v>85</v>
      </c>
      <c r="M83" s="6">
        <v>7608</v>
      </c>
      <c r="N83" s="6">
        <v>10.9</v>
      </c>
      <c r="O83" s="6">
        <v>749</v>
      </c>
      <c r="P83" s="6" t="s">
        <v>2369</v>
      </c>
      <c r="Q83" s="6">
        <f>Table2_1[[#This Row],[Specs Score]] / (Table2_1[[#This Row],[Launched Price (USA)]] ^ 0.85)</f>
        <v>0.17599053631873468</v>
      </c>
      <c r="R83" s="6">
        <f>IFERROR(Table2_1[[#This Row],[Launched Price (USA)]] / S83, "")</f>
        <v>15.334970959637173</v>
      </c>
      <c r="S8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48.842609612461985</v>
      </c>
      <c r="T83" s="6">
        <v>2020</v>
      </c>
    </row>
    <row r="84" spans="1:20" x14ac:dyDescent="0.25">
      <c r="A84" s="6" t="s">
        <v>15</v>
      </c>
      <c r="B84" s="6" t="s">
        <v>305</v>
      </c>
      <c r="C84" s="6">
        <f>IF(ISNUMBER(SEARCH("GB", Table2_1[[#This Row],[Model Name]])), IFERROR(VALUE(TRIM(RIGHT(SUBSTITUTE(LEFT(Table2_1[[#This Row],[Model Name]], SEARCH("GB", Table2_1[[#This Row],[Model Name]])-1), " ", REPT(" ", 100)), 100))), 128), 128)</f>
        <v>32</v>
      </c>
      <c r="D84" s="6">
        <v>490</v>
      </c>
      <c r="E84" s="6">
        <v>3</v>
      </c>
      <c r="F84" s="6">
        <v>12</v>
      </c>
      <c r="G84" s="6">
        <v>8</v>
      </c>
      <c r="H84" s="6"/>
      <c r="I84" s="6"/>
      <c r="J84" s="6" t="s">
        <v>225</v>
      </c>
      <c r="K84" s="6" t="s">
        <v>2437</v>
      </c>
      <c r="L84" s="6">
        <v>80</v>
      </c>
      <c r="M84" s="6">
        <v>8612</v>
      </c>
      <c r="N84" s="6">
        <v>10.199999999999999</v>
      </c>
      <c r="O84" s="6">
        <v>329</v>
      </c>
      <c r="P84" s="6" t="s">
        <v>2369</v>
      </c>
      <c r="Q84" s="6">
        <f>Table2_1[[#This Row],[Specs Score]] / (Table2_1[[#This Row],[Launched Price (USA)]] ^ 0.85)</f>
        <v>0.29371703003663857</v>
      </c>
      <c r="R84" s="6">
        <f>IFERROR(Table2_1[[#This Row],[Launched Price (USA)]] / S84, "")</f>
        <v>8.1217619586069691</v>
      </c>
      <c r="S8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40.508451451392887</v>
      </c>
      <c r="T84" s="6">
        <v>2020</v>
      </c>
    </row>
    <row r="85" spans="1:20" x14ac:dyDescent="0.25">
      <c r="A85" s="6" t="s">
        <v>15</v>
      </c>
      <c r="B85" s="6" t="s">
        <v>315</v>
      </c>
      <c r="C8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5" s="6">
        <v>490</v>
      </c>
      <c r="E85" s="6">
        <v>3</v>
      </c>
      <c r="F85" s="6">
        <v>12</v>
      </c>
      <c r="G85" s="6">
        <v>8</v>
      </c>
      <c r="H85" s="6"/>
      <c r="I85" s="6"/>
      <c r="J85" s="6" t="s">
        <v>225</v>
      </c>
      <c r="K85" s="6" t="s">
        <v>2437</v>
      </c>
      <c r="L85" s="6">
        <v>80</v>
      </c>
      <c r="M85" s="6">
        <v>8612</v>
      </c>
      <c r="N85" s="6">
        <v>10.199999999999999</v>
      </c>
      <c r="O85" s="6">
        <v>429</v>
      </c>
      <c r="P85" s="6" t="s">
        <v>2369</v>
      </c>
      <c r="Q85" s="6">
        <f>Table2_1[[#This Row],[Specs Score]] / (Table2_1[[#This Row],[Launched Price (USA)]] ^ 0.85)</f>
        <v>0.25119897748138076</v>
      </c>
      <c r="R85" s="6">
        <f>IFERROR(Table2_1[[#This Row],[Launched Price (USA)]] / S85, "")</f>
        <v>9.8821337275670373</v>
      </c>
      <c r="S8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43.411677257844495</v>
      </c>
      <c r="T85" s="6">
        <v>2020</v>
      </c>
    </row>
    <row r="86" spans="1:20" x14ac:dyDescent="0.25">
      <c r="A86" s="6" t="s">
        <v>15</v>
      </c>
      <c r="B86" s="6" t="s">
        <v>321</v>
      </c>
      <c r="C86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86" s="6">
        <v>300.5</v>
      </c>
      <c r="E86" s="6">
        <v>3</v>
      </c>
      <c r="F86" s="6">
        <v>7</v>
      </c>
      <c r="G86" s="6">
        <v>8</v>
      </c>
      <c r="H86" s="6"/>
      <c r="I86" s="6"/>
      <c r="J86" s="6" t="s">
        <v>267</v>
      </c>
      <c r="K86" s="6" t="s">
        <v>2437</v>
      </c>
      <c r="L86" s="6">
        <v>75</v>
      </c>
      <c r="M86" s="6">
        <v>5124</v>
      </c>
      <c r="N86" s="6">
        <v>7.9</v>
      </c>
      <c r="O86" s="6">
        <v>399</v>
      </c>
      <c r="P86" s="6" t="s">
        <v>2368</v>
      </c>
      <c r="Q86" s="6">
        <f>Table2_1[[#This Row],[Specs Score]] / (Table2_1[[#This Row],[Launched Price (USA)]] ^ 0.85)</f>
        <v>0.19243451949561291</v>
      </c>
      <c r="R86" s="6">
        <f>IFERROR(Table2_1[[#This Row],[Launched Price (USA)]] / S86, "")</f>
        <v>12.760360809444981</v>
      </c>
      <c r="S8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31.268708303660791</v>
      </c>
      <c r="T86" s="6">
        <v>2019</v>
      </c>
    </row>
    <row r="87" spans="1:20" x14ac:dyDescent="0.25">
      <c r="A87" s="6" t="s">
        <v>15</v>
      </c>
      <c r="B87" s="6" t="s">
        <v>328</v>
      </c>
      <c r="C8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7" s="6">
        <v>300.5</v>
      </c>
      <c r="E87" s="6">
        <v>3</v>
      </c>
      <c r="F87" s="6">
        <v>7</v>
      </c>
      <c r="G87" s="6">
        <v>8</v>
      </c>
      <c r="H87" s="6"/>
      <c r="I87" s="6"/>
      <c r="J87" s="6" t="s">
        <v>267</v>
      </c>
      <c r="K87" s="6" t="s">
        <v>2437</v>
      </c>
      <c r="L87" s="6">
        <v>75</v>
      </c>
      <c r="M87" s="6">
        <v>5124</v>
      </c>
      <c r="N87" s="6">
        <v>7.9</v>
      </c>
      <c r="O87" s="6">
        <v>499</v>
      </c>
      <c r="P87" s="6" t="s">
        <v>2368</v>
      </c>
      <c r="Q87" s="6">
        <f>Table2_1[[#This Row],[Specs Score]] / (Table2_1[[#This Row],[Launched Price (USA)]] ^ 0.85)</f>
        <v>0.18866770610948136</v>
      </c>
      <c r="R87" s="6">
        <f>IFERROR(Table2_1[[#This Row],[Launched Price (USA)]] / S87, "")</f>
        <v>13.459146261890094</v>
      </c>
      <c r="S8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37.075159916564012</v>
      </c>
      <c r="T87" s="6">
        <v>2019</v>
      </c>
    </row>
    <row r="88" spans="1:20" x14ac:dyDescent="0.25">
      <c r="A88" s="6" t="s">
        <v>15</v>
      </c>
      <c r="B88" s="6" t="s">
        <v>333</v>
      </c>
      <c r="C8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8" s="6">
        <v>468</v>
      </c>
      <c r="E88" s="6">
        <v>4</v>
      </c>
      <c r="F88" s="6">
        <v>7</v>
      </c>
      <c r="G88" s="6">
        <v>12</v>
      </c>
      <c r="H88" s="6">
        <v>10</v>
      </c>
      <c r="I88" s="6"/>
      <c r="J88" s="6" t="s">
        <v>336</v>
      </c>
      <c r="K88" s="6" t="s">
        <v>2437</v>
      </c>
      <c r="L88" s="6">
        <v>78</v>
      </c>
      <c r="M88" s="6">
        <v>7812</v>
      </c>
      <c r="N88" s="6">
        <v>11</v>
      </c>
      <c r="O88" s="6">
        <v>799</v>
      </c>
      <c r="P88" s="6" t="s">
        <v>2369</v>
      </c>
      <c r="Q88" s="6">
        <f>Table2_1[[#This Row],[Specs Score]] / (Table2_1[[#This Row],[Launched Price (USA)]] ^ 0.85)</f>
        <v>0.14590243195223446</v>
      </c>
      <c r="R88" s="6">
        <f>IFERROR(Table2_1[[#This Row],[Launched Price (USA)]] / S88, "")</f>
        <v>18.677531863197583</v>
      </c>
      <c r="S8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42.778671499651331</v>
      </c>
      <c r="T88" s="6">
        <v>2020</v>
      </c>
    </row>
    <row r="89" spans="1:20" x14ac:dyDescent="0.25">
      <c r="A89" s="6" t="s">
        <v>15</v>
      </c>
      <c r="B89" s="6" t="s">
        <v>341</v>
      </c>
      <c r="C8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9" s="6">
        <v>468</v>
      </c>
      <c r="E89" s="6">
        <v>4</v>
      </c>
      <c r="F89" s="6">
        <v>7</v>
      </c>
      <c r="G89" s="6">
        <v>12</v>
      </c>
      <c r="H89" s="6">
        <v>10</v>
      </c>
      <c r="I89" s="6"/>
      <c r="J89" s="6" t="s">
        <v>336</v>
      </c>
      <c r="K89" s="6" t="s">
        <v>2437</v>
      </c>
      <c r="L89" s="6">
        <v>78</v>
      </c>
      <c r="M89" s="6">
        <v>7812</v>
      </c>
      <c r="N89" s="6">
        <v>11</v>
      </c>
      <c r="O89" s="6">
        <v>899</v>
      </c>
      <c r="P89" s="6" t="s">
        <v>2369</v>
      </c>
      <c r="Q89" s="6">
        <f>Table2_1[[#This Row],[Specs Score]] / (Table2_1[[#This Row],[Launched Price (USA)]] ^ 0.85)</f>
        <v>0.14393040636833493</v>
      </c>
      <c r="R89" s="6">
        <f>IFERROR(Table2_1[[#This Row],[Launched Price (USA)]] / S89, "")</f>
        <v>19.271317305248683</v>
      </c>
      <c r="S8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46.649639241586812</v>
      </c>
      <c r="T89" s="6">
        <v>2020</v>
      </c>
    </row>
    <row r="90" spans="1:20" x14ac:dyDescent="0.25">
      <c r="A90" s="6" t="s">
        <v>15</v>
      </c>
      <c r="B90" s="6" t="s">
        <v>342</v>
      </c>
      <c r="C90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90" s="6">
        <v>468</v>
      </c>
      <c r="E90" s="6">
        <v>6</v>
      </c>
      <c r="F90" s="6">
        <v>7</v>
      </c>
      <c r="G90" s="6">
        <v>12</v>
      </c>
      <c r="H90" s="6">
        <v>10</v>
      </c>
      <c r="I90" s="6"/>
      <c r="J90" s="6" t="s">
        <v>336</v>
      </c>
      <c r="K90" s="6" t="s">
        <v>2437</v>
      </c>
      <c r="L90" s="6">
        <v>78</v>
      </c>
      <c r="M90" s="6">
        <v>7812</v>
      </c>
      <c r="N90" s="6">
        <v>11</v>
      </c>
      <c r="O90" s="6">
        <v>1099</v>
      </c>
      <c r="P90" s="6" t="s">
        <v>2369</v>
      </c>
      <c r="Q90" s="6">
        <f>Table2_1[[#This Row],[Specs Score]] / (Table2_1[[#This Row],[Launched Price (USA)]] ^ 0.85)</f>
        <v>0.14667840670897692</v>
      </c>
      <c r="R90" s="6">
        <f>IFERROR(Table2_1[[#This Row],[Launched Price (USA)]] / S90, "")</f>
        <v>19.488726912672298</v>
      </c>
      <c r="S9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56.391574725457779</v>
      </c>
      <c r="T90" s="6">
        <v>2020</v>
      </c>
    </row>
    <row r="91" spans="1:20" x14ac:dyDescent="0.25">
      <c r="A91" s="6" t="s">
        <v>15</v>
      </c>
      <c r="B91" s="6" t="s">
        <v>344</v>
      </c>
      <c r="C9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91" s="6">
        <v>682</v>
      </c>
      <c r="E91" s="6">
        <v>6</v>
      </c>
      <c r="F91" s="6">
        <v>7</v>
      </c>
      <c r="G91" s="6">
        <v>12</v>
      </c>
      <c r="H91" s="6">
        <v>10</v>
      </c>
      <c r="I91" s="6"/>
      <c r="J91" s="6" t="s">
        <v>336</v>
      </c>
      <c r="K91" s="6" t="s">
        <v>2437</v>
      </c>
      <c r="L91" s="6">
        <v>78</v>
      </c>
      <c r="M91" s="6">
        <v>9720</v>
      </c>
      <c r="N91" s="6">
        <v>12.9</v>
      </c>
      <c r="O91" s="6">
        <v>999</v>
      </c>
      <c r="P91" s="6" t="s">
        <v>2369</v>
      </c>
      <c r="Q91" s="6">
        <f>Table2_1[[#This Row],[Specs Score]] / (Table2_1[[#This Row],[Launched Price (USA)]] ^ 0.85)</f>
        <v>0.14066869203407248</v>
      </c>
      <c r="R91" s="6">
        <f>IFERROR(Table2_1[[#This Row],[Launched Price (USA)]] / S91, "")</f>
        <v>20.032602516552963</v>
      </c>
      <c r="S9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49.868707731535387</v>
      </c>
      <c r="T91" s="6">
        <v>2020</v>
      </c>
    </row>
    <row r="92" spans="1:20" x14ac:dyDescent="0.25">
      <c r="A92" s="6" t="s">
        <v>15</v>
      </c>
      <c r="B92" s="6" t="s">
        <v>348</v>
      </c>
      <c r="C9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92" s="6">
        <v>682</v>
      </c>
      <c r="E92" s="6">
        <v>6</v>
      </c>
      <c r="F92" s="6">
        <v>7</v>
      </c>
      <c r="G92" s="6">
        <v>12</v>
      </c>
      <c r="H92" s="6">
        <v>10</v>
      </c>
      <c r="I92" s="6"/>
      <c r="J92" s="6" t="s">
        <v>336</v>
      </c>
      <c r="K92" s="6" t="s">
        <v>2437</v>
      </c>
      <c r="L92" s="6">
        <v>78</v>
      </c>
      <c r="M92" s="6">
        <v>9720</v>
      </c>
      <c r="N92" s="6">
        <v>12.9</v>
      </c>
      <c r="O92" s="6">
        <v>1099</v>
      </c>
      <c r="P92" s="6" t="s">
        <v>2369</v>
      </c>
      <c r="Q92" s="6">
        <f>Table2_1[[#This Row],[Specs Score]] / (Table2_1[[#This Row],[Launched Price (USA)]] ^ 0.85)</f>
        <v>0.13978063237073762</v>
      </c>
      <c r="R92" s="6">
        <f>IFERROR(Table2_1[[#This Row],[Launched Price (USA)]] / S92, "")</f>
        <v>20.450439834578685</v>
      </c>
      <c r="S9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53.739675473470875</v>
      </c>
      <c r="T92" s="6">
        <v>2020</v>
      </c>
    </row>
    <row r="93" spans="1:20" x14ac:dyDescent="0.25">
      <c r="A93" s="6" t="s">
        <v>15</v>
      </c>
      <c r="B93" s="6" t="s">
        <v>349</v>
      </c>
      <c r="C93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93" s="6">
        <v>682</v>
      </c>
      <c r="E93" s="6">
        <v>6</v>
      </c>
      <c r="F93" s="6">
        <v>7</v>
      </c>
      <c r="G93" s="6">
        <v>12</v>
      </c>
      <c r="H93" s="6">
        <v>10</v>
      </c>
      <c r="I93" s="6"/>
      <c r="J93" s="6" t="s">
        <v>336</v>
      </c>
      <c r="K93" s="6" t="s">
        <v>2437</v>
      </c>
      <c r="L93" s="6">
        <v>78</v>
      </c>
      <c r="M93" s="6">
        <v>9720</v>
      </c>
      <c r="N93" s="6">
        <v>12.9</v>
      </c>
      <c r="O93" s="6">
        <v>1299</v>
      </c>
      <c r="P93" s="6" t="s">
        <v>2369</v>
      </c>
      <c r="Q93" s="6">
        <f>Table2_1[[#This Row],[Specs Score]] / (Table2_1[[#This Row],[Launched Price (USA)]] ^ 0.85)</f>
        <v>0.13873225965211594</v>
      </c>
      <c r="R93" s="6">
        <f>IFERROR(Table2_1[[#This Row],[Launched Price (USA)]] / S93, "")</f>
        <v>21.128268758300642</v>
      </c>
      <c r="S9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61.481610957341836</v>
      </c>
      <c r="T93" s="6">
        <v>2020</v>
      </c>
    </row>
    <row r="94" spans="1:20" x14ac:dyDescent="0.25">
      <c r="A94" s="6" t="s">
        <v>15</v>
      </c>
      <c r="B94" s="6" t="s">
        <v>350</v>
      </c>
      <c r="C9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94" s="6">
        <v>708</v>
      </c>
      <c r="E94" s="6">
        <v>6</v>
      </c>
      <c r="F94" s="6">
        <v>7</v>
      </c>
      <c r="G94" s="6">
        <v>12</v>
      </c>
      <c r="H94" s="6">
        <v>10</v>
      </c>
      <c r="I94" s="6"/>
      <c r="J94" s="6" t="s">
        <v>336</v>
      </c>
      <c r="K94" s="6" t="s">
        <v>2437</v>
      </c>
      <c r="L94" s="6">
        <v>78</v>
      </c>
      <c r="M94" s="6">
        <v>10307</v>
      </c>
      <c r="N94" s="6">
        <v>13</v>
      </c>
      <c r="O94" s="6">
        <v>1099</v>
      </c>
      <c r="P94" s="6" t="s">
        <v>2369</v>
      </c>
      <c r="Q94" s="6">
        <f>Table2_1[[#This Row],[Specs Score]] / (Table2_1[[#This Row],[Launched Price (USA)]] ^ 0.85)</f>
        <v>0.13247231404636034</v>
      </c>
      <c r="R94" s="6">
        <f>IFERROR(Table2_1[[#This Row],[Launched Price (USA)]] / S94, "")</f>
        <v>21.578662929800846</v>
      </c>
      <c r="S9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50.929939615593362</v>
      </c>
      <c r="T94" s="6">
        <v>2020</v>
      </c>
    </row>
    <row r="95" spans="1:20" x14ac:dyDescent="0.25">
      <c r="A95" s="6" t="s">
        <v>15</v>
      </c>
      <c r="B95" s="6" t="s">
        <v>354</v>
      </c>
      <c r="C9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95" s="6">
        <v>708</v>
      </c>
      <c r="E95" s="6">
        <v>6</v>
      </c>
      <c r="F95" s="6">
        <v>7</v>
      </c>
      <c r="G95" s="6">
        <v>12</v>
      </c>
      <c r="H95" s="6">
        <v>10</v>
      </c>
      <c r="I95" s="6"/>
      <c r="J95" s="6" t="s">
        <v>336</v>
      </c>
      <c r="K95" s="6" t="s">
        <v>2437</v>
      </c>
      <c r="L95" s="6">
        <v>78</v>
      </c>
      <c r="M95" s="6">
        <v>10307</v>
      </c>
      <c r="N95" s="6">
        <v>13</v>
      </c>
      <c r="O95" s="6">
        <v>1199</v>
      </c>
      <c r="P95" s="6" t="s">
        <v>2369</v>
      </c>
      <c r="Q95" s="6">
        <f>Table2_1[[#This Row],[Specs Score]] / (Table2_1[[#This Row],[Launched Price (USA)]] ^ 0.85)</f>
        <v>0.13237057143181519</v>
      </c>
      <c r="R95" s="6">
        <f>IFERROR(Table2_1[[#This Row],[Launched Price (USA)]] / S95, "")</f>
        <v>21.879199776338648</v>
      </c>
      <c r="S9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54.800907357528843</v>
      </c>
      <c r="T95" s="6">
        <v>2020</v>
      </c>
    </row>
    <row r="96" spans="1:20" x14ac:dyDescent="0.25">
      <c r="A96" s="6" t="s">
        <v>15</v>
      </c>
      <c r="B96" s="6" t="s">
        <v>356</v>
      </c>
      <c r="C96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96" s="6">
        <v>708</v>
      </c>
      <c r="E96" s="6">
        <v>6</v>
      </c>
      <c r="F96" s="6">
        <v>7</v>
      </c>
      <c r="G96" s="6">
        <v>12</v>
      </c>
      <c r="H96" s="6">
        <v>10</v>
      </c>
      <c r="I96" s="6"/>
      <c r="J96" s="6" t="s">
        <v>336</v>
      </c>
      <c r="K96" s="6" t="s">
        <v>2437</v>
      </c>
      <c r="L96" s="6">
        <v>78</v>
      </c>
      <c r="M96" s="6">
        <v>10307</v>
      </c>
      <c r="N96" s="6">
        <v>13</v>
      </c>
      <c r="O96" s="6">
        <v>1399</v>
      </c>
      <c r="P96" s="6" t="s">
        <v>2369</v>
      </c>
      <c r="Q96" s="6">
        <f>Table2_1[[#This Row],[Specs Score]] / (Table2_1[[#This Row],[Launched Price (USA)]] ^ 0.85)</f>
        <v>0.1325050897483209</v>
      </c>
      <c r="R96" s="6">
        <f>IFERROR(Table2_1[[#This Row],[Launched Price (USA)]] / S96, "")</f>
        <v>22.368666604229595</v>
      </c>
      <c r="S9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62.542842841399811</v>
      </c>
      <c r="T96" s="6">
        <v>2020</v>
      </c>
    </row>
    <row r="97" spans="1:20" x14ac:dyDescent="0.25">
      <c r="A97" s="6" t="s">
        <v>15</v>
      </c>
      <c r="B97" s="6" t="s">
        <v>360</v>
      </c>
      <c r="C9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97" s="6">
        <v>708</v>
      </c>
      <c r="E97" s="6">
        <v>6</v>
      </c>
      <c r="F97" s="6">
        <v>7</v>
      </c>
      <c r="G97" s="6">
        <v>12</v>
      </c>
      <c r="H97" s="6">
        <v>10</v>
      </c>
      <c r="I97" s="6"/>
      <c r="J97" s="6" t="s">
        <v>336</v>
      </c>
      <c r="K97" s="6" t="s">
        <v>2437</v>
      </c>
      <c r="L97" s="6">
        <v>78</v>
      </c>
      <c r="M97" s="6">
        <v>10307</v>
      </c>
      <c r="N97" s="6">
        <v>13</v>
      </c>
      <c r="O97" s="6">
        <v>1599</v>
      </c>
      <c r="P97" s="6" t="s">
        <v>2369</v>
      </c>
      <c r="Q97" s="6">
        <f>Table2_1[[#This Row],[Specs Score]] / (Table2_1[[#This Row],[Launched Price (USA)]] ^ 0.85)</f>
        <v>9.631678265493554E-2</v>
      </c>
      <c r="R97" s="6">
        <f>IFERROR(Table2_1[[#This Row],[Launched Price (USA)]] / S97, "")</f>
        <v>31.396070996134259</v>
      </c>
      <c r="S9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50.929939615593362</v>
      </c>
      <c r="T97" s="6">
        <v>2020</v>
      </c>
    </row>
    <row r="98" spans="1:20" x14ac:dyDescent="0.25">
      <c r="A98" s="6" t="s">
        <v>15</v>
      </c>
      <c r="B98" s="6" t="s">
        <v>366</v>
      </c>
      <c r="C9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98" s="6">
        <v>708</v>
      </c>
      <c r="E98" s="6">
        <v>6</v>
      </c>
      <c r="F98" s="6">
        <v>7</v>
      </c>
      <c r="G98" s="6">
        <v>12</v>
      </c>
      <c r="H98" s="6">
        <v>10</v>
      </c>
      <c r="I98" s="6"/>
      <c r="J98" s="6" t="s">
        <v>336</v>
      </c>
      <c r="K98" s="6" t="s">
        <v>2437</v>
      </c>
      <c r="L98" s="6">
        <v>78</v>
      </c>
      <c r="M98" s="6">
        <v>10307</v>
      </c>
      <c r="N98" s="6">
        <v>13</v>
      </c>
      <c r="O98" s="6">
        <v>1799</v>
      </c>
      <c r="P98" s="6" t="s">
        <v>2369</v>
      </c>
      <c r="Q98" s="6">
        <f>Table2_1[[#This Row],[Specs Score]] / (Table2_1[[#This Row],[Launched Price (USA)]] ^ 0.85)</f>
        <v>8.7135809947296347E-2</v>
      </c>
      <c r="R98" s="6">
        <f>IFERROR(Table2_1[[#This Row],[Launched Price (USA)]] / S98, "")</f>
        <v>35.323034222667623</v>
      </c>
      <c r="S9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50.929939615593362</v>
      </c>
      <c r="T98" s="6">
        <v>2020</v>
      </c>
    </row>
    <row r="99" spans="1:20" x14ac:dyDescent="0.25">
      <c r="A99" s="6" t="s">
        <v>1923</v>
      </c>
      <c r="B99" s="6" t="s">
        <v>1924</v>
      </c>
      <c r="C99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99" s="6">
        <v>147</v>
      </c>
      <c r="E99" s="6">
        <v>4</v>
      </c>
      <c r="F99" s="6">
        <v>8</v>
      </c>
      <c r="G99" s="6">
        <v>12</v>
      </c>
      <c r="H99" s="6"/>
      <c r="I99" s="6"/>
      <c r="J99" s="6" t="s">
        <v>1927</v>
      </c>
      <c r="K99" s="6" t="s">
        <v>2439</v>
      </c>
      <c r="L99" s="6">
        <v>22</v>
      </c>
      <c r="M99" s="6">
        <v>3000</v>
      </c>
      <c r="N99" s="6">
        <v>5.6</v>
      </c>
      <c r="O99" s="6">
        <v>399</v>
      </c>
      <c r="P99" s="6" t="s">
        <v>2368</v>
      </c>
      <c r="Q99" s="6">
        <f>Table2_1[[#This Row],[Specs Score]] / (Table2_1[[#This Row],[Launched Price (USA)]] ^ 0.85)</f>
        <v>8.2488307886137022E-2</v>
      </c>
      <c r="R99" s="6">
        <f>IFERROR(Table2_1[[#This Row],[Launched Price (USA)]] / S99, "")</f>
        <v>29.768266120159698</v>
      </c>
      <c r="S9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13.403535106459854</v>
      </c>
      <c r="T99" s="6">
        <v>2019</v>
      </c>
    </row>
    <row r="100" spans="1:20" x14ac:dyDescent="0.25">
      <c r="A100" s="6" t="s">
        <v>1923</v>
      </c>
      <c r="B100" s="6" t="s">
        <v>1930</v>
      </c>
      <c r="C100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100" s="6">
        <v>167</v>
      </c>
      <c r="E100" s="6">
        <v>4</v>
      </c>
      <c r="F100" s="6">
        <v>8</v>
      </c>
      <c r="G100" s="6">
        <v>12</v>
      </c>
      <c r="H100" s="6"/>
      <c r="I100" s="6"/>
      <c r="J100" s="6" t="s">
        <v>1927</v>
      </c>
      <c r="K100" s="6" t="s">
        <v>2439</v>
      </c>
      <c r="L100" s="6">
        <v>22</v>
      </c>
      <c r="M100" s="6">
        <v>3700</v>
      </c>
      <c r="N100" s="6">
        <v>6</v>
      </c>
      <c r="O100" s="6">
        <v>479</v>
      </c>
      <c r="P100" s="6" t="s">
        <v>2368</v>
      </c>
      <c r="Q100" s="6">
        <f>Table2_1[[#This Row],[Specs Score]] / (Table2_1[[#This Row],[Launched Price (USA)]] ^ 0.85)</f>
        <v>7.8829746177591226E-2</v>
      </c>
      <c r="R100" s="6">
        <f>IFERROR(Table2_1[[#This Row],[Launched Price (USA)]] / S100, "")</f>
        <v>32.015493368624966</v>
      </c>
      <c r="S10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14.961506120952606</v>
      </c>
      <c r="T100" s="6">
        <v>2019</v>
      </c>
    </row>
    <row r="101" spans="1:20" x14ac:dyDescent="0.25">
      <c r="A101" s="6" t="s">
        <v>1923</v>
      </c>
      <c r="B101" s="6" t="s">
        <v>1932</v>
      </c>
      <c r="C101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101" s="6">
        <v>162</v>
      </c>
      <c r="E101" s="6">
        <v>6</v>
      </c>
      <c r="F101" s="6">
        <v>8</v>
      </c>
      <c r="G101" s="6">
        <v>12</v>
      </c>
      <c r="H101" s="6"/>
      <c r="I101" s="6"/>
      <c r="J101" s="6" t="s">
        <v>834</v>
      </c>
      <c r="K101" s="6" t="s">
        <v>2437</v>
      </c>
      <c r="L101" s="6">
        <v>75</v>
      </c>
      <c r="M101" s="6">
        <v>2800</v>
      </c>
      <c r="N101" s="6">
        <v>5.7</v>
      </c>
      <c r="O101" s="6">
        <v>799</v>
      </c>
      <c r="P101" s="6" t="s">
        <v>2368</v>
      </c>
      <c r="Q101" s="6">
        <f>Table2_1[[#This Row],[Specs Score]] / (Table2_1[[#This Row],[Launched Price (USA)]] ^ 0.85)</f>
        <v>9.7426332928463352E-2</v>
      </c>
      <c r="R101" s="6">
        <f>IFERROR(Table2_1[[#This Row],[Launched Price (USA)]] / S101, "")</f>
        <v>27.970849767144749</v>
      </c>
      <c r="S10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28.565453200443169</v>
      </c>
      <c r="T101" s="6">
        <v>2019</v>
      </c>
    </row>
    <row r="102" spans="1:20" x14ac:dyDescent="0.25">
      <c r="A102" s="6" t="s">
        <v>1923</v>
      </c>
      <c r="B102" s="6" t="s">
        <v>1934</v>
      </c>
      <c r="C102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102" s="6">
        <v>193</v>
      </c>
      <c r="E102" s="6">
        <v>6</v>
      </c>
      <c r="F102" s="6">
        <v>8</v>
      </c>
      <c r="G102" s="6">
        <v>12</v>
      </c>
      <c r="H102" s="6"/>
      <c r="I102" s="6"/>
      <c r="J102" s="6" t="s">
        <v>834</v>
      </c>
      <c r="K102" s="6" t="s">
        <v>2437</v>
      </c>
      <c r="L102" s="6">
        <v>75</v>
      </c>
      <c r="M102" s="6">
        <v>3700</v>
      </c>
      <c r="N102" s="6">
        <v>6.3</v>
      </c>
      <c r="O102" s="6">
        <v>899</v>
      </c>
      <c r="P102" s="6" t="s">
        <v>2368</v>
      </c>
      <c r="Q102" s="6">
        <f>Table2_1[[#This Row],[Specs Score]] / (Table2_1[[#This Row],[Launched Price (USA)]] ^ 0.85)</f>
        <v>9.4590142382453599E-2</v>
      </c>
      <c r="R102" s="6">
        <f>IFERROR(Table2_1[[#This Row],[Launched Price (USA)]] / S102, "")</f>
        <v>29.323653196150516</v>
      </c>
      <c r="S10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30.657844504790994</v>
      </c>
      <c r="T102" s="6">
        <v>2019</v>
      </c>
    </row>
    <row r="103" spans="1:20" x14ac:dyDescent="0.25">
      <c r="A103" s="6" t="s">
        <v>1923</v>
      </c>
      <c r="B103" s="6" t="s">
        <v>1947</v>
      </c>
      <c r="C10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03" s="6">
        <v>207</v>
      </c>
      <c r="E103" s="6">
        <v>8</v>
      </c>
      <c r="F103" s="6">
        <v>8</v>
      </c>
      <c r="G103" s="6">
        <v>50</v>
      </c>
      <c r="H103" s="6"/>
      <c r="I103" s="6"/>
      <c r="J103" s="6" t="s">
        <v>1948</v>
      </c>
      <c r="K103" s="6" t="s">
        <v>2437</v>
      </c>
      <c r="L103" s="6">
        <v>75</v>
      </c>
      <c r="M103" s="6">
        <v>4614</v>
      </c>
      <c r="N103" s="6">
        <v>6.4</v>
      </c>
      <c r="O103" s="6">
        <v>699</v>
      </c>
      <c r="P103" s="6" t="s">
        <v>2368</v>
      </c>
      <c r="Q103" s="6">
        <f>Table2_1[[#This Row],[Specs Score]] / (Table2_1[[#This Row],[Launched Price (USA)]] ^ 0.85)</f>
        <v>0.14572512640985241</v>
      </c>
      <c r="R103" s="6">
        <f>IFERROR(Table2_1[[#This Row],[Launched Price (USA)]] / S103, "")</f>
        <v>18.328930972042809</v>
      </c>
      <c r="S10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38.136430382447699</v>
      </c>
      <c r="T103" s="6">
        <v>2021</v>
      </c>
    </row>
    <row r="104" spans="1:20" x14ac:dyDescent="0.25">
      <c r="A104" s="6" t="s">
        <v>1923</v>
      </c>
      <c r="B104" s="6" t="s">
        <v>1950</v>
      </c>
      <c r="C10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104" s="6">
        <v>210</v>
      </c>
      <c r="E104" s="6">
        <v>12</v>
      </c>
      <c r="F104" s="6">
        <v>11.1</v>
      </c>
      <c r="G104" s="6">
        <v>50</v>
      </c>
      <c r="H104" s="6"/>
      <c r="I104" s="6"/>
      <c r="J104" s="6" t="s">
        <v>1948</v>
      </c>
      <c r="K104" s="6" t="s">
        <v>2437</v>
      </c>
      <c r="L104" s="6">
        <v>75</v>
      </c>
      <c r="M104" s="6">
        <v>5003</v>
      </c>
      <c r="N104" s="6">
        <v>6.71</v>
      </c>
      <c r="O104" s="6">
        <v>899</v>
      </c>
      <c r="P104" s="6" t="s">
        <v>2368</v>
      </c>
      <c r="Q104" s="6">
        <f>Table2_1[[#This Row],[Specs Score]] / (Table2_1[[#This Row],[Launched Price (USA)]] ^ 0.85)</f>
        <v>0.14655109369800681</v>
      </c>
      <c r="R104" s="6">
        <f>IFERROR(Table2_1[[#This Row],[Launched Price (USA)]] / S104, "")</f>
        <v>18.926699630869368</v>
      </c>
      <c r="S10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47.49903668010532</v>
      </c>
      <c r="T104" s="6">
        <v>2021</v>
      </c>
    </row>
    <row r="105" spans="1:20" x14ac:dyDescent="0.25">
      <c r="A105" s="6" t="s">
        <v>1923</v>
      </c>
      <c r="B105" s="6" t="s">
        <v>1954</v>
      </c>
      <c r="C10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05" s="6">
        <v>178</v>
      </c>
      <c r="E105" s="6">
        <v>6</v>
      </c>
      <c r="F105" s="6">
        <v>8</v>
      </c>
      <c r="G105" s="6">
        <v>12</v>
      </c>
      <c r="H105" s="6"/>
      <c r="I105" s="6"/>
      <c r="J105" s="6" t="s">
        <v>1948</v>
      </c>
      <c r="K105" s="6" t="s">
        <v>2437</v>
      </c>
      <c r="L105" s="6">
        <v>75</v>
      </c>
      <c r="M105" s="6">
        <v>4410</v>
      </c>
      <c r="N105" s="6">
        <v>6.1</v>
      </c>
      <c r="O105" s="6">
        <v>449</v>
      </c>
      <c r="P105" s="6" t="s">
        <v>2368</v>
      </c>
      <c r="Q105" s="6">
        <f>Table2_1[[#This Row],[Specs Score]] / (Table2_1[[#This Row],[Launched Price (USA)]] ^ 0.85)</f>
        <v>0.18671851372892376</v>
      </c>
      <c r="R105" s="6">
        <f>IFERROR(Table2_1[[#This Row],[Launched Price (USA)]] / S105, "")</f>
        <v>13.385961432990817</v>
      </c>
      <c r="S10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33.542603738077574</v>
      </c>
      <c r="T105" s="6">
        <v>2022</v>
      </c>
    </row>
    <row r="106" spans="1:20" x14ac:dyDescent="0.25">
      <c r="A106" s="6" t="s">
        <v>1923</v>
      </c>
      <c r="B106" s="6" t="s">
        <v>1956</v>
      </c>
      <c r="C10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06" s="6">
        <v>197</v>
      </c>
      <c r="E106" s="6">
        <v>8</v>
      </c>
      <c r="F106" s="6">
        <v>10.8</v>
      </c>
      <c r="G106" s="6">
        <v>50</v>
      </c>
      <c r="H106" s="6"/>
      <c r="I106" s="6"/>
      <c r="J106" s="6" t="s">
        <v>1958</v>
      </c>
      <c r="K106" s="6" t="s">
        <v>2437</v>
      </c>
      <c r="L106" s="6">
        <v>80</v>
      </c>
      <c r="M106" s="6">
        <v>4355</v>
      </c>
      <c r="N106" s="6">
        <v>6.3</v>
      </c>
      <c r="O106" s="6">
        <v>599</v>
      </c>
      <c r="P106" s="6" t="s">
        <v>2368</v>
      </c>
      <c r="Q106" s="6">
        <f>Table2_1[[#This Row],[Specs Score]] / (Table2_1[[#This Row],[Launched Price (USA)]] ^ 0.85)</f>
        <v>0.17147118789038659</v>
      </c>
      <c r="R106" s="6">
        <f>IFERROR(Table2_1[[#This Row],[Launched Price (USA)]] / S106, "")</f>
        <v>15.220287880084639</v>
      </c>
      <c r="S10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39.355365990401296</v>
      </c>
      <c r="T106" s="6">
        <v>2022</v>
      </c>
    </row>
    <row r="107" spans="1:20" x14ac:dyDescent="0.25">
      <c r="A107" s="6" t="s">
        <v>1923</v>
      </c>
      <c r="B107" s="6" t="s">
        <v>1960</v>
      </c>
      <c r="C10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107" s="6">
        <v>212</v>
      </c>
      <c r="E107" s="6">
        <v>12</v>
      </c>
      <c r="F107" s="6">
        <v>10.8</v>
      </c>
      <c r="G107" s="6">
        <v>50</v>
      </c>
      <c r="H107" s="6"/>
      <c r="I107" s="6"/>
      <c r="J107" s="6" t="s">
        <v>1958</v>
      </c>
      <c r="K107" s="6" t="s">
        <v>2437</v>
      </c>
      <c r="L107" s="6">
        <v>80</v>
      </c>
      <c r="M107" s="6">
        <v>5000</v>
      </c>
      <c r="N107" s="6">
        <v>6.7</v>
      </c>
      <c r="O107" s="6">
        <v>899</v>
      </c>
      <c r="P107" s="6" t="s">
        <v>2368</v>
      </c>
      <c r="Q107" s="6">
        <f>Table2_1[[#This Row],[Specs Score]] / (Table2_1[[#This Row],[Launched Price (USA)]] ^ 0.85)</f>
        <v>0.15023991863188688</v>
      </c>
      <c r="R107" s="6">
        <f>IFERROR(Table2_1[[#This Row],[Launched Price (USA)]] / S107, "")</f>
        <v>18.461994363786037</v>
      </c>
      <c r="S10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48.694630833786064</v>
      </c>
      <c r="T107" s="6">
        <v>2022</v>
      </c>
    </row>
    <row r="108" spans="1:20" x14ac:dyDescent="0.25">
      <c r="A108" s="6" t="s">
        <v>1923</v>
      </c>
      <c r="B108" s="6" t="s">
        <v>1962</v>
      </c>
      <c r="C10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08" s="6">
        <v>193</v>
      </c>
      <c r="E108" s="6">
        <v>8</v>
      </c>
      <c r="F108" s="6">
        <v>10.8</v>
      </c>
      <c r="G108" s="6">
        <v>64</v>
      </c>
      <c r="H108" s="6"/>
      <c r="I108" s="6"/>
      <c r="J108" s="6" t="s">
        <v>1958</v>
      </c>
      <c r="K108" s="6" t="s">
        <v>2437</v>
      </c>
      <c r="L108" s="6">
        <v>80</v>
      </c>
      <c r="M108" s="6">
        <v>4385</v>
      </c>
      <c r="N108" s="6">
        <v>6.1</v>
      </c>
      <c r="O108" s="6">
        <v>499</v>
      </c>
      <c r="P108" s="6" t="s">
        <v>2368</v>
      </c>
      <c r="Q108" s="6">
        <f>Table2_1[[#This Row],[Specs Score]] / (Table2_1[[#This Row],[Launched Price (USA)]] ^ 0.85)</f>
        <v>0.20311343009121047</v>
      </c>
      <c r="R108" s="6">
        <f>IFERROR(Table2_1[[#This Row],[Launched Price (USA)]] / S108, "")</f>
        <v>12.50191211030457</v>
      </c>
      <c r="S10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39.913894418494948</v>
      </c>
      <c r="T108" s="6">
        <v>2023</v>
      </c>
    </row>
    <row r="109" spans="1:20" x14ac:dyDescent="0.25">
      <c r="A109" s="6" t="s">
        <v>1923</v>
      </c>
      <c r="B109" s="6" t="s">
        <v>1964</v>
      </c>
      <c r="C10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09" s="6">
        <v>187</v>
      </c>
      <c r="E109" s="6">
        <v>8</v>
      </c>
      <c r="F109" s="6">
        <v>10.5</v>
      </c>
      <c r="G109" s="6">
        <v>50</v>
      </c>
      <c r="H109" s="6"/>
      <c r="I109" s="6"/>
      <c r="J109" s="6" t="s">
        <v>1966</v>
      </c>
      <c r="K109" s="6" t="s">
        <v>2437</v>
      </c>
      <c r="L109" s="6">
        <v>85</v>
      </c>
      <c r="M109" s="6">
        <v>4575</v>
      </c>
      <c r="N109" s="6">
        <v>6.2</v>
      </c>
      <c r="O109" s="6">
        <v>699</v>
      </c>
      <c r="P109" s="6" t="s">
        <v>2368</v>
      </c>
      <c r="Q109" s="6">
        <f>Table2_1[[#This Row],[Specs Score]] / (Table2_1[[#This Row],[Launched Price (USA)]] ^ 0.85)</f>
        <v>0.15598250171768235</v>
      </c>
      <c r="R109" s="6">
        <f>IFERROR(Table2_1[[#This Row],[Launched Price (USA)]] / S109, "")</f>
        <v>17.123624467138622</v>
      </c>
      <c r="S10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40.82079710060377</v>
      </c>
      <c r="T109" s="6">
        <v>2023</v>
      </c>
    </row>
    <row r="110" spans="1:20" x14ac:dyDescent="0.25">
      <c r="A110" s="6" t="s">
        <v>1923</v>
      </c>
      <c r="B110" s="6" t="s">
        <v>1968</v>
      </c>
      <c r="C11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110" s="6">
        <v>213</v>
      </c>
      <c r="E110" s="6">
        <v>12</v>
      </c>
      <c r="F110" s="6">
        <v>10.5</v>
      </c>
      <c r="G110" s="6">
        <v>50</v>
      </c>
      <c r="H110" s="6"/>
      <c r="I110" s="6"/>
      <c r="J110" s="6" t="s">
        <v>1966</v>
      </c>
      <c r="K110" s="6" t="s">
        <v>2437</v>
      </c>
      <c r="L110" s="6">
        <v>85</v>
      </c>
      <c r="M110" s="6">
        <v>5050</v>
      </c>
      <c r="N110" s="6">
        <v>6.7</v>
      </c>
      <c r="O110" s="6">
        <v>999</v>
      </c>
      <c r="P110" s="6" t="s">
        <v>2368</v>
      </c>
      <c r="Q110" s="6">
        <f>Table2_1[[#This Row],[Specs Score]] / (Table2_1[[#This Row],[Launched Price (USA)]] ^ 0.85)</f>
        <v>0.1410025228807385</v>
      </c>
      <c r="R110" s="6">
        <f>IFERROR(Table2_1[[#This Row],[Launched Price (USA)]] / S110, "")</f>
        <v>19.985174282487385</v>
      </c>
      <c r="S11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49.987054697611718</v>
      </c>
      <c r="T110" s="6">
        <v>2023</v>
      </c>
    </row>
    <row r="111" spans="1:20" x14ac:dyDescent="0.25">
      <c r="A111" s="6" t="s">
        <v>1923</v>
      </c>
      <c r="B111" s="6" t="s">
        <v>1970</v>
      </c>
      <c r="C11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11" s="6">
        <v>194</v>
      </c>
      <c r="E111" s="6">
        <v>8</v>
      </c>
      <c r="F111" s="6">
        <v>10.5</v>
      </c>
      <c r="G111" s="6">
        <v>64</v>
      </c>
      <c r="H111" s="6"/>
      <c r="I111" s="6"/>
      <c r="J111" s="6" t="s">
        <v>1966</v>
      </c>
      <c r="K111" s="6" t="s">
        <v>2437</v>
      </c>
      <c r="L111" s="6">
        <v>85</v>
      </c>
      <c r="M111" s="6">
        <v>4385</v>
      </c>
      <c r="N111" s="6">
        <v>6.1</v>
      </c>
      <c r="O111" s="6">
        <v>549</v>
      </c>
      <c r="P111" s="6" t="s">
        <v>2368</v>
      </c>
      <c r="Q111" s="6">
        <f>Table2_1[[#This Row],[Specs Score]] / (Table2_1[[#This Row],[Launched Price (USA)]] ^ 0.85)</f>
        <v>0.19295999072932632</v>
      </c>
      <c r="R111" s="6">
        <f>IFERROR(Table2_1[[#This Row],[Launched Price (USA)]] / S111, "")</f>
        <v>13.349610117181447</v>
      </c>
      <c r="S11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41.124796543190165</v>
      </c>
      <c r="T111" s="6">
        <v>2024</v>
      </c>
    </row>
    <row r="112" spans="1:20" x14ac:dyDescent="0.25">
      <c r="A112" s="6" t="s">
        <v>1923</v>
      </c>
      <c r="B112" s="6" t="s">
        <v>1971</v>
      </c>
      <c r="C11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12" s="6">
        <v>195</v>
      </c>
      <c r="E112" s="6">
        <v>8</v>
      </c>
      <c r="F112" s="6">
        <v>10.8</v>
      </c>
      <c r="G112" s="6">
        <v>50</v>
      </c>
      <c r="H112" s="6"/>
      <c r="I112" s="6"/>
      <c r="J112" s="6" t="s">
        <v>1972</v>
      </c>
      <c r="K112" s="6" t="s">
        <v>2437</v>
      </c>
      <c r="L112" s="6">
        <v>90</v>
      </c>
      <c r="M112" s="6">
        <v>4600</v>
      </c>
      <c r="N112" s="6">
        <v>6.3</v>
      </c>
      <c r="O112" s="6">
        <v>799</v>
      </c>
      <c r="P112" s="6" t="s">
        <v>2368</v>
      </c>
      <c r="Q112" s="6">
        <f>Table2_1[[#This Row],[Specs Score]] / (Table2_1[[#This Row],[Launched Price (USA)]] ^ 0.85)</f>
        <v>0.14420190143419648</v>
      </c>
      <c r="R112" s="6">
        <f>IFERROR(Table2_1[[#This Row],[Launched Price (USA)]] / S112, "")</f>
        <v>18.897790490990282</v>
      </c>
      <c r="S11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42.280075037392947</v>
      </c>
      <c r="T112" s="6">
        <v>2024</v>
      </c>
    </row>
    <row r="113" spans="1:20" x14ac:dyDescent="0.25">
      <c r="A113" s="6" t="s">
        <v>1923</v>
      </c>
      <c r="B113" s="6" t="s">
        <v>1973</v>
      </c>
      <c r="C11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113" s="6">
        <v>216</v>
      </c>
      <c r="E113" s="6">
        <v>12</v>
      </c>
      <c r="F113" s="6">
        <v>10.8</v>
      </c>
      <c r="G113" s="6">
        <v>50</v>
      </c>
      <c r="H113" s="6"/>
      <c r="I113" s="6"/>
      <c r="J113" s="6" t="s">
        <v>1972</v>
      </c>
      <c r="K113" s="6" t="s">
        <v>2437</v>
      </c>
      <c r="L113" s="6">
        <v>90</v>
      </c>
      <c r="M113" s="6">
        <v>5050</v>
      </c>
      <c r="N113" s="6">
        <v>6.7</v>
      </c>
      <c r="O113" s="6">
        <v>1099</v>
      </c>
      <c r="P113" s="6" t="s">
        <v>2368</v>
      </c>
      <c r="Q113" s="6">
        <f>Table2_1[[#This Row],[Specs Score]] / (Table2_1[[#This Row],[Launched Price (USA)]] ^ 0.85)</f>
        <v>0.1334385215941517</v>
      </c>
      <c r="R113" s="6">
        <f>IFERROR(Table2_1[[#This Row],[Launched Price (USA)]] / S113, "")</f>
        <v>21.42241519305334</v>
      </c>
      <c r="S11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51.301405098169013</v>
      </c>
      <c r="T113" s="6">
        <v>2024</v>
      </c>
    </row>
    <row r="114" spans="1:20" x14ac:dyDescent="0.25">
      <c r="A114" s="6" t="s">
        <v>1923</v>
      </c>
      <c r="B114" s="6" t="s">
        <v>1975</v>
      </c>
      <c r="C114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114" s="6">
        <v>222</v>
      </c>
      <c r="E114" s="6">
        <v>16</v>
      </c>
      <c r="F114" s="6">
        <v>10.8</v>
      </c>
      <c r="G114" s="6">
        <v>50</v>
      </c>
      <c r="H114" s="6"/>
      <c r="I114" s="6"/>
      <c r="J114" s="6" t="s">
        <v>1972</v>
      </c>
      <c r="K114" s="6" t="s">
        <v>2437</v>
      </c>
      <c r="L114" s="6">
        <v>90</v>
      </c>
      <c r="M114" s="6">
        <v>5250</v>
      </c>
      <c r="N114" s="6">
        <v>6.8</v>
      </c>
      <c r="O114" s="6">
        <v>1299</v>
      </c>
      <c r="P114" s="6" t="s">
        <v>2368</v>
      </c>
      <c r="Q114" s="6">
        <f>Table2_1[[#This Row],[Specs Score]] / (Table2_1[[#This Row],[Launched Price (USA)]] ^ 0.85)</f>
        <v>0.14322713759798181</v>
      </c>
      <c r="R114" s="6">
        <f>IFERROR(Table2_1[[#This Row],[Launched Price (USA)]] / S114, "")</f>
        <v>20.465203148886754</v>
      </c>
      <c r="S11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63.47359420522838</v>
      </c>
      <c r="T114" s="6">
        <v>2024</v>
      </c>
    </row>
    <row r="115" spans="1:20" x14ac:dyDescent="0.25">
      <c r="A115" s="6" t="s">
        <v>1923</v>
      </c>
      <c r="B115" s="6" t="s">
        <v>1978</v>
      </c>
      <c r="C115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115" s="6">
        <v>250</v>
      </c>
      <c r="E115" s="6">
        <v>16</v>
      </c>
      <c r="F115" s="6">
        <v>10.8</v>
      </c>
      <c r="G115" s="6">
        <v>50</v>
      </c>
      <c r="H115" s="6"/>
      <c r="I115" s="6"/>
      <c r="J115" s="6" t="s">
        <v>1972</v>
      </c>
      <c r="K115" s="6" t="s">
        <v>2437</v>
      </c>
      <c r="L115" s="6">
        <v>90</v>
      </c>
      <c r="M115" s="6">
        <v>5500</v>
      </c>
      <c r="N115" s="6">
        <v>7.6</v>
      </c>
      <c r="O115" s="6">
        <v>1799</v>
      </c>
      <c r="P115" s="6" t="s">
        <v>2368</v>
      </c>
      <c r="Q115" s="6">
        <f>Table2_1[[#This Row],[Specs Score]] / (Table2_1[[#This Row],[Launched Price (USA)]] ^ 0.85)</f>
        <v>0.1107198157447921</v>
      </c>
      <c r="R115" s="6">
        <f>IFERROR(Table2_1[[#This Row],[Launched Price (USA)]] / S115, "")</f>
        <v>27.799009383132805</v>
      </c>
      <c r="S11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64.714536234213895</v>
      </c>
      <c r="T115" s="6">
        <v>2024</v>
      </c>
    </row>
    <row r="116" spans="1:20" x14ac:dyDescent="0.25">
      <c r="A116" s="6" t="s">
        <v>1923</v>
      </c>
      <c r="B116" s="6" t="s">
        <v>1935</v>
      </c>
      <c r="C11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16" s="6">
        <v>143</v>
      </c>
      <c r="E116" s="6">
        <v>6</v>
      </c>
      <c r="F116" s="6">
        <v>8</v>
      </c>
      <c r="G116" s="6">
        <v>12</v>
      </c>
      <c r="H116" s="6"/>
      <c r="I116" s="6"/>
      <c r="J116" s="6" t="s">
        <v>1936</v>
      </c>
      <c r="K116" s="6" t="s">
        <v>2438</v>
      </c>
      <c r="L116" s="6">
        <v>45</v>
      </c>
      <c r="M116" s="6">
        <v>3140</v>
      </c>
      <c r="N116" s="6">
        <v>5.8</v>
      </c>
      <c r="O116" s="6">
        <v>349</v>
      </c>
      <c r="P116" s="6" t="s">
        <v>2368</v>
      </c>
      <c r="Q116" s="6">
        <f>Table2_1[[#This Row],[Specs Score]] / (Table2_1[[#This Row],[Launched Price (USA)]] ^ 0.85)</f>
        <v>0.16263357850153407</v>
      </c>
      <c r="R116" s="6">
        <f>IFERROR(Table2_1[[#This Row],[Launched Price (USA)]] / S116, "")</f>
        <v>14.798360264153617</v>
      </c>
      <c r="S11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23.583693988406953</v>
      </c>
      <c r="T116" s="6">
        <v>2020</v>
      </c>
    </row>
    <row r="117" spans="1:20" x14ac:dyDescent="0.25">
      <c r="A117" s="6" t="s">
        <v>1923</v>
      </c>
      <c r="B117" s="6" t="s">
        <v>1938</v>
      </c>
      <c r="C11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17" s="6">
        <v>168</v>
      </c>
      <c r="E117" s="6">
        <v>6</v>
      </c>
      <c r="F117" s="6">
        <v>8</v>
      </c>
      <c r="G117" s="6">
        <v>12</v>
      </c>
      <c r="H117" s="6"/>
      <c r="I117" s="6"/>
      <c r="J117" s="6" t="s">
        <v>821</v>
      </c>
      <c r="K117" s="6" t="s">
        <v>2438</v>
      </c>
      <c r="L117" s="6">
        <v>52</v>
      </c>
      <c r="M117" s="6">
        <v>3885</v>
      </c>
      <c r="N117" s="6">
        <v>6.2</v>
      </c>
      <c r="O117" s="6">
        <v>499</v>
      </c>
      <c r="P117" s="6" t="s">
        <v>2368</v>
      </c>
      <c r="Q117" s="6">
        <f>Table2_1[[#This Row],[Specs Score]] / (Table2_1[[#This Row],[Launched Price (USA)]] ^ 0.85)</f>
        <v>0.13730935385835341</v>
      </c>
      <c r="R117" s="6">
        <f>IFERROR(Table2_1[[#This Row],[Launched Price (USA)]] / S117, "")</f>
        <v>18.493323142735935</v>
      </c>
      <c r="S11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26.982711335793866</v>
      </c>
      <c r="T117" s="6">
        <v>2020</v>
      </c>
    </row>
    <row r="118" spans="1:20" x14ac:dyDescent="0.25">
      <c r="A118" s="6" t="s">
        <v>1923</v>
      </c>
      <c r="B118" s="6" t="s">
        <v>1941</v>
      </c>
      <c r="C11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18" s="6">
        <v>151</v>
      </c>
      <c r="E118" s="6">
        <v>8</v>
      </c>
      <c r="F118" s="6">
        <v>8</v>
      </c>
      <c r="G118" s="6">
        <v>12</v>
      </c>
      <c r="H118" s="6"/>
      <c r="I118" s="6"/>
      <c r="J118" s="6" t="s">
        <v>821</v>
      </c>
      <c r="K118" s="6" t="s">
        <v>2438</v>
      </c>
      <c r="L118" s="6">
        <v>52</v>
      </c>
      <c r="M118" s="6">
        <v>4080</v>
      </c>
      <c r="N118" s="6">
        <v>6</v>
      </c>
      <c r="O118" s="6">
        <v>699</v>
      </c>
      <c r="P118" s="6" t="s">
        <v>2368</v>
      </c>
      <c r="Q118" s="6">
        <f>Table2_1[[#This Row],[Specs Score]] / (Table2_1[[#This Row],[Launched Price (USA)]] ^ 0.85)</f>
        <v>0.11116617144404792</v>
      </c>
      <c r="R118" s="6">
        <f>IFERROR(Table2_1[[#This Row],[Launched Price (USA)]] / S118, "")</f>
        <v>24.026965651171643</v>
      </c>
      <c r="S11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29.092312785069229</v>
      </c>
      <c r="T118" s="6">
        <v>2020</v>
      </c>
    </row>
    <row r="119" spans="1:20" x14ac:dyDescent="0.25">
      <c r="A119" s="6" t="s">
        <v>1923</v>
      </c>
      <c r="B119" s="6" t="s">
        <v>1944</v>
      </c>
      <c r="C11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19" s="6">
        <v>183</v>
      </c>
      <c r="E119" s="6">
        <v>6</v>
      </c>
      <c r="F119" s="6">
        <v>8</v>
      </c>
      <c r="G119" s="6">
        <v>12</v>
      </c>
      <c r="H119" s="6"/>
      <c r="I119" s="6"/>
      <c r="J119" s="6" t="s">
        <v>821</v>
      </c>
      <c r="K119" s="6" t="s">
        <v>2438</v>
      </c>
      <c r="L119" s="6">
        <v>52</v>
      </c>
      <c r="M119" s="6">
        <v>4680</v>
      </c>
      <c r="N119" s="6">
        <v>6.34</v>
      </c>
      <c r="O119" s="6">
        <v>449</v>
      </c>
      <c r="P119" s="6" t="s">
        <v>2368</v>
      </c>
      <c r="Q119" s="6">
        <f>Table2_1[[#This Row],[Specs Score]] / (Table2_1[[#This Row],[Launched Price (USA)]] ^ 0.85)</f>
        <v>0.15822937620966387</v>
      </c>
      <c r="R119" s="6">
        <f>IFERROR(Table2_1[[#This Row],[Launched Price (USA)]] / S119, "")</f>
        <v>15.796098572043086</v>
      </c>
      <c r="S11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28.424740321301112</v>
      </c>
      <c r="T119" s="6">
        <v>2021</v>
      </c>
    </row>
    <row r="120" spans="1:20" x14ac:dyDescent="0.25">
      <c r="A120" s="6" t="s">
        <v>2134</v>
      </c>
      <c r="B120" s="6" t="s">
        <v>2165</v>
      </c>
      <c r="C12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20" s="6">
        <v>179</v>
      </c>
      <c r="E120" s="6">
        <v>6</v>
      </c>
      <c r="F120" s="6">
        <v>16</v>
      </c>
      <c r="G120" s="6">
        <v>64</v>
      </c>
      <c r="H120" s="6"/>
      <c r="I120" s="6"/>
      <c r="J120" s="6" t="s">
        <v>2373</v>
      </c>
      <c r="K120" s="6" t="s">
        <v>2439</v>
      </c>
      <c r="L120" s="6">
        <v>18</v>
      </c>
      <c r="M120" s="6">
        <v>4000</v>
      </c>
      <c r="N120" s="6">
        <v>6.6</v>
      </c>
      <c r="O120" s="6">
        <v>299</v>
      </c>
      <c r="P120" s="6" t="s">
        <v>2368</v>
      </c>
      <c r="Q120" s="6">
        <f>Table2_1[[#This Row],[Specs Score]] / (Table2_1[[#This Row],[Launched Price (USA)]] ^ 0.85)</f>
        <v>0.18125659798442897</v>
      </c>
      <c r="R120" s="6">
        <f>IFERROR(Table2_1[[#This Row],[Launched Price (USA)]] / S120, "")</f>
        <v>12.973490968024544</v>
      </c>
      <c r="S12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23.0469964280962</v>
      </c>
      <c r="T120" s="6">
        <v>2021</v>
      </c>
    </row>
    <row r="121" spans="1:20" x14ac:dyDescent="0.25">
      <c r="A121" s="6" t="s">
        <v>2134</v>
      </c>
      <c r="B121" s="6" t="s">
        <v>2168</v>
      </c>
      <c r="C12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21" s="6">
        <v>191</v>
      </c>
      <c r="E121" s="6">
        <v>6</v>
      </c>
      <c r="F121" s="6">
        <v>8</v>
      </c>
      <c r="G121" s="6">
        <v>13</v>
      </c>
      <c r="H121" s="6"/>
      <c r="I121" s="6"/>
      <c r="J121" s="6" t="s">
        <v>2093</v>
      </c>
      <c r="K121" s="6" t="s">
        <v>2439</v>
      </c>
      <c r="L121" s="6">
        <v>5</v>
      </c>
      <c r="M121" s="6">
        <v>5000</v>
      </c>
      <c r="N121" s="6">
        <v>6.5</v>
      </c>
      <c r="O121" s="6">
        <v>219</v>
      </c>
      <c r="P121" s="6" t="s">
        <v>2368</v>
      </c>
      <c r="Q121" s="6">
        <f>Table2_1[[#This Row],[Specs Score]] / (Table2_1[[#This Row],[Launched Price (USA)]] ^ 0.85)</f>
        <v>0.17723997623813686</v>
      </c>
      <c r="R121" s="6">
        <f>IFERROR(Table2_1[[#This Row],[Launched Price (USA)]] / S121, "")</f>
        <v>12.662076530213048</v>
      </c>
      <c r="S12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17.295741300997744</v>
      </c>
      <c r="T121" s="6">
        <v>2021</v>
      </c>
    </row>
    <row r="122" spans="1:20" x14ac:dyDescent="0.25">
      <c r="A122" s="6" t="s">
        <v>2134</v>
      </c>
      <c r="B122" s="6" t="s">
        <v>2183</v>
      </c>
      <c r="C12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22" s="6">
        <v>190</v>
      </c>
      <c r="E122" s="6">
        <v>6</v>
      </c>
      <c r="F122" s="6">
        <v>5</v>
      </c>
      <c r="G122" s="6">
        <v>13</v>
      </c>
      <c r="H122" s="6"/>
      <c r="I122" s="6"/>
      <c r="J122" s="6" t="s">
        <v>2398</v>
      </c>
      <c r="K122" s="6" t="s">
        <v>2439</v>
      </c>
      <c r="L122" s="6">
        <v>3</v>
      </c>
      <c r="M122" s="6">
        <v>5000</v>
      </c>
      <c r="N122" s="6">
        <v>6.52</v>
      </c>
      <c r="O122" s="6">
        <v>179</v>
      </c>
      <c r="P122" s="6" t="s">
        <v>2368</v>
      </c>
      <c r="Q122" s="6">
        <f>Table2_1[[#This Row],[Specs Score]] / (Table2_1[[#This Row],[Launched Price (USA)]] ^ 0.85)</f>
        <v>0.19820297636618958</v>
      </c>
      <c r="R122" s="6">
        <f>IFERROR(Table2_1[[#This Row],[Launched Price (USA)]] / S122, "")</f>
        <v>10.985448254868849</v>
      </c>
      <c r="S12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16.294282749970225</v>
      </c>
      <c r="T122" s="6">
        <v>2022</v>
      </c>
    </row>
    <row r="123" spans="1:20" x14ac:dyDescent="0.25">
      <c r="A123" s="6" t="s">
        <v>2134</v>
      </c>
      <c r="B123" s="6" t="s">
        <v>2185</v>
      </c>
      <c r="C12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23" s="6">
        <v>198</v>
      </c>
      <c r="E123" s="6">
        <v>6</v>
      </c>
      <c r="F123" s="6">
        <v>5</v>
      </c>
      <c r="G123" s="6">
        <v>13</v>
      </c>
      <c r="H123" s="6"/>
      <c r="I123" s="6"/>
      <c r="J123" s="6" t="s">
        <v>2373</v>
      </c>
      <c r="K123" s="6" t="s">
        <v>2439</v>
      </c>
      <c r="L123" s="6">
        <v>18</v>
      </c>
      <c r="M123" s="6">
        <v>5000</v>
      </c>
      <c r="N123" s="6">
        <v>6.74</v>
      </c>
      <c r="O123" s="6">
        <v>229</v>
      </c>
      <c r="P123" s="6" t="s">
        <v>2368</v>
      </c>
      <c r="Q123" s="6">
        <f>Table2_1[[#This Row],[Specs Score]] / (Table2_1[[#This Row],[Launched Price (USA)]] ^ 0.85)</f>
        <v>0.20039097755045782</v>
      </c>
      <c r="R123" s="6">
        <f>IFERROR(Table2_1[[#This Row],[Launched Price (USA)]] / S123, "")</f>
        <v>11.274496561435502</v>
      </c>
      <c r="S12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20.311328204515682</v>
      </c>
      <c r="T123" s="6">
        <v>2022</v>
      </c>
    </row>
    <row r="124" spans="1:20" x14ac:dyDescent="0.25">
      <c r="A124" s="6" t="s">
        <v>2134</v>
      </c>
      <c r="B124" s="6" t="s">
        <v>2202</v>
      </c>
      <c r="C12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24" s="6">
        <v>175</v>
      </c>
      <c r="E124" s="6">
        <v>6</v>
      </c>
      <c r="F124" s="6">
        <v>8</v>
      </c>
      <c r="G124" s="6">
        <v>50</v>
      </c>
      <c r="H124" s="6"/>
      <c r="I124" s="6"/>
      <c r="J124" s="6" t="s">
        <v>2373</v>
      </c>
      <c r="K124" s="6" t="s">
        <v>2439</v>
      </c>
      <c r="L124" s="6">
        <v>18</v>
      </c>
      <c r="M124" s="6">
        <v>4000</v>
      </c>
      <c r="N124" s="6">
        <v>6.7</v>
      </c>
      <c r="O124" s="6">
        <v>279</v>
      </c>
      <c r="P124" s="6" t="s">
        <v>2368</v>
      </c>
      <c r="Q124" s="6">
        <f>Table2_1[[#This Row],[Specs Score]] / (Table2_1[[#This Row],[Launched Price (USA)]] ^ 0.85)</f>
        <v>0.17561801588042292</v>
      </c>
      <c r="R124" s="6">
        <f>IFERROR(Table2_1[[#This Row],[Launched Price (USA)]] / S124, "")</f>
        <v>13.251699047175466</v>
      </c>
      <c r="S12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21.053904031986562</v>
      </c>
      <c r="T124" s="6">
        <v>2022</v>
      </c>
    </row>
    <row r="125" spans="1:20" x14ac:dyDescent="0.25">
      <c r="A125" s="6" t="s">
        <v>2134</v>
      </c>
      <c r="B125" s="6" t="s">
        <v>2203</v>
      </c>
      <c r="C12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25" s="6">
        <v>196</v>
      </c>
      <c r="E125" s="6">
        <v>4</v>
      </c>
      <c r="F125" s="6">
        <v>5</v>
      </c>
      <c r="G125" s="6">
        <v>13</v>
      </c>
      <c r="H125" s="6"/>
      <c r="I125" s="6"/>
      <c r="J125" s="6" t="s">
        <v>2380</v>
      </c>
      <c r="K125" s="6" t="s">
        <v>2439</v>
      </c>
      <c r="L125" s="6">
        <v>6</v>
      </c>
      <c r="M125" s="6">
        <v>5200</v>
      </c>
      <c r="N125" s="6">
        <v>6.74</v>
      </c>
      <c r="O125" s="6">
        <v>159</v>
      </c>
      <c r="P125" s="6" t="s">
        <v>2368</v>
      </c>
      <c r="Q125" s="6">
        <f>Table2_1[[#This Row],[Specs Score]] / (Table2_1[[#This Row],[Launched Price (USA)]] ^ 0.85)</f>
        <v>0.20995924139261837</v>
      </c>
      <c r="R125" s="6">
        <f>IFERROR(Table2_1[[#This Row],[Launched Price (USA)]] / S125, "")</f>
        <v>10.187663077456101</v>
      </c>
      <c r="S12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15.607112130734393</v>
      </c>
      <c r="T125" s="6">
        <v>2023</v>
      </c>
    </row>
    <row r="126" spans="1:20" x14ac:dyDescent="0.25">
      <c r="A126" s="6" t="s">
        <v>2134</v>
      </c>
      <c r="B126" s="6" t="s">
        <v>2204</v>
      </c>
      <c r="C12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26" s="6">
        <v>199</v>
      </c>
      <c r="E126" s="6">
        <v>6</v>
      </c>
      <c r="F126" s="6">
        <v>5</v>
      </c>
      <c r="G126" s="6">
        <v>13</v>
      </c>
      <c r="H126" s="6"/>
      <c r="I126" s="6"/>
      <c r="J126" s="6" t="s">
        <v>2381</v>
      </c>
      <c r="K126" s="6" t="s">
        <v>2439</v>
      </c>
      <c r="L126" s="6">
        <v>20</v>
      </c>
      <c r="M126" s="6">
        <v>5200</v>
      </c>
      <c r="N126" s="6">
        <v>6.74</v>
      </c>
      <c r="O126" s="6">
        <v>199</v>
      </c>
      <c r="P126" s="6" t="s">
        <v>2368</v>
      </c>
      <c r="Q126" s="6">
        <f>Table2_1[[#This Row],[Specs Score]] / (Table2_1[[#This Row],[Launched Price (USA)]] ^ 0.85)</f>
        <v>0.23503390649893488</v>
      </c>
      <c r="R126" s="6">
        <f>IFERROR(Table2_1[[#This Row],[Launched Price (USA)]] / S126, "")</f>
        <v>9.4123364390366184</v>
      </c>
      <c r="S12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21.142465666087926</v>
      </c>
      <c r="T126" s="6">
        <v>2023</v>
      </c>
    </row>
    <row r="127" spans="1:20" x14ac:dyDescent="0.25">
      <c r="A127" s="6" t="s">
        <v>2134</v>
      </c>
      <c r="B127" s="6" t="s">
        <v>2218</v>
      </c>
      <c r="C12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27" s="6">
        <v>185</v>
      </c>
      <c r="E127" s="6">
        <v>6</v>
      </c>
      <c r="F127" s="6">
        <v>8</v>
      </c>
      <c r="G127" s="6">
        <v>108</v>
      </c>
      <c r="H127" s="6"/>
      <c r="I127" s="6"/>
      <c r="J127" s="6" t="s">
        <v>1723</v>
      </c>
      <c r="K127" s="6" t="s">
        <v>2439</v>
      </c>
      <c r="L127" s="6">
        <v>30</v>
      </c>
      <c r="M127" s="6">
        <v>5800</v>
      </c>
      <c r="N127" s="6">
        <v>6.78</v>
      </c>
      <c r="O127" s="6">
        <v>299</v>
      </c>
      <c r="P127" s="6" t="s">
        <v>2368</v>
      </c>
      <c r="Q127" s="6">
        <f>Table2_1[[#This Row],[Specs Score]] / (Table2_1[[#This Row],[Launched Price (USA)]] ^ 0.85)</f>
        <v>0.23654262589587285</v>
      </c>
      <c r="R127" s="6">
        <f>IFERROR(Table2_1[[#This Row],[Launched Price (USA)]] / S127, "")</f>
        <v>9.9412561602364207</v>
      </c>
      <c r="S12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30.076681978677556</v>
      </c>
      <c r="T127" s="6">
        <v>2023</v>
      </c>
    </row>
    <row r="128" spans="1:20" x14ac:dyDescent="0.25">
      <c r="A128" s="6" t="s">
        <v>2134</v>
      </c>
      <c r="B128" s="6" t="s">
        <v>2220</v>
      </c>
      <c r="C12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28" s="6">
        <v>179</v>
      </c>
      <c r="E128" s="6">
        <v>6</v>
      </c>
      <c r="F128" s="6">
        <v>8</v>
      </c>
      <c r="G128" s="6">
        <v>100</v>
      </c>
      <c r="H128" s="6"/>
      <c r="I128" s="6"/>
      <c r="J128" s="6" t="s">
        <v>2381</v>
      </c>
      <c r="K128" s="6" t="s">
        <v>2439</v>
      </c>
      <c r="L128" s="6">
        <v>20</v>
      </c>
      <c r="M128" s="6">
        <v>4500</v>
      </c>
      <c r="N128" s="6">
        <v>6.7</v>
      </c>
      <c r="O128" s="6">
        <v>249</v>
      </c>
      <c r="P128" s="6" t="s">
        <v>2368</v>
      </c>
      <c r="Q128" s="6">
        <f>Table2_1[[#This Row],[Specs Score]] / (Table2_1[[#This Row],[Launched Price (USA)]] ^ 0.85)</f>
        <v>0.22913791438421893</v>
      </c>
      <c r="R128" s="6">
        <f>IFERROR(Table2_1[[#This Row],[Launched Price (USA)]] / S128, "")</f>
        <v>9.9846523092623833</v>
      </c>
      <c r="S12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24.938274492443981</v>
      </c>
      <c r="T128" s="6">
        <v>2023</v>
      </c>
    </row>
    <row r="129" spans="1:20" x14ac:dyDescent="0.25">
      <c r="A129" s="6" t="s">
        <v>2134</v>
      </c>
      <c r="B129" s="6" t="s">
        <v>2222</v>
      </c>
      <c r="C12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29" s="6">
        <v>191</v>
      </c>
      <c r="E129" s="6">
        <v>4</v>
      </c>
      <c r="F129" s="6">
        <v>5</v>
      </c>
      <c r="G129" s="6">
        <v>13</v>
      </c>
      <c r="H129" s="6"/>
      <c r="I129" s="6"/>
      <c r="J129" s="6" t="s">
        <v>2382</v>
      </c>
      <c r="K129" s="6" t="s">
        <v>2439</v>
      </c>
      <c r="L129" s="6">
        <v>5</v>
      </c>
      <c r="M129" s="6">
        <v>5000</v>
      </c>
      <c r="N129" s="6">
        <v>6.52</v>
      </c>
      <c r="O129" s="6">
        <v>149</v>
      </c>
      <c r="P129" s="6" t="s">
        <v>2368</v>
      </c>
      <c r="Q129" s="6">
        <f>Table2_1[[#This Row],[Specs Score]] / (Table2_1[[#This Row],[Launched Price (USA)]] ^ 0.85)</f>
        <v>0.21039422827775364</v>
      </c>
      <c r="R129" s="6">
        <f>IFERROR(Table2_1[[#This Row],[Launched Price (USA)]] / S129, "")</f>
        <v>10.068021135306967</v>
      </c>
      <c r="S12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14.799333255020732</v>
      </c>
      <c r="T129" s="6">
        <v>2023</v>
      </c>
    </row>
    <row r="130" spans="1:20" x14ac:dyDescent="0.25">
      <c r="A130" s="6" t="s">
        <v>2134</v>
      </c>
      <c r="B130" s="6" t="s">
        <v>2224</v>
      </c>
      <c r="C13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30" s="6">
        <v>195</v>
      </c>
      <c r="E130" s="6">
        <v>6</v>
      </c>
      <c r="F130" s="6">
        <v>5</v>
      </c>
      <c r="G130" s="6">
        <v>50</v>
      </c>
      <c r="H130" s="6"/>
      <c r="I130" s="6"/>
      <c r="J130" s="6" t="s">
        <v>2383</v>
      </c>
      <c r="K130" s="6" t="s">
        <v>2439</v>
      </c>
      <c r="L130" s="6">
        <v>22</v>
      </c>
      <c r="M130" s="6">
        <v>5200</v>
      </c>
      <c r="N130" s="6">
        <v>6.74</v>
      </c>
      <c r="O130" s="6">
        <v>189</v>
      </c>
      <c r="P130" s="6" t="s">
        <v>2368</v>
      </c>
      <c r="Q130" s="6">
        <f>Table2_1[[#This Row],[Specs Score]] / (Table2_1[[#This Row],[Launched Price (USA)]] ^ 0.85)</f>
        <v>0.2734672208769231</v>
      </c>
      <c r="R130" s="6">
        <f>IFERROR(Table2_1[[#This Row],[Launched Price (USA)]] / S130, "")</f>
        <v>8.0271983331943204</v>
      </c>
      <c r="S13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23.544952068574329</v>
      </c>
      <c r="T130" s="6">
        <v>2023</v>
      </c>
    </row>
    <row r="131" spans="1:20" x14ac:dyDescent="0.25">
      <c r="A131" s="6" t="s">
        <v>2134</v>
      </c>
      <c r="B131" s="6" t="s">
        <v>2236</v>
      </c>
      <c r="C13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31" s="6">
        <v>185</v>
      </c>
      <c r="E131" s="6">
        <v>6</v>
      </c>
      <c r="F131" s="6">
        <v>8</v>
      </c>
      <c r="G131" s="6">
        <v>108</v>
      </c>
      <c r="H131" s="6"/>
      <c r="I131" s="6"/>
      <c r="J131" s="6" t="s">
        <v>1723</v>
      </c>
      <c r="K131" s="6" t="s">
        <v>2439</v>
      </c>
      <c r="L131" s="6">
        <v>30</v>
      </c>
      <c r="M131" s="6">
        <v>5800</v>
      </c>
      <c r="N131" s="6">
        <v>6.78</v>
      </c>
      <c r="O131" s="6">
        <v>299</v>
      </c>
      <c r="P131" s="6" t="s">
        <v>2368</v>
      </c>
      <c r="Q131" s="6">
        <f>Table2_1[[#This Row],[Specs Score]] / (Table2_1[[#This Row],[Launched Price (USA)]] ^ 0.85)</f>
        <v>0.23654262589587285</v>
      </c>
      <c r="R131" s="6">
        <f>IFERROR(Table2_1[[#This Row],[Launched Price (USA)]] / S131, "")</f>
        <v>9.9412561602364207</v>
      </c>
      <c r="S13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30.076681978677556</v>
      </c>
      <c r="T131" s="6">
        <v>2023</v>
      </c>
    </row>
    <row r="132" spans="1:20" x14ac:dyDescent="0.25">
      <c r="A132" s="6" t="s">
        <v>2134</v>
      </c>
      <c r="B132" s="6" t="s">
        <v>2237</v>
      </c>
      <c r="C13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32" s="6">
        <v>179</v>
      </c>
      <c r="E132" s="6">
        <v>6</v>
      </c>
      <c r="F132" s="6">
        <v>8</v>
      </c>
      <c r="G132" s="6">
        <v>100</v>
      </c>
      <c r="H132" s="6"/>
      <c r="I132" s="6"/>
      <c r="J132" s="6" t="s">
        <v>2381</v>
      </c>
      <c r="K132" s="6" t="s">
        <v>2439</v>
      </c>
      <c r="L132" s="6">
        <v>20</v>
      </c>
      <c r="M132" s="6">
        <v>4500</v>
      </c>
      <c r="N132" s="6">
        <v>6.7</v>
      </c>
      <c r="O132" s="6">
        <v>249</v>
      </c>
      <c r="P132" s="6" t="s">
        <v>2368</v>
      </c>
      <c r="Q132" s="6">
        <f>Table2_1[[#This Row],[Specs Score]] / (Table2_1[[#This Row],[Launched Price (USA)]] ^ 0.85)</f>
        <v>0.22913791438421893</v>
      </c>
      <c r="R132" s="6">
        <f>IFERROR(Table2_1[[#This Row],[Launched Price (USA)]] / S132, "")</f>
        <v>9.9846523092623833</v>
      </c>
      <c r="S13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24.938274492443981</v>
      </c>
      <c r="T132" s="6">
        <v>2023</v>
      </c>
    </row>
    <row r="133" spans="1:20" x14ac:dyDescent="0.25">
      <c r="A133" s="6" t="s">
        <v>2134</v>
      </c>
      <c r="B133" s="6" t="s">
        <v>2238</v>
      </c>
      <c r="C13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33" s="6">
        <v>191</v>
      </c>
      <c r="E133" s="6">
        <v>4</v>
      </c>
      <c r="F133" s="6">
        <v>5</v>
      </c>
      <c r="G133" s="6">
        <v>13</v>
      </c>
      <c r="H133" s="6"/>
      <c r="I133" s="6"/>
      <c r="J133" s="6" t="s">
        <v>2382</v>
      </c>
      <c r="K133" s="6" t="s">
        <v>2439</v>
      </c>
      <c r="L133" s="6">
        <v>5</v>
      </c>
      <c r="M133" s="6">
        <v>5000</v>
      </c>
      <c r="N133" s="6">
        <v>6.52</v>
      </c>
      <c r="O133" s="6">
        <v>149</v>
      </c>
      <c r="P133" s="6" t="s">
        <v>2368</v>
      </c>
      <c r="Q133" s="6">
        <f>Table2_1[[#This Row],[Specs Score]] / (Table2_1[[#This Row],[Launched Price (USA)]] ^ 0.85)</f>
        <v>0.21039422827775364</v>
      </c>
      <c r="R133" s="6">
        <f>IFERROR(Table2_1[[#This Row],[Launched Price (USA)]] / S133, "")</f>
        <v>10.068021135306967</v>
      </c>
      <c r="S13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14.799333255020732</v>
      </c>
      <c r="T133" s="6">
        <v>2023</v>
      </c>
    </row>
    <row r="134" spans="1:20" x14ac:dyDescent="0.25">
      <c r="A134" s="6" t="s">
        <v>2134</v>
      </c>
      <c r="B134" s="6" t="s">
        <v>2239</v>
      </c>
      <c r="C13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34" s="6">
        <v>195</v>
      </c>
      <c r="E134" s="6">
        <v>6</v>
      </c>
      <c r="F134" s="6">
        <v>5</v>
      </c>
      <c r="G134" s="6">
        <v>50</v>
      </c>
      <c r="H134" s="6"/>
      <c r="I134" s="6"/>
      <c r="J134" s="6" t="s">
        <v>2383</v>
      </c>
      <c r="K134" s="6" t="s">
        <v>2439</v>
      </c>
      <c r="L134" s="6">
        <v>22</v>
      </c>
      <c r="M134" s="6">
        <v>5200</v>
      </c>
      <c r="N134" s="6">
        <v>6.74</v>
      </c>
      <c r="O134" s="6">
        <v>189</v>
      </c>
      <c r="P134" s="6" t="s">
        <v>2368</v>
      </c>
      <c r="Q134" s="6">
        <f>Table2_1[[#This Row],[Specs Score]] / (Table2_1[[#This Row],[Launched Price (USA)]] ^ 0.85)</f>
        <v>0.2734672208769231</v>
      </c>
      <c r="R134" s="6">
        <f>IFERROR(Table2_1[[#This Row],[Launched Price (USA)]] / S134, "")</f>
        <v>8.0271983331943204</v>
      </c>
      <c r="S13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23.544952068574329</v>
      </c>
      <c r="T134" s="6">
        <v>2023</v>
      </c>
    </row>
    <row r="135" spans="1:20" x14ac:dyDescent="0.25">
      <c r="A135" s="6" t="s">
        <v>2134</v>
      </c>
      <c r="B135" s="6" t="s">
        <v>2244</v>
      </c>
      <c r="C13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35" s="6">
        <v>460</v>
      </c>
      <c r="E135" s="6">
        <v>4</v>
      </c>
      <c r="F135" s="6">
        <v>2</v>
      </c>
      <c r="G135" s="6">
        <v>5</v>
      </c>
      <c r="H135" s="6"/>
      <c r="I135" s="6"/>
      <c r="J135" s="6" t="s">
        <v>1623</v>
      </c>
      <c r="K135" s="6" t="s">
        <v>2439</v>
      </c>
      <c r="L135" s="6">
        <v>20</v>
      </c>
      <c r="M135" s="6">
        <v>5100</v>
      </c>
      <c r="N135" s="6">
        <v>10.1</v>
      </c>
      <c r="O135" s="6">
        <v>199</v>
      </c>
      <c r="P135" s="6" t="s">
        <v>2369</v>
      </c>
      <c r="Q135" s="6">
        <f>Table2_1[[#This Row],[Specs Score]] / (Table2_1[[#This Row],[Launched Price (USA)]] ^ 0.85)</f>
        <v>0.23958572589845439</v>
      </c>
      <c r="R135" s="6">
        <f>IFERROR(Table2_1[[#This Row],[Launched Price (USA)]] / S135, "")</f>
        <v>9.2335142014540263</v>
      </c>
      <c r="S13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21.551924398260301</v>
      </c>
      <c r="T135" s="6">
        <v>2020</v>
      </c>
    </row>
    <row r="136" spans="1:20" x14ac:dyDescent="0.25">
      <c r="A136" s="6" t="s">
        <v>2134</v>
      </c>
      <c r="B136" s="6" t="s">
        <v>2247</v>
      </c>
      <c r="C13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36" s="6">
        <v>460</v>
      </c>
      <c r="E136" s="6">
        <v>3</v>
      </c>
      <c r="F136" s="6">
        <v>2</v>
      </c>
      <c r="G136" s="6">
        <v>5</v>
      </c>
      <c r="H136" s="6"/>
      <c r="I136" s="6"/>
      <c r="J136" s="6" t="s">
        <v>2384</v>
      </c>
      <c r="K136" s="6" t="s">
        <v>2439</v>
      </c>
      <c r="L136" s="6">
        <v>4</v>
      </c>
      <c r="M136" s="6">
        <v>5100</v>
      </c>
      <c r="N136" s="6">
        <v>9.6999999999999993</v>
      </c>
      <c r="O136" s="6">
        <v>159</v>
      </c>
      <c r="P136" s="6" t="s">
        <v>2369</v>
      </c>
      <c r="Q136" s="6">
        <f>Table2_1[[#This Row],[Specs Score]] / (Table2_1[[#This Row],[Launched Price (USA)]] ^ 0.85)</f>
        <v>0.21652072741072437</v>
      </c>
      <c r="R136" s="6">
        <f>IFERROR(Table2_1[[#This Row],[Launched Price (USA)]] / S136, "")</f>
        <v>9.8789341643433151</v>
      </c>
      <c r="S13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16.094853691189595</v>
      </c>
      <c r="T136" s="6">
        <v>2020</v>
      </c>
    </row>
    <row r="137" spans="1:20" x14ac:dyDescent="0.25">
      <c r="A137" s="6" t="s">
        <v>2134</v>
      </c>
      <c r="B137" s="6" t="s">
        <v>2249</v>
      </c>
      <c r="C13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37" s="6">
        <v>460</v>
      </c>
      <c r="E137" s="6">
        <v>4</v>
      </c>
      <c r="F137" s="6">
        <v>2</v>
      </c>
      <c r="G137" s="6">
        <v>5</v>
      </c>
      <c r="H137" s="6"/>
      <c r="I137" s="6"/>
      <c r="J137" s="6" t="s">
        <v>2385</v>
      </c>
      <c r="K137" s="6" t="s">
        <v>2439</v>
      </c>
      <c r="L137" s="6">
        <v>10</v>
      </c>
      <c r="M137" s="6">
        <v>5100</v>
      </c>
      <c r="N137" s="6">
        <v>10.1</v>
      </c>
      <c r="O137" s="6">
        <v>229</v>
      </c>
      <c r="P137" s="6" t="s">
        <v>2369</v>
      </c>
      <c r="Q137" s="6">
        <f>Table2_1[[#This Row],[Specs Score]] / (Table2_1[[#This Row],[Launched Price (USA)]] ^ 0.85)</f>
        <v>0.18771659527987739</v>
      </c>
      <c r="R137" s="6">
        <f>IFERROR(Table2_1[[#This Row],[Launched Price (USA)]] / S137, "")</f>
        <v>12.035736019859115</v>
      </c>
      <c r="S13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19.026671873007778</v>
      </c>
      <c r="T137" s="6">
        <v>2021</v>
      </c>
    </row>
    <row r="138" spans="1:20" x14ac:dyDescent="0.25">
      <c r="A138" s="6" t="s">
        <v>2134</v>
      </c>
      <c r="B138" s="6" t="s">
        <v>2257</v>
      </c>
      <c r="C13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38" s="6">
        <v>460</v>
      </c>
      <c r="E138" s="6">
        <v>4</v>
      </c>
      <c r="F138" s="6">
        <v>2</v>
      </c>
      <c r="G138" s="6">
        <v>5</v>
      </c>
      <c r="H138" s="6"/>
      <c r="I138" s="6"/>
      <c r="J138" s="6" t="s">
        <v>2385</v>
      </c>
      <c r="K138" s="6" t="s">
        <v>2439</v>
      </c>
      <c r="L138" s="6">
        <v>10</v>
      </c>
      <c r="M138" s="6">
        <v>5100</v>
      </c>
      <c r="N138" s="6">
        <v>10.1</v>
      </c>
      <c r="O138" s="6">
        <v>189</v>
      </c>
      <c r="P138" s="6" t="s">
        <v>2369</v>
      </c>
      <c r="Q138" s="6">
        <f>Table2_1[[#This Row],[Specs Score]] / (Table2_1[[#This Row],[Launched Price (USA)]] ^ 0.85)</f>
        <v>0.22098881596761796</v>
      </c>
      <c r="R138" s="6">
        <f>IFERROR(Table2_1[[#This Row],[Launched Price (USA)]] / S138, "")</f>
        <v>9.9334240513247707</v>
      </c>
      <c r="S13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19.026671873007778</v>
      </c>
      <c r="T138" s="6">
        <v>2022</v>
      </c>
    </row>
    <row r="139" spans="1:20" x14ac:dyDescent="0.25">
      <c r="A139" s="6" t="s">
        <v>2134</v>
      </c>
      <c r="B139" s="6" t="s">
        <v>2258</v>
      </c>
      <c r="C13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39" s="6">
        <v>450</v>
      </c>
      <c r="E139" s="6">
        <v>3</v>
      </c>
      <c r="F139" s="6">
        <v>2</v>
      </c>
      <c r="G139" s="6">
        <v>5</v>
      </c>
      <c r="H139" s="6"/>
      <c r="I139" s="6"/>
      <c r="J139" s="6" t="s">
        <v>2388</v>
      </c>
      <c r="K139" s="6" t="s">
        <v>2439</v>
      </c>
      <c r="L139" s="6">
        <v>5</v>
      </c>
      <c r="M139" s="6">
        <v>5000</v>
      </c>
      <c r="N139" s="6">
        <v>9.6999999999999993</v>
      </c>
      <c r="O139" s="6">
        <v>149</v>
      </c>
      <c r="P139" s="6" t="s">
        <v>2369</v>
      </c>
      <c r="Q139" s="6">
        <f>Table2_1[[#This Row],[Specs Score]] / (Table2_1[[#This Row],[Launched Price (USA)]] ^ 0.85)</f>
        <v>0.23008406607015741</v>
      </c>
      <c r="R139" s="6">
        <f>IFERROR(Table2_1[[#This Row],[Launched Price (USA)]] / S139, "")</f>
        <v>9.2064329930657731</v>
      </c>
      <c r="S13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16.184335465453977</v>
      </c>
      <c r="T139" s="6">
        <v>2022</v>
      </c>
    </row>
    <row r="140" spans="1:20" x14ac:dyDescent="0.25">
      <c r="A140" s="6" t="s">
        <v>2134</v>
      </c>
      <c r="B140" s="6" t="s">
        <v>2264</v>
      </c>
      <c r="C14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40" s="6">
        <v>550</v>
      </c>
      <c r="E140" s="6">
        <v>8</v>
      </c>
      <c r="F140" s="6">
        <v>8</v>
      </c>
      <c r="G140" s="6">
        <v>13</v>
      </c>
      <c r="H140" s="6"/>
      <c r="I140" s="6"/>
      <c r="J140" s="6" t="s">
        <v>1723</v>
      </c>
      <c r="K140" s="6" t="s">
        <v>2439</v>
      </c>
      <c r="L140" s="6">
        <v>30</v>
      </c>
      <c r="M140" s="6">
        <v>8300</v>
      </c>
      <c r="N140" s="6">
        <v>12.1</v>
      </c>
      <c r="O140" s="6">
        <v>399</v>
      </c>
      <c r="P140" s="6" t="s">
        <v>2369</v>
      </c>
      <c r="Q140" s="6">
        <f>Table2_1[[#This Row],[Specs Score]] / (Table2_1[[#This Row],[Launched Price (USA)]] ^ 0.85)</f>
        <v>0.2266146431965412</v>
      </c>
      <c r="R140" s="6">
        <f>IFERROR(Table2_1[[#This Row],[Launched Price (USA)]] / S140, "")</f>
        <v>10.835724763057472</v>
      </c>
      <c r="S14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36.822640730071093</v>
      </c>
      <c r="T140" s="6">
        <v>2024</v>
      </c>
    </row>
    <row r="141" spans="1:20" x14ac:dyDescent="0.25">
      <c r="A141" s="6" t="s">
        <v>2134</v>
      </c>
      <c r="B141" s="6" t="s">
        <v>2271</v>
      </c>
      <c r="C14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41" s="6">
        <v>460</v>
      </c>
      <c r="E141" s="6">
        <v>4</v>
      </c>
      <c r="F141" s="6">
        <v>2</v>
      </c>
      <c r="G141" s="6">
        <v>5</v>
      </c>
      <c r="H141" s="6"/>
      <c r="I141" s="6"/>
      <c r="J141" s="6" t="s">
        <v>2385</v>
      </c>
      <c r="K141" s="6" t="s">
        <v>2439</v>
      </c>
      <c r="L141" s="6">
        <v>10</v>
      </c>
      <c r="M141" s="6">
        <v>5100</v>
      </c>
      <c r="N141" s="6">
        <v>10.1</v>
      </c>
      <c r="O141" s="6">
        <v>189</v>
      </c>
      <c r="P141" s="6" t="s">
        <v>2369</v>
      </c>
      <c r="Q141" s="6">
        <f>Table2_1[[#This Row],[Specs Score]] / (Table2_1[[#This Row],[Launched Price (USA)]] ^ 0.85)</f>
        <v>0.22098881596761796</v>
      </c>
      <c r="R141" s="6">
        <f>IFERROR(Table2_1[[#This Row],[Launched Price (USA)]] / S141, "")</f>
        <v>9.9334240513247707</v>
      </c>
      <c r="S14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19.026671873007778</v>
      </c>
      <c r="T141" s="6">
        <v>2023</v>
      </c>
    </row>
    <row r="142" spans="1:20" x14ac:dyDescent="0.25">
      <c r="A142" s="6" t="s">
        <v>2134</v>
      </c>
      <c r="B142" s="6" t="s">
        <v>2278</v>
      </c>
      <c r="C14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42" s="6">
        <v>450</v>
      </c>
      <c r="E142" s="6">
        <v>4</v>
      </c>
      <c r="F142" s="6">
        <v>2</v>
      </c>
      <c r="G142" s="6">
        <v>5</v>
      </c>
      <c r="H142" s="6"/>
      <c r="I142" s="6"/>
      <c r="J142" s="6" t="s">
        <v>2388</v>
      </c>
      <c r="K142" s="6" t="s">
        <v>2439</v>
      </c>
      <c r="L142" s="6">
        <v>5</v>
      </c>
      <c r="M142" s="6">
        <v>5000</v>
      </c>
      <c r="N142" s="6">
        <v>9.6999999999999993</v>
      </c>
      <c r="O142" s="6">
        <v>149</v>
      </c>
      <c r="P142" s="6" t="s">
        <v>2369</v>
      </c>
      <c r="Q142" s="6">
        <f>Table2_1[[#This Row],[Specs Score]] / (Table2_1[[#This Row],[Launched Price (USA)]] ^ 0.85)</f>
        <v>0.24430053276174818</v>
      </c>
      <c r="R142" s="6">
        <f>IFERROR(Table2_1[[#This Row],[Launched Price (USA)]] / S142, "")</f>
        <v>8.6706873419421875</v>
      </c>
      <c r="S14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17.184335465453977</v>
      </c>
      <c r="T142" s="6">
        <v>2023</v>
      </c>
    </row>
    <row r="143" spans="1:20" x14ac:dyDescent="0.25">
      <c r="A143" s="6" t="s">
        <v>2134</v>
      </c>
      <c r="B143" s="6" t="s">
        <v>2279</v>
      </c>
      <c r="C14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43" s="6">
        <v>460</v>
      </c>
      <c r="E143" s="6">
        <v>3</v>
      </c>
      <c r="F143" s="6">
        <v>2</v>
      </c>
      <c r="G143" s="6">
        <v>5</v>
      </c>
      <c r="H143" s="6"/>
      <c r="I143" s="6"/>
      <c r="J143" s="6" t="s">
        <v>2388</v>
      </c>
      <c r="K143" s="6" t="s">
        <v>2439</v>
      </c>
      <c r="L143" s="6">
        <v>5</v>
      </c>
      <c r="M143" s="6">
        <v>5100</v>
      </c>
      <c r="N143" s="6">
        <v>9.6999999999999993</v>
      </c>
      <c r="O143" s="6">
        <v>129</v>
      </c>
      <c r="P143" s="6" t="s">
        <v>2369</v>
      </c>
      <c r="Q143" s="6">
        <f>Table2_1[[#This Row],[Specs Score]] / (Table2_1[[#This Row],[Launched Price (USA)]] ^ 0.85)</f>
        <v>0.26269201767249162</v>
      </c>
      <c r="R143" s="6">
        <f>IFERROR(Table2_1[[#This Row],[Launched Price (USA)]] / S143, "")</f>
        <v>7.8911732849746672</v>
      </c>
      <c r="S14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16.347378943714848</v>
      </c>
      <c r="T143" s="6">
        <v>2023</v>
      </c>
    </row>
    <row r="144" spans="1:20" x14ac:dyDescent="0.25">
      <c r="A144" s="6" t="s">
        <v>2134</v>
      </c>
      <c r="B144" s="6" t="s">
        <v>2140</v>
      </c>
      <c r="C14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44" s="6">
        <v>190</v>
      </c>
      <c r="E144" s="6">
        <v>8</v>
      </c>
      <c r="F144" s="6">
        <v>32</v>
      </c>
      <c r="G144" s="6">
        <v>50</v>
      </c>
      <c r="H144" s="6"/>
      <c r="I144" s="6"/>
      <c r="J144" s="6" t="s">
        <v>2141</v>
      </c>
      <c r="K144" s="6" t="s">
        <v>2437</v>
      </c>
      <c r="L144" s="6">
        <v>80</v>
      </c>
      <c r="M144" s="6">
        <v>4000</v>
      </c>
      <c r="N144" s="6">
        <v>6.57</v>
      </c>
      <c r="O144" s="6">
        <v>599</v>
      </c>
      <c r="P144" s="6" t="s">
        <v>2368</v>
      </c>
      <c r="Q144" s="6">
        <f>Table2_1[[#This Row],[Specs Score]] / (Table2_1[[#This Row],[Launched Price (USA)]] ^ 0.85)</f>
        <v>0.18610031771207361</v>
      </c>
      <c r="R144" s="6">
        <f>IFERROR(Table2_1[[#This Row],[Launched Price (USA)]] / S144, "")</f>
        <v>14.023838728043442</v>
      </c>
      <c r="S14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42.712984056368313</v>
      </c>
      <c r="T144" s="6">
        <v>2020</v>
      </c>
    </row>
    <row r="145" spans="1:20" x14ac:dyDescent="0.25">
      <c r="A145" s="6" t="s">
        <v>2134</v>
      </c>
      <c r="B145" s="6" t="s">
        <v>2142</v>
      </c>
      <c r="C14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45" s="6">
        <v>192</v>
      </c>
      <c r="E145" s="6">
        <v>12</v>
      </c>
      <c r="F145" s="6">
        <v>32</v>
      </c>
      <c r="G145" s="6">
        <v>50</v>
      </c>
      <c r="H145" s="6"/>
      <c r="I145" s="6"/>
      <c r="J145" s="6" t="s">
        <v>2141</v>
      </c>
      <c r="K145" s="6" t="s">
        <v>2437</v>
      </c>
      <c r="L145" s="6">
        <v>80</v>
      </c>
      <c r="M145" s="6">
        <v>4000</v>
      </c>
      <c r="N145" s="6">
        <v>6.57</v>
      </c>
      <c r="O145" s="6">
        <v>699</v>
      </c>
      <c r="P145" s="6" t="s">
        <v>2368</v>
      </c>
      <c r="Q145" s="6">
        <f>Table2_1[[#This Row],[Specs Score]] / (Table2_1[[#This Row],[Launched Price (USA)]] ^ 0.85)</f>
        <v>0.17849744819663912</v>
      </c>
      <c r="R145" s="6">
        <f>IFERROR(Table2_1[[#This Row],[Launched Price (USA)]] / S145, "")</f>
        <v>14.963719704922305</v>
      </c>
      <c r="S14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46.712984056368313</v>
      </c>
      <c r="T145" s="6">
        <v>2020</v>
      </c>
    </row>
    <row r="146" spans="1:20" x14ac:dyDescent="0.25">
      <c r="A146" s="6" t="s">
        <v>2134</v>
      </c>
      <c r="B146" s="6" t="s">
        <v>2155</v>
      </c>
      <c r="C14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46" s="6">
        <v>213</v>
      </c>
      <c r="E146" s="6">
        <v>8</v>
      </c>
      <c r="F146" s="6">
        <v>32</v>
      </c>
      <c r="G146" s="6">
        <v>40</v>
      </c>
      <c r="H146" s="6"/>
      <c r="I146" s="6"/>
      <c r="J146" s="6" t="s">
        <v>2141</v>
      </c>
      <c r="K146" s="6" t="s">
        <v>2437</v>
      </c>
      <c r="L146" s="6">
        <v>80</v>
      </c>
      <c r="M146" s="6">
        <v>4200</v>
      </c>
      <c r="N146" s="6">
        <v>6.57</v>
      </c>
      <c r="O146" s="6">
        <v>549</v>
      </c>
      <c r="P146" s="6" t="s">
        <v>2368</v>
      </c>
      <c r="Q146" s="6">
        <f>Table2_1[[#This Row],[Specs Score]] / (Table2_1[[#This Row],[Launched Price (USA)]] ^ 0.85)</f>
        <v>0.19953569602778332</v>
      </c>
      <c r="R146" s="6">
        <f>IFERROR(Table2_1[[#This Row],[Launched Price (USA)]] / S146, "")</f>
        <v>12.909673285188928</v>
      </c>
      <c r="S14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42.526250500069537</v>
      </c>
      <c r="T146" s="6">
        <v>2020</v>
      </c>
    </row>
    <row r="147" spans="1:20" x14ac:dyDescent="0.25">
      <c r="A147" s="6" t="s">
        <v>2134</v>
      </c>
      <c r="B147" s="6" t="s">
        <v>2169</v>
      </c>
      <c r="C14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47" s="6">
        <v>202</v>
      </c>
      <c r="E147" s="6">
        <v>8</v>
      </c>
      <c r="F147" s="6">
        <v>13</v>
      </c>
      <c r="G147" s="6">
        <v>50</v>
      </c>
      <c r="H147" s="6"/>
      <c r="I147" s="6"/>
      <c r="J147" s="6" t="s">
        <v>639</v>
      </c>
      <c r="K147" s="6" t="s">
        <v>2437</v>
      </c>
      <c r="L147" s="6">
        <v>85</v>
      </c>
      <c r="M147" s="6">
        <v>4600</v>
      </c>
      <c r="N147" s="6">
        <v>6.76</v>
      </c>
      <c r="O147" s="6">
        <v>899</v>
      </c>
      <c r="P147" s="6" t="s">
        <v>2368</v>
      </c>
      <c r="Q147" s="6">
        <f>Table2_1[[#This Row],[Specs Score]] / (Table2_1[[#This Row],[Launched Price (USA)]] ^ 0.85)</f>
        <v>0.12920183550087733</v>
      </c>
      <c r="R147" s="6">
        <f>IFERROR(Table2_1[[#This Row],[Launched Price (USA)]] / S147, "")</f>
        <v>21.468182090793388</v>
      </c>
      <c r="S14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41.875925786260936</v>
      </c>
      <c r="T147" s="6">
        <v>2021</v>
      </c>
    </row>
    <row r="148" spans="1:20" x14ac:dyDescent="0.25">
      <c r="A148" s="6" t="s">
        <v>2134</v>
      </c>
      <c r="B148" s="6" t="s">
        <v>2172</v>
      </c>
      <c r="C14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48" s="6">
        <v>213</v>
      </c>
      <c r="E148" s="6">
        <v>8</v>
      </c>
      <c r="F148" s="6">
        <v>13</v>
      </c>
      <c r="G148" s="6">
        <v>50</v>
      </c>
      <c r="H148" s="6"/>
      <c r="I148" s="6"/>
      <c r="J148" s="6" t="s">
        <v>2375</v>
      </c>
      <c r="K148" s="6" t="s">
        <v>2437</v>
      </c>
      <c r="L148" s="6">
        <v>88</v>
      </c>
      <c r="M148" s="6">
        <v>4600</v>
      </c>
      <c r="N148" s="6">
        <v>6.76</v>
      </c>
      <c r="O148" s="6">
        <v>1099</v>
      </c>
      <c r="P148" s="6" t="s">
        <v>2368</v>
      </c>
      <c r="Q148" s="6">
        <f>Table2_1[[#This Row],[Specs Score]] / (Table2_1[[#This Row],[Launched Price (USA)]] ^ 0.85)</f>
        <v>0.11089270177893425</v>
      </c>
      <c r="R148" s="6">
        <f>IFERROR(Table2_1[[#This Row],[Launched Price (USA)]] / S148, "")</f>
        <v>25.777849817706954</v>
      </c>
      <c r="S14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42.633501543836701</v>
      </c>
      <c r="T148" s="6">
        <v>2021</v>
      </c>
    </row>
    <row r="149" spans="1:20" x14ac:dyDescent="0.25">
      <c r="A149" s="6" t="s">
        <v>2134</v>
      </c>
      <c r="B149" s="6" t="s">
        <v>2174</v>
      </c>
      <c r="C14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49" s="6">
        <v>236</v>
      </c>
      <c r="E149" s="6">
        <v>12</v>
      </c>
      <c r="F149" s="6">
        <v>13</v>
      </c>
      <c r="G149" s="6">
        <v>50</v>
      </c>
      <c r="H149" s="6"/>
      <c r="I149" s="6"/>
      <c r="J149" s="6" t="s">
        <v>2375</v>
      </c>
      <c r="K149" s="6" t="s">
        <v>2437</v>
      </c>
      <c r="L149" s="6">
        <v>88</v>
      </c>
      <c r="M149" s="6">
        <v>4600</v>
      </c>
      <c r="N149" s="6">
        <v>6.76</v>
      </c>
      <c r="O149" s="6">
        <v>1299</v>
      </c>
      <c r="P149" s="6" t="s">
        <v>2368</v>
      </c>
      <c r="Q149" s="6">
        <f>Table2_1[[#This Row],[Specs Score]] / (Table2_1[[#This Row],[Launched Price (USA)]] ^ 0.85)</f>
        <v>0.10522774117216488</v>
      </c>
      <c r="R149" s="6">
        <f>IFERROR(Table2_1[[#This Row],[Launched Price (USA)]] / S149, "")</f>
        <v>27.85551067356386</v>
      </c>
      <c r="S14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46.633501543836701</v>
      </c>
      <c r="T149" s="6">
        <v>2021</v>
      </c>
    </row>
    <row r="150" spans="1:20" x14ac:dyDescent="0.25">
      <c r="A150" s="6" t="s">
        <v>2134</v>
      </c>
      <c r="B150" s="6" t="s">
        <v>2186</v>
      </c>
      <c r="C15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50" s="6">
        <v>199</v>
      </c>
      <c r="E150" s="6">
        <v>8</v>
      </c>
      <c r="F150" s="6">
        <v>12</v>
      </c>
      <c r="G150" s="6">
        <v>50</v>
      </c>
      <c r="H150" s="6"/>
      <c r="I150" s="6"/>
      <c r="J150" s="6" t="s">
        <v>451</v>
      </c>
      <c r="K150" s="6" t="s">
        <v>2437</v>
      </c>
      <c r="L150" s="6">
        <v>90</v>
      </c>
      <c r="M150" s="6">
        <v>4800</v>
      </c>
      <c r="N150" s="6">
        <v>6.81</v>
      </c>
      <c r="O150" s="6">
        <v>899</v>
      </c>
      <c r="P150" s="6" t="s">
        <v>2368</v>
      </c>
      <c r="Q150" s="6">
        <f>Table2_1[[#This Row],[Specs Score]] / (Table2_1[[#This Row],[Launched Price (USA)]] ^ 0.85)</f>
        <v>0.13373230841979991</v>
      </c>
      <c r="R150" s="6">
        <f>IFERROR(Table2_1[[#This Row],[Launched Price (USA)]] / S150, "")</f>
        <v>20.740900712567825</v>
      </c>
      <c r="S15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43.344308545638825</v>
      </c>
      <c r="T150" s="6">
        <v>2022</v>
      </c>
    </row>
    <row r="151" spans="1:20" x14ac:dyDescent="0.25">
      <c r="A151" s="6" t="s">
        <v>2134</v>
      </c>
      <c r="B151" s="6" t="s">
        <v>2189</v>
      </c>
      <c r="C15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51" s="6">
        <v>215</v>
      </c>
      <c r="E151" s="6">
        <v>8</v>
      </c>
      <c r="F151" s="6">
        <v>12</v>
      </c>
      <c r="G151" s="6">
        <v>50</v>
      </c>
      <c r="H151" s="6"/>
      <c r="I151" s="6"/>
      <c r="J151" s="6" t="s">
        <v>451</v>
      </c>
      <c r="K151" s="6" t="s">
        <v>2437</v>
      </c>
      <c r="L151" s="6">
        <v>90</v>
      </c>
      <c r="M151" s="6">
        <v>4600</v>
      </c>
      <c r="N151" s="6">
        <v>6.81</v>
      </c>
      <c r="O151" s="6">
        <v>1099</v>
      </c>
      <c r="P151" s="6" t="s">
        <v>2368</v>
      </c>
      <c r="Q151" s="6">
        <f>Table2_1[[#This Row],[Specs Score]] / (Table2_1[[#This Row],[Launched Price (USA)]] ^ 0.85)</f>
        <v>0.1118933853658967</v>
      </c>
      <c r="R151" s="6">
        <f>IFERROR(Table2_1[[#This Row],[Launched Price (USA)]] / S151, "")</f>
        <v>25.547313659243159</v>
      </c>
      <c r="S15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43.01822158911709</v>
      </c>
      <c r="T151" s="6">
        <v>2022</v>
      </c>
    </row>
    <row r="152" spans="1:20" x14ac:dyDescent="0.25">
      <c r="A152" s="6" t="s">
        <v>2134</v>
      </c>
      <c r="B152" s="6" t="s">
        <v>2190</v>
      </c>
      <c r="C15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52" s="6">
        <v>242</v>
      </c>
      <c r="E152" s="6">
        <v>12</v>
      </c>
      <c r="F152" s="6">
        <v>12</v>
      </c>
      <c r="G152" s="6">
        <v>50</v>
      </c>
      <c r="H152" s="6"/>
      <c r="I152" s="6"/>
      <c r="J152" s="6" t="s">
        <v>451</v>
      </c>
      <c r="K152" s="6" t="s">
        <v>2437</v>
      </c>
      <c r="L152" s="6">
        <v>90</v>
      </c>
      <c r="M152" s="6">
        <v>4600</v>
      </c>
      <c r="N152" s="6">
        <v>6.81</v>
      </c>
      <c r="O152" s="6">
        <v>1299</v>
      </c>
      <c r="P152" s="6" t="s">
        <v>2368</v>
      </c>
      <c r="Q152" s="6">
        <f>Table2_1[[#This Row],[Specs Score]] / (Table2_1[[#This Row],[Launched Price (USA)]] ^ 0.85)</f>
        <v>0.10609585572518537</v>
      </c>
      <c r="R152" s="6">
        <f>IFERROR(Table2_1[[#This Row],[Launched Price (USA)]] / S152, "")</f>
        <v>27.62758683966619</v>
      </c>
      <c r="S15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47.01822158911709</v>
      </c>
      <c r="T152" s="6">
        <v>2022</v>
      </c>
    </row>
    <row r="153" spans="1:20" x14ac:dyDescent="0.25">
      <c r="A153" s="6" t="s">
        <v>2134</v>
      </c>
      <c r="B153" s="6" t="s">
        <v>2192</v>
      </c>
      <c r="C15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53" s="6">
        <v>288</v>
      </c>
      <c r="E153" s="6">
        <v>12</v>
      </c>
      <c r="F153" s="6">
        <v>42</v>
      </c>
      <c r="G153" s="6">
        <v>50</v>
      </c>
      <c r="H153" s="6"/>
      <c r="I153" s="6"/>
      <c r="J153" s="6" t="s">
        <v>451</v>
      </c>
      <c r="K153" s="6" t="s">
        <v>2437</v>
      </c>
      <c r="L153" s="6">
        <v>90</v>
      </c>
      <c r="M153" s="6">
        <v>4750</v>
      </c>
      <c r="N153" s="6">
        <v>7.9</v>
      </c>
      <c r="O153" s="6">
        <v>1799</v>
      </c>
      <c r="P153" s="6" t="s">
        <v>2368</v>
      </c>
      <c r="Q153" s="6">
        <f>Table2_1[[#This Row],[Specs Score]] / (Table2_1[[#This Row],[Launched Price (USA)]] ^ 0.85)</f>
        <v>9.1653733739056054E-2</v>
      </c>
      <c r="R153" s="6">
        <f>IFERROR(Table2_1[[#This Row],[Launched Price (USA)]] / S153, "")</f>
        <v>33.581841908930734</v>
      </c>
      <c r="S15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53.570617266278511</v>
      </c>
      <c r="T153" s="6">
        <v>2022</v>
      </c>
    </row>
    <row r="154" spans="1:20" x14ac:dyDescent="0.25">
      <c r="A154" s="6" t="s">
        <v>2134</v>
      </c>
      <c r="B154" s="6" t="s">
        <v>2200</v>
      </c>
      <c r="C15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54" s="6">
        <v>209</v>
      </c>
      <c r="E154" s="6">
        <v>12</v>
      </c>
      <c r="F154" s="6">
        <v>50</v>
      </c>
      <c r="G154" s="6">
        <v>54</v>
      </c>
      <c r="H154" s="6"/>
      <c r="I154" s="6"/>
      <c r="J154" s="6" t="s">
        <v>2379</v>
      </c>
      <c r="K154" s="6" t="s">
        <v>2437</v>
      </c>
      <c r="L154" s="6">
        <v>90</v>
      </c>
      <c r="M154" s="6">
        <v>4500</v>
      </c>
      <c r="N154" s="6">
        <v>6.78</v>
      </c>
      <c r="O154" s="6">
        <v>799</v>
      </c>
      <c r="P154" s="6" t="s">
        <v>2368</v>
      </c>
      <c r="Q154" s="6">
        <f>Table2_1[[#This Row],[Specs Score]] / (Table2_1[[#This Row],[Launched Price (USA)]] ^ 0.85)</f>
        <v>0.18274448224014464</v>
      </c>
      <c r="R154" s="6">
        <f>IFERROR(Table2_1[[#This Row],[Launched Price (USA)]] / S154, "")</f>
        <v>14.912063490512528</v>
      </c>
      <c r="S15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53.580780453915459</v>
      </c>
      <c r="T154" s="6">
        <v>2022</v>
      </c>
    </row>
    <row r="155" spans="1:20" x14ac:dyDescent="0.25">
      <c r="A155" s="6" t="s">
        <v>2134</v>
      </c>
      <c r="B155" s="6" t="s">
        <v>2205</v>
      </c>
      <c r="C15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55" s="6">
        <v>204</v>
      </c>
      <c r="E155" s="6">
        <v>8</v>
      </c>
      <c r="F155" s="6">
        <v>12</v>
      </c>
      <c r="G155" s="6">
        <v>50</v>
      </c>
      <c r="H155" s="6"/>
      <c r="I155" s="6"/>
      <c r="J155" s="6" t="s">
        <v>401</v>
      </c>
      <c r="K155" s="6" t="s">
        <v>2437</v>
      </c>
      <c r="L155" s="6">
        <v>95</v>
      </c>
      <c r="M155" s="6">
        <v>5100</v>
      </c>
      <c r="N155" s="6">
        <v>6.81</v>
      </c>
      <c r="O155" s="6">
        <v>999</v>
      </c>
      <c r="P155" s="6" t="s">
        <v>2368</v>
      </c>
      <c r="Q155" s="6">
        <f>Table2_1[[#This Row],[Specs Score]] / (Table2_1[[#This Row],[Launched Price (USA)]] ^ 0.85)</f>
        <v>0.12720611385747263</v>
      </c>
      <c r="R155" s="6">
        <f>IFERROR(Table2_1[[#This Row],[Launched Price (USA)]] / S155, "")</f>
        <v>22.152708769952216</v>
      </c>
      <c r="S15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45.096065243047697</v>
      </c>
      <c r="T155" s="6">
        <v>2023</v>
      </c>
    </row>
    <row r="156" spans="1:20" x14ac:dyDescent="0.25">
      <c r="A156" s="6" t="s">
        <v>2134</v>
      </c>
      <c r="B156" s="6" t="s">
        <v>2206</v>
      </c>
      <c r="C15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56" s="6">
        <v>219</v>
      </c>
      <c r="E156" s="6">
        <v>12</v>
      </c>
      <c r="F156" s="6">
        <v>12</v>
      </c>
      <c r="G156" s="6">
        <v>50</v>
      </c>
      <c r="H156" s="6"/>
      <c r="I156" s="6"/>
      <c r="J156" s="6" t="s">
        <v>401</v>
      </c>
      <c r="K156" s="6" t="s">
        <v>2437</v>
      </c>
      <c r="L156" s="6">
        <v>95</v>
      </c>
      <c r="M156" s="6">
        <v>5100</v>
      </c>
      <c r="N156" s="6">
        <v>6.81</v>
      </c>
      <c r="O156" s="6">
        <v>1199</v>
      </c>
      <c r="P156" s="6" t="s">
        <v>2368</v>
      </c>
      <c r="Q156" s="6">
        <f>Table2_1[[#This Row],[Specs Score]] / (Table2_1[[#This Row],[Launched Price (USA)]] ^ 0.85)</f>
        <v>0.11859063151776544</v>
      </c>
      <c r="R156" s="6">
        <f>IFERROR(Table2_1[[#This Row],[Launched Price (USA)]] / S156, "")</f>
        <v>24.421509016341911</v>
      </c>
      <c r="S15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49.096065243047697</v>
      </c>
      <c r="T156" s="6">
        <v>2023</v>
      </c>
    </row>
    <row r="157" spans="1:20" x14ac:dyDescent="0.25">
      <c r="A157" s="6" t="s">
        <v>2134</v>
      </c>
      <c r="B157" s="6" t="s">
        <v>2208</v>
      </c>
      <c r="C15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57" s="6">
        <v>234</v>
      </c>
      <c r="E157" s="6">
        <v>16</v>
      </c>
      <c r="F157" s="6">
        <v>12</v>
      </c>
      <c r="G157" s="6">
        <v>50</v>
      </c>
      <c r="H157" s="6"/>
      <c r="I157" s="6"/>
      <c r="J157" s="6" t="s">
        <v>401</v>
      </c>
      <c r="K157" s="6" t="s">
        <v>2437</v>
      </c>
      <c r="L157" s="6">
        <v>95</v>
      </c>
      <c r="M157" s="6">
        <v>5450</v>
      </c>
      <c r="N157" s="6">
        <v>6.81</v>
      </c>
      <c r="O157" s="6">
        <v>1399</v>
      </c>
      <c r="P157" s="6" t="s">
        <v>2368</v>
      </c>
      <c r="Q157" s="6">
        <f>Table2_1[[#This Row],[Specs Score]] / (Table2_1[[#This Row],[Launched Price (USA)]] ^ 0.85)</f>
        <v>0.11369987171617672</v>
      </c>
      <c r="R157" s="6">
        <f>IFERROR(Table2_1[[#This Row],[Launched Price (USA)]] / S157, "")</f>
        <v>26.068298329680626</v>
      </c>
      <c r="S15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53.666717416960743</v>
      </c>
      <c r="T157" s="6">
        <v>2023</v>
      </c>
    </row>
    <row r="158" spans="1:20" x14ac:dyDescent="0.25">
      <c r="A158" s="6" t="s">
        <v>2134</v>
      </c>
      <c r="B158" s="6" t="s">
        <v>2210</v>
      </c>
      <c r="C15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58" s="6">
        <v>267</v>
      </c>
      <c r="E158" s="6">
        <v>12</v>
      </c>
      <c r="F158" s="6">
        <v>16</v>
      </c>
      <c r="G158" s="6">
        <v>50</v>
      </c>
      <c r="H158" s="6"/>
      <c r="I158" s="6"/>
      <c r="J158" s="6" t="s">
        <v>767</v>
      </c>
      <c r="K158" s="6" t="s">
        <v>2437</v>
      </c>
      <c r="L158" s="6">
        <v>92</v>
      </c>
      <c r="M158" s="6">
        <v>5000</v>
      </c>
      <c r="N158" s="6">
        <v>7.9</v>
      </c>
      <c r="O158" s="6">
        <v>1699</v>
      </c>
      <c r="P158" s="6" t="s">
        <v>2368</v>
      </c>
      <c r="Q158" s="6">
        <f>Table2_1[[#This Row],[Specs Score]] / (Table2_1[[#This Row],[Launched Price (USA)]] ^ 0.85)</f>
        <v>8.9806987839143274E-2</v>
      </c>
      <c r="R158" s="6">
        <f>IFERROR(Table2_1[[#This Row],[Launched Price (USA)]] / S158, "")</f>
        <v>33.979648075305128</v>
      </c>
      <c r="S15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50.000517846291537</v>
      </c>
      <c r="T158" s="6">
        <v>2023</v>
      </c>
    </row>
    <row r="159" spans="1:20" x14ac:dyDescent="0.25">
      <c r="A159" s="6" t="s">
        <v>2134</v>
      </c>
      <c r="B159" s="6" t="s">
        <v>2216</v>
      </c>
      <c r="C15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59" s="6">
        <v>193</v>
      </c>
      <c r="E159" s="6">
        <v>12</v>
      </c>
      <c r="F159" s="6">
        <v>50</v>
      </c>
      <c r="G159" s="6">
        <v>160</v>
      </c>
      <c r="H159" s="6"/>
      <c r="I159" s="6"/>
      <c r="J159" s="6" t="s">
        <v>767</v>
      </c>
      <c r="K159" s="6" t="s">
        <v>2437</v>
      </c>
      <c r="L159" s="6">
        <v>92</v>
      </c>
      <c r="M159" s="6">
        <v>4800</v>
      </c>
      <c r="N159" s="6">
        <v>6.78</v>
      </c>
      <c r="O159" s="6">
        <v>799</v>
      </c>
      <c r="P159" s="6" t="s">
        <v>2368</v>
      </c>
      <c r="Q159" s="6">
        <f>Table2_1[[#This Row],[Specs Score]] / (Table2_1[[#This Row],[Launched Price (USA)]] ^ 0.85)</f>
        <v>0.20467513225273809</v>
      </c>
      <c r="R159" s="6">
        <f>IFERROR(Table2_1[[#This Row],[Launched Price (USA)]] / S159, "")</f>
        <v>13.314257045847933</v>
      </c>
      <c r="S15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60.010858829646004</v>
      </c>
      <c r="T159" s="6">
        <v>2022</v>
      </c>
    </row>
    <row r="160" spans="1:20" x14ac:dyDescent="0.25">
      <c r="A160" s="6" t="s">
        <v>2134</v>
      </c>
      <c r="B160" s="6" t="s">
        <v>2225</v>
      </c>
      <c r="C16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60" s="6">
        <v>203</v>
      </c>
      <c r="E160" s="6">
        <v>8</v>
      </c>
      <c r="F160" s="6">
        <v>12</v>
      </c>
      <c r="G160" s="6">
        <v>50</v>
      </c>
      <c r="H160" s="6"/>
      <c r="I160" s="6"/>
      <c r="J160" s="6" t="s">
        <v>737</v>
      </c>
      <c r="K160" s="6" t="s">
        <v>2437</v>
      </c>
      <c r="L160" s="6">
        <v>100</v>
      </c>
      <c r="M160" s="6">
        <v>5200</v>
      </c>
      <c r="N160" s="6">
        <v>6.81</v>
      </c>
      <c r="O160" s="6">
        <v>1099</v>
      </c>
      <c r="P160" s="6" t="s">
        <v>2368</v>
      </c>
      <c r="Q160" s="6">
        <f>Table2_1[[#This Row],[Specs Score]] / (Table2_1[[#This Row],[Launched Price (USA)]] ^ 0.85)</f>
        <v>0.12100626730149251</v>
      </c>
      <c r="R160" s="6">
        <f>IFERROR(Table2_1[[#This Row],[Launched Price (USA)]] / S160, "")</f>
        <v>23.623366591540776</v>
      </c>
      <c r="S16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46.521734983934834</v>
      </c>
      <c r="T160" s="6">
        <v>2024</v>
      </c>
    </row>
    <row r="161" spans="1:20" x14ac:dyDescent="0.25">
      <c r="A161" s="6" t="s">
        <v>2134</v>
      </c>
      <c r="B161" s="6" t="s">
        <v>2227</v>
      </c>
      <c r="C16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61" s="6">
        <v>219</v>
      </c>
      <c r="E161" s="6">
        <v>12</v>
      </c>
      <c r="F161" s="6">
        <v>12</v>
      </c>
      <c r="G161" s="6">
        <v>50</v>
      </c>
      <c r="H161" s="6"/>
      <c r="I161" s="6"/>
      <c r="J161" s="6" t="s">
        <v>737</v>
      </c>
      <c r="K161" s="6" t="s">
        <v>2437</v>
      </c>
      <c r="L161" s="6">
        <v>100</v>
      </c>
      <c r="M161" s="6">
        <v>5500</v>
      </c>
      <c r="N161" s="6">
        <v>6.81</v>
      </c>
      <c r="O161" s="6">
        <v>1299</v>
      </c>
      <c r="P161" s="6" t="s">
        <v>2368</v>
      </c>
      <c r="Q161" s="6">
        <f>Table2_1[[#This Row],[Specs Score]] / (Table2_1[[#This Row],[Launched Price (USA)]] ^ 0.85)</f>
        <v>0.11510519188020019</v>
      </c>
      <c r="R161" s="6">
        <f>IFERROR(Table2_1[[#This Row],[Launched Price (USA)]] / S161, "")</f>
        <v>25.465162947879673</v>
      </c>
      <c r="S16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51.010865418717444</v>
      </c>
      <c r="T161" s="6">
        <v>2024</v>
      </c>
    </row>
    <row r="162" spans="1:20" x14ac:dyDescent="0.25">
      <c r="A162" s="6" t="s">
        <v>2134</v>
      </c>
      <c r="B162" s="6" t="s">
        <v>2228</v>
      </c>
      <c r="C16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62" s="6">
        <v>234</v>
      </c>
      <c r="E162" s="6">
        <v>16</v>
      </c>
      <c r="F162" s="6">
        <v>12</v>
      </c>
      <c r="G162" s="6">
        <v>50</v>
      </c>
      <c r="H162" s="6"/>
      <c r="I162" s="6"/>
      <c r="J162" s="6" t="s">
        <v>737</v>
      </c>
      <c r="K162" s="6" t="s">
        <v>2437</v>
      </c>
      <c r="L162" s="6">
        <v>100</v>
      </c>
      <c r="M162" s="6">
        <v>5550</v>
      </c>
      <c r="N162" s="6">
        <v>6.81</v>
      </c>
      <c r="O162" s="6">
        <v>1499</v>
      </c>
      <c r="P162" s="6" t="s">
        <v>2368</v>
      </c>
      <c r="Q162" s="6">
        <f>Table2_1[[#This Row],[Specs Score]] / (Table2_1[[#This Row],[Launched Price (USA)]] ^ 0.85)</f>
        <v>0.11006777892742638</v>
      </c>
      <c r="R162" s="6">
        <f>IFERROR(Table2_1[[#This Row],[Launched Price (USA)]] / S162, "")</f>
        <v>27.208840954833601</v>
      </c>
      <c r="S16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55.092387157847874</v>
      </c>
      <c r="T162" s="6">
        <v>2024</v>
      </c>
    </row>
    <row r="163" spans="1:20" x14ac:dyDescent="0.25">
      <c r="A163" s="6" t="s">
        <v>2134</v>
      </c>
      <c r="B163" s="6" t="s">
        <v>2230</v>
      </c>
      <c r="C16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63" s="6">
        <v>231</v>
      </c>
      <c r="E163" s="6">
        <v>12</v>
      </c>
      <c r="F163" s="6">
        <v>16</v>
      </c>
      <c r="G163" s="6">
        <v>50</v>
      </c>
      <c r="H163" s="6"/>
      <c r="I163" s="6"/>
      <c r="J163" s="6" t="s">
        <v>401</v>
      </c>
      <c r="K163" s="6" t="s">
        <v>2437</v>
      </c>
      <c r="L163" s="6">
        <v>95</v>
      </c>
      <c r="M163" s="6">
        <v>5000</v>
      </c>
      <c r="N163" s="6">
        <v>7.92</v>
      </c>
      <c r="O163" s="6">
        <v>1899</v>
      </c>
      <c r="P163" s="6" t="s">
        <v>2368</v>
      </c>
      <c r="Q163" s="6">
        <f>Table2_1[[#This Row],[Specs Score]] / (Table2_1[[#This Row],[Launched Price (USA)]] ^ 0.85)</f>
        <v>8.297309671107074E-2</v>
      </c>
      <c r="R163" s="6">
        <f>IFERROR(Table2_1[[#This Row],[Launched Price (USA)]] / S163, "")</f>
        <v>37.397403106775641</v>
      </c>
      <c r="S16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50.778926937200623</v>
      </c>
      <c r="T163" s="6">
        <v>2024</v>
      </c>
    </row>
    <row r="164" spans="1:20" x14ac:dyDescent="0.25">
      <c r="A164" s="6" t="s">
        <v>2134</v>
      </c>
      <c r="B164" s="6" t="s">
        <v>2234</v>
      </c>
      <c r="C16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64" s="6">
        <v>192</v>
      </c>
      <c r="E164" s="6">
        <v>12</v>
      </c>
      <c r="F164" s="6">
        <v>50</v>
      </c>
      <c r="G164" s="6">
        <v>200</v>
      </c>
      <c r="H164" s="6"/>
      <c r="I164" s="6"/>
      <c r="J164" s="6" t="s">
        <v>767</v>
      </c>
      <c r="K164" s="6" t="s">
        <v>2437</v>
      </c>
      <c r="L164" s="6">
        <v>92</v>
      </c>
      <c r="M164" s="6">
        <v>5000</v>
      </c>
      <c r="N164" s="6">
        <v>6.78</v>
      </c>
      <c r="O164" s="6">
        <v>699</v>
      </c>
      <c r="P164" s="6" t="s">
        <v>2368</v>
      </c>
      <c r="Q164" s="6">
        <f>Table2_1[[#This Row],[Specs Score]] / (Table2_1[[#This Row],[Launched Price (USA)]] ^ 0.85)</f>
        <v>0.23839494931553493</v>
      </c>
      <c r="R164" s="6">
        <f>IFERROR(Table2_1[[#This Row],[Launched Price (USA)]] / S164, "")</f>
        <v>11.204036790742293</v>
      </c>
      <c r="S16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62.388227837449797</v>
      </c>
      <c r="T164" s="6">
        <v>2023</v>
      </c>
    </row>
    <row r="165" spans="1:20" x14ac:dyDescent="0.25">
      <c r="A165" s="6" t="s">
        <v>2134</v>
      </c>
      <c r="B165" s="6" t="s">
        <v>2240</v>
      </c>
      <c r="C16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65" s="6">
        <v>203</v>
      </c>
      <c r="E165" s="6">
        <v>8</v>
      </c>
      <c r="F165" s="6">
        <v>12</v>
      </c>
      <c r="G165" s="6">
        <v>50</v>
      </c>
      <c r="H165" s="6"/>
      <c r="I165" s="6"/>
      <c r="J165" s="6" t="s">
        <v>737</v>
      </c>
      <c r="K165" s="6" t="s">
        <v>2437</v>
      </c>
      <c r="L165" s="6">
        <v>100</v>
      </c>
      <c r="M165" s="6">
        <v>5200</v>
      </c>
      <c r="N165" s="6">
        <v>6.81</v>
      </c>
      <c r="O165" s="6">
        <v>1099</v>
      </c>
      <c r="P165" s="6" t="s">
        <v>2368</v>
      </c>
      <c r="Q165" s="6">
        <f>Table2_1[[#This Row],[Specs Score]] / (Table2_1[[#This Row],[Launched Price (USA)]] ^ 0.85)</f>
        <v>0.12100626730149251</v>
      </c>
      <c r="R165" s="6">
        <f>IFERROR(Table2_1[[#This Row],[Launched Price (USA)]] / S165, "")</f>
        <v>23.623366591540776</v>
      </c>
      <c r="S16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46.521734983934834</v>
      </c>
      <c r="T165" s="6">
        <v>2024</v>
      </c>
    </row>
    <row r="166" spans="1:20" x14ac:dyDescent="0.25">
      <c r="A166" s="6" t="s">
        <v>2134</v>
      </c>
      <c r="B166" s="6" t="s">
        <v>2241</v>
      </c>
      <c r="C16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66" s="6">
        <v>219</v>
      </c>
      <c r="E166" s="6">
        <v>12</v>
      </c>
      <c r="F166" s="6">
        <v>12</v>
      </c>
      <c r="G166" s="6">
        <v>50</v>
      </c>
      <c r="H166" s="6"/>
      <c r="I166" s="6"/>
      <c r="J166" s="6" t="s">
        <v>737</v>
      </c>
      <c r="K166" s="6" t="s">
        <v>2437</v>
      </c>
      <c r="L166" s="6">
        <v>100</v>
      </c>
      <c r="M166" s="6">
        <v>5500</v>
      </c>
      <c r="N166" s="6">
        <v>6.81</v>
      </c>
      <c r="O166" s="6">
        <v>1299</v>
      </c>
      <c r="P166" s="6" t="s">
        <v>2368</v>
      </c>
      <c r="Q166" s="6">
        <f>Table2_1[[#This Row],[Specs Score]] / (Table2_1[[#This Row],[Launched Price (USA)]] ^ 0.85)</f>
        <v>0.11510519188020019</v>
      </c>
      <c r="R166" s="6">
        <f>IFERROR(Table2_1[[#This Row],[Launched Price (USA)]] / S166, "")</f>
        <v>25.465162947879673</v>
      </c>
      <c r="S16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51.010865418717444</v>
      </c>
      <c r="T166" s="6">
        <v>2024</v>
      </c>
    </row>
    <row r="167" spans="1:20" x14ac:dyDescent="0.25">
      <c r="A167" s="6" t="s">
        <v>2134</v>
      </c>
      <c r="B167" s="6" t="s">
        <v>2242</v>
      </c>
      <c r="C16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67" s="6">
        <v>234</v>
      </c>
      <c r="E167" s="6">
        <v>16</v>
      </c>
      <c r="F167" s="6">
        <v>12</v>
      </c>
      <c r="G167" s="6">
        <v>50</v>
      </c>
      <c r="H167" s="6"/>
      <c r="I167" s="6"/>
      <c r="J167" s="6" t="s">
        <v>737</v>
      </c>
      <c r="K167" s="6" t="s">
        <v>2437</v>
      </c>
      <c r="L167" s="6">
        <v>100</v>
      </c>
      <c r="M167" s="6">
        <v>5550</v>
      </c>
      <c r="N167" s="6">
        <v>6.81</v>
      </c>
      <c r="O167" s="6">
        <v>1499</v>
      </c>
      <c r="P167" s="6" t="s">
        <v>2368</v>
      </c>
      <c r="Q167" s="6">
        <f>Table2_1[[#This Row],[Specs Score]] / (Table2_1[[#This Row],[Launched Price (USA)]] ^ 0.85)</f>
        <v>0.11006777892742638</v>
      </c>
      <c r="R167" s="6">
        <f>IFERROR(Table2_1[[#This Row],[Launched Price (USA)]] / S167, "")</f>
        <v>27.208840954833601</v>
      </c>
      <c r="S16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55.092387157847874</v>
      </c>
      <c r="T167" s="6">
        <v>2024</v>
      </c>
    </row>
    <row r="168" spans="1:20" x14ac:dyDescent="0.25">
      <c r="A168" s="6" t="s">
        <v>2134</v>
      </c>
      <c r="B168" s="6" t="s">
        <v>2243</v>
      </c>
      <c r="C16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68" s="6">
        <v>231</v>
      </c>
      <c r="E168" s="6">
        <v>12</v>
      </c>
      <c r="F168" s="6">
        <v>16</v>
      </c>
      <c r="G168" s="6">
        <v>50</v>
      </c>
      <c r="H168" s="6"/>
      <c r="I168" s="6"/>
      <c r="J168" s="6" t="s">
        <v>401</v>
      </c>
      <c r="K168" s="6" t="s">
        <v>2437</v>
      </c>
      <c r="L168" s="6">
        <v>95</v>
      </c>
      <c r="M168" s="6">
        <v>5000</v>
      </c>
      <c r="N168" s="6">
        <v>7.92</v>
      </c>
      <c r="O168" s="6">
        <v>1899</v>
      </c>
      <c r="P168" s="6" t="s">
        <v>2368</v>
      </c>
      <c r="Q168" s="6">
        <f>Table2_1[[#This Row],[Specs Score]] / (Table2_1[[#This Row],[Launched Price (USA)]] ^ 0.85)</f>
        <v>8.297309671107074E-2</v>
      </c>
      <c r="R168" s="6">
        <f>IFERROR(Table2_1[[#This Row],[Launched Price (USA)]] / S168, "")</f>
        <v>37.397403106775641</v>
      </c>
      <c r="S16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50.778926937200623</v>
      </c>
      <c r="T168" s="6">
        <v>2024</v>
      </c>
    </row>
    <row r="169" spans="1:20" x14ac:dyDescent="0.25">
      <c r="A169" s="6" t="s">
        <v>2134</v>
      </c>
      <c r="B169" s="6" t="s">
        <v>2261</v>
      </c>
      <c r="C16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69" s="6">
        <v>530</v>
      </c>
      <c r="E169" s="6">
        <v>8</v>
      </c>
      <c r="F169" s="6">
        <v>8</v>
      </c>
      <c r="G169" s="6">
        <v>13</v>
      </c>
      <c r="H169" s="6"/>
      <c r="I169" s="6"/>
      <c r="J169" s="6" t="s">
        <v>2379</v>
      </c>
      <c r="K169" s="6" t="s">
        <v>2437</v>
      </c>
      <c r="L169" s="6">
        <v>90</v>
      </c>
      <c r="M169" s="6">
        <v>8500</v>
      </c>
      <c r="N169" s="6">
        <v>12.1</v>
      </c>
      <c r="O169" s="6">
        <v>649</v>
      </c>
      <c r="P169" s="6" t="s">
        <v>2369</v>
      </c>
      <c r="Q169" s="6">
        <f>Table2_1[[#This Row],[Specs Score]] / (Table2_1[[#This Row],[Launched Price (USA)]] ^ 0.85)</f>
        <v>0.21286081129762316</v>
      </c>
      <c r="R169" s="6">
        <f>IFERROR(Table2_1[[#This Row],[Launched Price (USA)]] / S169, "")</f>
        <v>12.409120202537826</v>
      </c>
      <c r="S16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52.300242838107984</v>
      </c>
      <c r="T169" s="6">
        <v>2023</v>
      </c>
    </row>
    <row r="170" spans="1:20" x14ac:dyDescent="0.25">
      <c r="A170" s="6" t="s">
        <v>2134</v>
      </c>
      <c r="B170" s="6" t="s">
        <v>2272</v>
      </c>
      <c r="C17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70" s="6">
        <v>590</v>
      </c>
      <c r="E170" s="6">
        <v>12</v>
      </c>
      <c r="F170" s="6">
        <v>8</v>
      </c>
      <c r="G170" s="6">
        <v>13</v>
      </c>
      <c r="H170" s="6"/>
      <c r="I170" s="6"/>
      <c r="J170" s="6" t="s">
        <v>767</v>
      </c>
      <c r="K170" s="6" t="s">
        <v>2437</v>
      </c>
      <c r="L170" s="6">
        <v>92</v>
      </c>
      <c r="M170" s="6">
        <v>10000</v>
      </c>
      <c r="N170" s="6">
        <v>13</v>
      </c>
      <c r="O170" s="6">
        <v>799</v>
      </c>
      <c r="P170" s="6" t="s">
        <v>2369</v>
      </c>
      <c r="Q170" s="6">
        <f>Table2_1[[#This Row],[Specs Score]] / (Table2_1[[#This Row],[Launched Price (USA)]] ^ 0.85)</f>
        <v>0.20528081561478304</v>
      </c>
      <c r="R170" s="6">
        <f>IFERROR(Table2_1[[#This Row],[Launched Price (USA)]] / S170, "")</f>
        <v>13.274973180248955</v>
      </c>
      <c r="S17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60.188445517071528</v>
      </c>
      <c r="T170" s="6">
        <v>2023</v>
      </c>
    </row>
    <row r="171" spans="1:20" x14ac:dyDescent="0.25">
      <c r="A171" s="6" t="s">
        <v>2134</v>
      </c>
      <c r="B171" s="6" t="s">
        <v>2276</v>
      </c>
      <c r="C17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71" s="6">
        <v>580</v>
      </c>
      <c r="E171" s="6">
        <v>16</v>
      </c>
      <c r="F171" s="6">
        <v>12</v>
      </c>
      <c r="G171" s="6">
        <v>16</v>
      </c>
      <c r="H171" s="6"/>
      <c r="I171" s="6"/>
      <c r="J171" s="6" t="s">
        <v>401</v>
      </c>
      <c r="K171" s="6" t="s">
        <v>2437</v>
      </c>
      <c r="L171" s="6">
        <v>95</v>
      </c>
      <c r="M171" s="6">
        <v>10500</v>
      </c>
      <c r="N171" s="6">
        <v>13.2</v>
      </c>
      <c r="O171" s="6">
        <v>899</v>
      </c>
      <c r="P171" s="6" t="s">
        <v>2369</v>
      </c>
      <c r="Q171" s="6">
        <f>Table2_1[[#This Row],[Specs Score]] / (Table2_1[[#This Row],[Launched Price (USA)]] ^ 0.85)</f>
        <v>0.20614163262146443</v>
      </c>
      <c r="R171" s="6">
        <f>IFERROR(Table2_1[[#This Row],[Launched Price (USA)]] / S171, "")</f>
        <v>13.45545048675798</v>
      </c>
      <c r="S17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66.81307332554492</v>
      </c>
      <c r="T171" s="6">
        <v>2024</v>
      </c>
    </row>
    <row r="172" spans="1:20" x14ac:dyDescent="0.25">
      <c r="A172" s="6" t="s">
        <v>2134</v>
      </c>
      <c r="B172" s="6" t="s">
        <v>2282</v>
      </c>
      <c r="C17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72" s="6">
        <v>530</v>
      </c>
      <c r="E172" s="6">
        <v>8</v>
      </c>
      <c r="F172" s="6">
        <v>8</v>
      </c>
      <c r="G172" s="6">
        <v>13</v>
      </c>
      <c r="H172" s="6"/>
      <c r="I172" s="6"/>
      <c r="J172" s="6" t="s">
        <v>2379</v>
      </c>
      <c r="K172" s="6" t="s">
        <v>2437</v>
      </c>
      <c r="L172" s="6">
        <v>90</v>
      </c>
      <c r="M172" s="6">
        <v>8500</v>
      </c>
      <c r="N172" s="6">
        <v>12.1</v>
      </c>
      <c r="O172" s="6">
        <v>649</v>
      </c>
      <c r="P172" s="6" t="s">
        <v>2369</v>
      </c>
      <c r="Q172" s="6">
        <f>Table2_1[[#This Row],[Specs Score]] / (Table2_1[[#This Row],[Launched Price (USA)]] ^ 0.85)</f>
        <v>0.21286081129762316</v>
      </c>
      <c r="R172" s="6">
        <f>IFERROR(Table2_1[[#This Row],[Launched Price (USA)]] / S172, "")</f>
        <v>12.409120202537826</v>
      </c>
      <c r="S17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52.300242838107984</v>
      </c>
      <c r="T172" s="6">
        <v>2024</v>
      </c>
    </row>
    <row r="173" spans="1:20" x14ac:dyDescent="0.25">
      <c r="A173" s="6" t="s">
        <v>2134</v>
      </c>
      <c r="B173" s="6" t="s">
        <v>2283</v>
      </c>
      <c r="C17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73" s="6">
        <v>610</v>
      </c>
      <c r="E173" s="6">
        <v>12</v>
      </c>
      <c r="F173" s="6">
        <v>12</v>
      </c>
      <c r="G173" s="6">
        <v>16</v>
      </c>
      <c r="H173" s="6"/>
      <c r="I173" s="6"/>
      <c r="J173" s="6" t="s">
        <v>737</v>
      </c>
      <c r="K173" s="6" t="s">
        <v>2437</v>
      </c>
      <c r="L173" s="6">
        <v>100</v>
      </c>
      <c r="M173" s="6">
        <v>10500</v>
      </c>
      <c r="N173" s="6">
        <v>13.5</v>
      </c>
      <c r="O173" s="6">
        <v>999</v>
      </c>
      <c r="P173" s="6" t="s">
        <v>2369</v>
      </c>
      <c r="Q173" s="6">
        <f>Table2_1[[#This Row],[Specs Score]] / (Table2_1[[#This Row],[Launched Price (USA)]] ^ 0.85)</f>
        <v>0.18162499552337968</v>
      </c>
      <c r="R173" s="6">
        <f>IFERROR(Table2_1[[#This Row],[Launched Price (USA)]] / S173, "")</f>
        <v>15.515265318639649</v>
      </c>
      <c r="S17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64.388199588171176</v>
      </c>
      <c r="T173" s="6">
        <v>2024</v>
      </c>
    </row>
    <row r="174" spans="1:20" x14ac:dyDescent="0.25">
      <c r="A174" s="6" t="s">
        <v>2134</v>
      </c>
      <c r="B174" s="6" t="s">
        <v>2289</v>
      </c>
      <c r="C17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74" s="6">
        <v>590</v>
      </c>
      <c r="E174" s="6">
        <v>12</v>
      </c>
      <c r="F174" s="6">
        <v>12</v>
      </c>
      <c r="G174" s="6">
        <v>16</v>
      </c>
      <c r="H174" s="6"/>
      <c r="I174" s="6"/>
      <c r="J174" s="6" t="s">
        <v>737</v>
      </c>
      <c r="K174" s="6" t="s">
        <v>2437</v>
      </c>
      <c r="L174" s="6">
        <v>100</v>
      </c>
      <c r="M174" s="6">
        <v>10500</v>
      </c>
      <c r="N174" s="6">
        <v>13</v>
      </c>
      <c r="O174" s="6">
        <v>799</v>
      </c>
      <c r="P174" s="6" t="s">
        <v>2369</v>
      </c>
      <c r="Q174" s="6">
        <f>Table2_1[[#This Row],[Specs Score]] / (Table2_1[[#This Row],[Launched Price (USA)]] ^ 0.85)</f>
        <v>0.21782827124589094</v>
      </c>
      <c r="R174" s="6">
        <f>IFERROR(Table2_1[[#This Row],[Launched Price (USA)]] / S174, "")</f>
        <v>12.510301376948938</v>
      </c>
      <c r="S17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63.867366254837847</v>
      </c>
      <c r="T174" s="6">
        <v>2024</v>
      </c>
    </row>
    <row r="175" spans="1:20" x14ac:dyDescent="0.25">
      <c r="A175" s="6" t="s">
        <v>2134</v>
      </c>
      <c r="B175" s="6" t="s">
        <v>2290</v>
      </c>
      <c r="C17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75" s="6">
        <v>530</v>
      </c>
      <c r="E175" s="6">
        <v>8</v>
      </c>
      <c r="F175" s="6">
        <v>8</v>
      </c>
      <c r="G175" s="6">
        <v>13</v>
      </c>
      <c r="H175" s="6"/>
      <c r="I175" s="6"/>
      <c r="J175" s="6" t="s">
        <v>2379</v>
      </c>
      <c r="K175" s="6" t="s">
        <v>2437</v>
      </c>
      <c r="L175" s="6">
        <v>90</v>
      </c>
      <c r="M175" s="6">
        <v>8500</v>
      </c>
      <c r="N175" s="6">
        <v>12.1</v>
      </c>
      <c r="O175" s="6">
        <v>649</v>
      </c>
      <c r="P175" s="6" t="s">
        <v>2369</v>
      </c>
      <c r="Q175" s="6">
        <f>Table2_1[[#This Row],[Specs Score]] / (Table2_1[[#This Row],[Launched Price (USA)]] ^ 0.85)</f>
        <v>0.21286081129762316</v>
      </c>
      <c r="R175" s="6">
        <f>IFERROR(Table2_1[[#This Row],[Launched Price (USA)]] / S175, "")</f>
        <v>12.409120202537826</v>
      </c>
      <c r="S17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52.300242838107984</v>
      </c>
      <c r="T175" s="6">
        <v>2024</v>
      </c>
    </row>
    <row r="176" spans="1:20" x14ac:dyDescent="0.25">
      <c r="A176" s="6" t="s">
        <v>2134</v>
      </c>
      <c r="B176" s="6" t="s">
        <v>2135</v>
      </c>
      <c r="C17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76" s="6">
        <v>175</v>
      </c>
      <c r="E176" s="6">
        <v>4</v>
      </c>
      <c r="F176" s="6">
        <v>8</v>
      </c>
      <c r="G176" s="6">
        <v>48</v>
      </c>
      <c r="H176" s="6"/>
      <c r="I176" s="6"/>
      <c r="J176" s="6" t="s">
        <v>2136</v>
      </c>
      <c r="K176" s="6" t="s">
        <v>2438</v>
      </c>
      <c r="L176" s="6">
        <v>25</v>
      </c>
      <c r="M176" s="6">
        <v>3750</v>
      </c>
      <c r="N176" s="6">
        <v>6.5</v>
      </c>
      <c r="O176" s="6">
        <v>219</v>
      </c>
      <c r="P176" s="6" t="s">
        <v>2368</v>
      </c>
      <c r="Q176" s="6">
        <f>Table2_1[[#This Row],[Specs Score]] / (Table2_1[[#This Row],[Launched Price (USA)]] ^ 0.85)</f>
        <v>0.20600842799865557</v>
      </c>
      <c r="R176" s="6">
        <f>IFERROR(Table2_1[[#This Row],[Launched Price (USA)]] / S176, "")</f>
        <v>10.893855970567753</v>
      </c>
      <c r="S17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20.10307466811372</v>
      </c>
      <c r="T176" s="6">
        <v>2020</v>
      </c>
    </row>
    <row r="177" spans="1:20" x14ac:dyDescent="0.25">
      <c r="A177" s="6" t="s">
        <v>2134</v>
      </c>
      <c r="B177" s="6" t="s">
        <v>2138</v>
      </c>
      <c r="C17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77" s="6">
        <v>185</v>
      </c>
      <c r="E177" s="6">
        <v>8</v>
      </c>
      <c r="F177" s="6">
        <v>32</v>
      </c>
      <c r="G177" s="6">
        <v>40</v>
      </c>
      <c r="H177" s="6"/>
      <c r="I177" s="6"/>
      <c r="J177" s="6" t="s">
        <v>2139</v>
      </c>
      <c r="K177" s="6" t="s">
        <v>2438</v>
      </c>
      <c r="L177" s="6">
        <v>45</v>
      </c>
      <c r="M177" s="6">
        <v>4000</v>
      </c>
      <c r="N177" s="6">
        <v>6.53</v>
      </c>
      <c r="O177" s="6">
        <v>449</v>
      </c>
      <c r="P177" s="6" t="s">
        <v>2368</v>
      </c>
      <c r="Q177" s="6">
        <f>Table2_1[[#This Row],[Specs Score]] / (Table2_1[[#This Row],[Launched Price (USA)]] ^ 0.85)</f>
        <v>0.18547999530416062</v>
      </c>
      <c r="R177" s="6">
        <f>IFERROR(Table2_1[[#This Row],[Launched Price (USA)]] / S177, "")</f>
        <v>13.475344440795734</v>
      </c>
      <c r="S17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33.320113038497297</v>
      </c>
      <c r="T177" s="6">
        <v>2020</v>
      </c>
    </row>
    <row r="178" spans="1:20" x14ac:dyDescent="0.25">
      <c r="A178" s="6" t="s">
        <v>2134</v>
      </c>
      <c r="B178" s="6" t="s">
        <v>2143</v>
      </c>
      <c r="C17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78" s="6">
        <v>190</v>
      </c>
      <c r="E178" s="6">
        <v>6</v>
      </c>
      <c r="F178" s="6">
        <v>16</v>
      </c>
      <c r="G178" s="6">
        <v>64</v>
      </c>
      <c r="H178" s="6"/>
      <c r="I178" s="6"/>
      <c r="J178" s="6" t="s">
        <v>2144</v>
      </c>
      <c r="K178" s="6" t="s">
        <v>2438</v>
      </c>
      <c r="L178" s="6">
        <v>40</v>
      </c>
      <c r="M178" s="6">
        <v>4000</v>
      </c>
      <c r="N178" s="6">
        <v>6.5</v>
      </c>
      <c r="O178" s="6">
        <v>349</v>
      </c>
      <c r="P178" s="6" t="s">
        <v>2368</v>
      </c>
      <c r="Q178" s="6">
        <f>Table2_1[[#This Row],[Specs Score]] / (Table2_1[[#This Row],[Launched Price (USA)]] ^ 0.85)</f>
        <v>0.19652537842015708</v>
      </c>
      <c r="R178" s="6">
        <f>IFERROR(Table2_1[[#This Row],[Launched Price (USA)]] / S178, "")</f>
        <v>12.246307856326</v>
      </c>
      <c r="S17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28.498385316985086</v>
      </c>
      <c r="T178" s="6">
        <v>2020</v>
      </c>
    </row>
    <row r="179" spans="1:20" x14ac:dyDescent="0.25">
      <c r="A179" s="6" t="s">
        <v>2134</v>
      </c>
      <c r="B179" s="6" t="s">
        <v>2145</v>
      </c>
      <c r="C17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79" s="6">
        <v>203</v>
      </c>
      <c r="E179" s="6">
        <v>6</v>
      </c>
      <c r="F179" s="6">
        <v>16</v>
      </c>
      <c r="G179" s="6">
        <v>40</v>
      </c>
      <c r="H179" s="6"/>
      <c r="I179" s="6"/>
      <c r="J179" s="6" t="s">
        <v>2144</v>
      </c>
      <c r="K179" s="6" t="s">
        <v>2438</v>
      </c>
      <c r="L179" s="6">
        <v>40</v>
      </c>
      <c r="M179" s="6">
        <v>4300</v>
      </c>
      <c r="N179" s="6">
        <v>6.63</v>
      </c>
      <c r="O179" s="6">
        <v>319</v>
      </c>
      <c r="P179" s="6" t="s">
        <v>2368</v>
      </c>
      <c r="Q179" s="6">
        <f>Table2_1[[#This Row],[Specs Score]] / (Table2_1[[#This Row],[Launched Price (USA)]] ^ 0.85)</f>
        <v>0.20761566408624238</v>
      </c>
      <c r="R179" s="6">
        <f>IFERROR(Table2_1[[#This Row],[Launched Price (USA)]] / S179, "")</f>
        <v>11.436904260658876</v>
      </c>
      <c r="S17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27.892163187665133</v>
      </c>
      <c r="T179" s="6">
        <v>2020</v>
      </c>
    </row>
    <row r="180" spans="1:20" x14ac:dyDescent="0.25">
      <c r="A180" s="6" t="s">
        <v>2134</v>
      </c>
      <c r="B180" s="6" t="s">
        <v>2148</v>
      </c>
      <c r="C18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80" s="6">
        <v>227</v>
      </c>
      <c r="E180" s="6">
        <v>8</v>
      </c>
      <c r="F180" s="6">
        <v>8</v>
      </c>
      <c r="G180" s="6">
        <v>48</v>
      </c>
      <c r="H180" s="6"/>
      <c r="I180" s="6"/>
      <c r="J180" s="6" t="s">
        <v>2372</v>
      </c>
      <c r="K180" s="6" t="s">
        <v>2438</v>
      </c>
      <c r="L180" s="6">
        <v>35</v>
      </c>
      <c r="M180" s="6">
        <v>5000</v>
      </c>
      <c r="N180" s="6">
        <v>7.09</v>
      </c>
      <c r="O180" s="6">
        <v>379</v>
      </c>
      <c r="P180" s="6" t="s">
        <v>2368</v>
      </c>
      <c r="Q180" s="6">
        <f>Table2_1[[#This Row],[Specs Score]] / (Table2_1[[#This Row],[Launched Price (USA)]] ^ 0.85)</f>
        <v>0.1882529948330246</v>
      </c>
      <c r="R180" s="6">
        <f>IFERROR(Table2_1[[#This Row],[Launched Price (USA)]] / S180, "")</f>
        <v>12.943567341958671</v>
      </c>
      <c r="S18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29.280954004960446</v>
      </c>
      <c r="T180" s="6">
        <v>2020</v>
      </c>
    </row>
    <row r="181" spans="1:20" x14ac:dyDescent="0.25">
      <c r="A181" s="6" t="s">
        <v>2134</v>
      </c>
      <c r="B181" s="6" t="s">
        <v>2152</v>
      </c>
      <c r="C18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81" s="6">
        <v>213</v>
      </c>
      <c r="E181" s="6">
        <v>6</v>
      </c>
      <c r="F181" s="6">
        <v>16</v>
      </c>
      <c r="G181" s="6">
        <v>64</v>
      </c>
      <c r="H181" s="6"/>
      <c r="I181" s="6"/>
      <c r="J181" s="6" t="s">
        <v>2372</v>
      </c>
      <c r="K181" s="6" t="s">
        <v>2438</v>
      </c>
      <c r="L181" s="6">
        <v>35</v>
      </c>
      <c r="M181" s="6">
        <v>4300</v>
      </c>
      <c r="N181" s="6">
        <v>6.81</v>
      </c>
      <c r="O181" s="6">
        <v>349</v>
      </c>
      <c r="P181" s="6" t="s">
        <v>2368</v>
      </c>
      <c r="Q181" s="6">
        <f>Table2_1[[#This Row],[Specs Score]] / (Table2_1[[#This Row],[Launched Price (USA)]] ^ 0.85)</f>
        <v>0.19341817640946043</v>
      </c>
      <c r="R181" s="6">
        <f>IFERROR(Table2_1[[#This Row],[Launched Price (USA)]] / S181, "")</f>
        <v>12.443040930234378</v>
      </c>
      <c r="S18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28.047806155808104</v>
      </c>
      <c r="T181" s="6">
        <v>2020</v>
      </c>
    </row>
    <row r="182" spans="1:20" x14ac:dyDescent="0.25">
      <c r="A182" s="6" t="s">
        <v>2134</v>
      </c>
      <c r="B182" s="6" t="s">
        <v>2156</v>
      </c>
      <c r="C18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82" s="6">
        <v>206</v>
      </c>
      <c r="E182" s="6">
        <v>4</v>
      </c>
      <c r="F182" s="6">
        <v>8</v>
      </c>
      <c r="G182" s="6">
        <v>48</v>
      </c>
      <c r="H182" s="6"/>
      <c r="I182" s="6"/>
      <c r="J182" s="6" t="s">
        <v>2157</v>
      </c>
      <c r="K182" s="6" t="s">
        <v>2438</v>
      </c>
      <c r="L182" s="6">
        <v>22</v>
      </c>
      <c r="M182" s="6">
        <v>5000</v>
      </c>
      <c r="N182" s="6">
        <v>6.67</v>
      </c>
      <c r="O182" s="6">
        <v>229</v>
      </c>
      <c r="P182" s="6" t="s">
        <v>2368</v>
      </c>
      <c r="Q182" s="6">
        <f>Table2_1[[#This Row],[Specs Score]] / (Table2_1[[#This Row],[Launched Price (USA)]] ^ 0.85)</f>
        <v>0.21271651078421597</v>
      </c>
      <c r="R182" s="6">
        <f>IFERROR(Table2_1[[#This Row],[Launched Price (USA)]] / S182, "")</f>
        <v>10.621213083112405</v>
      </c>
      <c r="S18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21.560625722132166</v>
      </c>
      <c r="T182" s="6">
        <v>2020</v>
      </c>
    </row>
    <row r="183" spans="1:20" x14ac:dyDescent="0.25">
      <c r="A183" s="6" t="s">
        <v>2134</v>
      </c>
      <c r="B183" s="6" t="s">
        <v>2158</v>
      </c>
      <c r="C18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83" s="6">
        <v>189</v>
      </c>
      <c r="E183" s="6">
        <v>8</v>
      </c>
      <c r="F183" s="6">
        <v>16</v>
      </c>
      <c r="G183" s="6">
        <v>50</v>
      </c>
      <c r="H183" s="6"/>
      <c r="I183" s="6"/>
      <c r="J183" s="6" t="s">
        <v>1252</v>
      </c>
      <c r="K183" s="6" t="s">
        <v>2438</v>
      </c>
      <c r="L183" s="6">
        <v>32</v>
      </c>
      <c r="M183" s="6">
        <v>4000</v>
      </c>
      <c r="N183" s="6">
        <v>6.72</v>
      </c>
      <c r="O183" s="6">
        <v>599</v>
      </c>
      <c r="P183" s="6" t="s">
        <v>2368</v>
      </c>
      <c r="Q183" s="6">
        <f>Table2_1[[#This Row],[Specs Score]] / (Table2_1[[#This Row],[Launched Price (USA)]] ^ 0.85)</f>
        <v>0.12194972042890632</v>
      </c>
      <c r="R183" s="6">
        <f>IFERROR(Table2_1[[#This Row],[Launched Price (USA)]] / S183, "")</f>
        <v>21.400957982131985</v>
      </c>
      <c r="S18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27.989401245501021</v>
      </c>
      <c r="T183" s="6">
        <v>2021</v>
      </c>
    </row>
    <row r="184" spans="1:20" x14ac:dyDescent="0.25">
      <c r="A184" s="6" t="s">
        <v>2134</v>
      </c>
      <c r="B184" s="6" t="s">
        <v>2160</v>
      </c>
      <c r="C18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84" s="6">
        <v>175</v>
      </c>
      <c r="E184" s="6">
        <v>8</v>
      </c>
      <c r="F184" s="6">
        <v>32</v>
      </c>
      <c r="G184" s="6">
        <v>108</v>
      </c>
      <c r="H184" s="6"/>
      <c r="I184" s="6"/>
      <c r="J184" s="6" t="s">
        <v>708</v>
      </c>
      <c r="K184" s="6" t="s">
        <v>2438</v>
      </c>
      <c r="L184" s="6">
        <v>60</v>
      </c>
      <c r="M184" s="6">
        <v>4300</v>
      </c>
      <c r="N184" s="6">
        <v>6.57</v>
      </c>
      <c r="O184" s="6">
        <v>549</v>
      </c>
      <c r="P184" s="6" t="s">
        <v>2368</v>
      </c>
      <c r="Q184" s="6">
        <f>Table2_1[[#This Row],[Specs Score]] / (Table2_1[[#This Row],[Launched Price (USA)]] ^ 0.85)</f>
        <v>0.19296548922156226</v>
      </c>
      <c r="R184" s="6">
        <f>IFERROR(Table2_1[[#This Row],[Launched Price (USA)]] / S184, "")</f>
        <v>13.349229724149106</v>
      </c>
      <c r="S18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41.125968415004849</v>
      </c>
      <c r="T184" s="6">
        <v>2021</v>
      </c>
    </row>
    <row r="185" spans="1:20" x14ac:dyDescent="0.25">
      <c r="A185" s="6" t="s">
        <v>2134</v>
      </c>
      <c r="B185" s="6" t="s">
        <v>2162</v>
      </c>
      <c r="C18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85" s="6">
        <v>187</v>
      </c>
      <c r="E185" s="6">
        <v>8</v>
      </c>
      <c r="F185" s="6">
        <v>32</v>
      </c>
      <c r="G185" s="6">
        <v>108</v>
      </c>
      <c r="H185" s="6"/>
      <c r="I185" s="6"/>
      <c r="J185" s="6" t="s">
        <v>708</v>
      </c>
      <c r="K185" s="6" t="s">
        <v>2438</v>
      </c>
      <c r="L185" s="6">
        <v>60</v>
      </c>
      <c r="M185" s="6">
        <v>4000</v>
      </c>
      <c r="N185" s="6">
        <v>6.72</v>
      </c>
      <c r="O185" s="6">
        <v>649</v>
      </c>
      <c r="P185" s="6" t="s">
        <v>2368</v>
      </c>
      <c r="Q185" s="6">
        <f>Table2_1[[#This Row],[Specs Score]] / (Table2_1[[#This Row],[Launched Price (USA)]] ^ 0.85)</f>
        <v>0.1660269500025815</v>
      </c>
      <c r="R185" s="6">
        <f>IFERROR(Table2_1[[#This Row],[Launched Price (USA)]] / S185, "")</f>
        <v>15.909558019109889</v>
      </c>
      <c r="S18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40.793087980222239</v>
      </c>
      <c r="T185" s="6">
        <v>2021</v>
      </c>
    </row>
    <row r="186" spans="1:20" x14ac:dyDescent="0.25">
      <c r="A186" s="6" t="s">
        <v>2134</v>
      </c>
      <c r="B186" s="6" t="s">
        <v>2163</v>
      </c>
      <c r="C18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86" s="6">
        <v>191</v>
      </c>
      <c r="E186" s="6">
        <v>8</v>
      </c>
      <c r="F186" s="6">
        <v>16</v>
      </c>
      <c r="G186" s="6">
        <v>108</v>
      </c>
      <c r="H186" s="6"/>
      <c r="I186" s="6"/>
      <c r="J186" s="6" t="s">
        <v>915</v>
      </c>
      <c r="K186" s="6" t="s">
        <v>2438</v>
      </c>
      <c r="L186" s="6">
        <v>28</v>
      </c>
      <c r="M186" s="6">
        <v>4000</v>
      </c>
      <c r="N186" s="6">
        <v>6.78</v>
      </c>
      <c r="O186" s="6">
        <v>449</v>
      </c>
      <c r="P186" s="6" t="s">
        <v>2368</v>
      </c>
      <c r="Q186" s="6">
        <f>Table2_1[[#This Row],[Specs Score]] / (Table2_1[[#This Row],[Launched Price (USA)]] ^ 0.85)</f>
        <v>0.16708818072863649</v>
      </c>
      <c r="R186" s="6">
        <f>IFERROR(Table2_1[[#This Row],[Launched Price (USA)]] / S186, "")</f>
        <v>14.958609356456877</v>
      </c>
      <c r="S18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30.016159209758982</v>
      </c>
      <c r="T186" s="6">
        <v>2021</v>
      </c>
    </row>
    <row r="187" spans="1:20" x14ac:dyDescent="0.25">
      <c r="A187" s="6" t="s">
        <v>2134</v>
      </c>
      <c r="B187" s="6" t="s">
        <v>2164</v>
      </c>
      <c r="C18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87" s="6">
        <v>192</v>
      </c>
      <c r="E187" s="6">
        <v>6</v>
      </c>
      <c r="F187" s="6">
        <v>16</v>
      </c>
      <c r="G187" s="6">
        <v>64</v>
      </c>
      <c r="H187" s="6"/>
      <c r="I187" s="6"/>
      <c r="J187" s="6" t="s">
        <v>915</v>
      </c>
      <c r="K187" s="6" t="s">
        <v>2438</v>
      </c>
      <c r="L187" s="6">
        <v>28</v>
      </c>
      <c r="M187" s="6">
        <v>4300</v>
      </c>
      <c r="N187" s="6">
        <v>6.67</v>
      </c>
      <c r="O187" s="6">
        <v>379</v>
      </c>
      <c r="P187" s="6" t="s">
        <v>2368</v>
      </c>
      <c r="Q187" s="6">
        <f>Table2_1[[#This Row],[Specs Score]] / (Table2_1[[#This Row],[Launched Price (USA)]] ^ 0.85)</f>
        <v>0.16802251386123404</v>
      </c>
      <c r="R187" s="6">
        <f>IFERROR(Table2_1[[#This Row],[Launched Price (USA)]] / S187, "")</f>
        <v>14.502016783054668</v>
      </c>
      <c r="S18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26.134296054798</v>
      </c>
      <c r="T187" s="6">
        <v>2021</v>
      </c>
    </row>
    <row r="188" spans="1:20" x14ac:dyDescent="0.25">
      <c r="A188" s="6" t="s">
        <v>2134</v>
      </c>
      <c r="B188" s="6" t="s">
        <v>2166</v>
      </c>
      <c r="C18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88" s="6">
        <v>179</v>
      </c>
      <c r="E188" s="6">
        <v>8</v>
      </c>
      <c r="F188" s="6">
        <v>16</v>
      </c>
      <c r="G188" s="6">
        <v>64</v>
      </c>
      <c r="H188" s="6"/>
      <c r="I188" s="6"/>
      <c r="J188" s="6" t="s">
        <v>2374</v>
      </c>
      <c r="K188" s="6" t="s">
        <v>2438</v>
      </c>
      <c r="L188" s="6">
        <v>36</v>
      </c>
      <c r="M188" s="6">
        <v>3800</v>
      </c>
      <c r="N188" s="6">
        <v>6.53</v>
      </c>
      <c r="O188" s="6">
        <v>319</v>
      </c>
      <c r="P188" s="6" t="s">
        <v>2368</v>
      </c>
      <c r="Q188" s="6">
        <f>Table2_1[[#This Row],[Specs Score]] / (Table2_1[[#This Row],[Launched Price (USA)]] ^ 0.85)</f>
        <v>0.21730178895886493</v>
      </c>
      <c r="R188" s="6">
        <f>IFERROR(Table2_1[[#This Row],[Launched Price (USA)]] / S188, "")</f>
        <v>10.927109641131185</v>
      </c>
      <c r="S18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29.193447350362341</v>
      </c>
      <c r="T188" s="6">
        <v>2021</v>
      </c>
    </row>
    <row r="189" spans="1:20" x14ac:dyDescent="0.25">
      <c r="A189" s="6" t="s">
        <v>2134</v>
      </c>
      <c r="B189" s="6" t="s">
        <v>2176</v>
      </c>
      <c r="C18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89" s="6">
        <v>179</v>
      </c>
      <c r="E189" s="6">
        <v>8</v>
      </c>
      <c r="F189" s="6">
        <v>32</v>
      </c>
      <c r="G189" s="6">
        <v>108</v>
      </c>
      <c r="H189" s="6"/>
      <c r="I189" s="6"/>
      <c r="J189" s="6" t="s">
        <v>708</v>
      </c>
      <c r="K189" s="6" t="s">
        <v>2438</v>
      </c>
      <c r="L189" s="6">
        <v>60</v>
      </c>
      <c r="M189" s="6">
        <v>4800</v>
      </c>
      <c r="N189" s="6">
        <v>6.67</v>
      </c>
      <c r="O189" s="6">
        <v>549</v>
      </c>
      <c r="P189" s="6" t="s">
        <v>2368</v>
      </c>
      <c r="Q189" s="6">
        <f>Table2_1[[#This Row],[Specs Score]] / (Table2_1[[#This Row],[Launched Price (USA)]] ^ 0.85)</f>
        <v>0.19727929388966464</v>
      </c>
      <c r="R189" s="6">
        <f>IFERROR(Table2_1[[#This Row],[Launched Price (USA)]] / S189, "")</f>
        <v>13.057328996180095</v>
      </c>
      <c r="S18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42.04535247297585</v>
      </c>
      <c r="T189" s="6">
        <v>2021</v>
      </c>
    </row>
    <row r="190" spans="1:20" x14ac:dyDescent="0.25">
      <c r="A190" s="6" t="s">
        <v>2134</v>
      </c>
      <c r="B190" s="6" t="s">
        <v>2177</v>
      </c>
      <c r="C19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90" s="6">
        <v>192</v>
      </c>
      <c r="E190" s="6">
        <v>8</v>
      </c>
      <c r="F190" s="6">
        <v>50</v>
      </c>
      <c r="G190" s="6">
        <v>108</v>
      </c>
      <c r="H190" s="6"/>
      <c r="I190" s="6"/>
      <c r="J190" s="6" t="s">
        <v>2376</v>
      </c>
      <c r="K190" s="6" t="s">
        <v>2438</v>
      </c>
      <c r="L190" s="6">
        <v>62</v>
      </c>
      <c r="M190" s="6">
        <v>4800</v>
      </c>
      <c r="N190" s="6">
        <v>6.78</v>
      </c>
      <c r="O190" s="6">
        <v>649</v>
      </c>
      <c r="P190" s="6" t="s">
        <v>2368</v>
      </c>
      <c r="Q190" s="6">
        <f>Table2_1[[#This Row],[Specs Score]] / (Table2_1[[#This Row],[Launched Price (USA)]] ^ 0.85)</f>
        <v>0.18627649871942081</v>
      </c>
      <c r="R190" s="6">
        <f>IFERROR(Table2_1[[#This Row],[Launched Price (USA)]] / S190, "")</f>
        <v>14.180078603369939</v>
      </c>
      <c r="S19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45.768434587221762</v>
      </c>
      <c r="T190" s="6">
        <v>2021</v>
      </c>
    </row>
    <row r="191" spans="1:20" x14ac:dyDescent="0.25">
      <c r="A191" s="6" t="s">
        <v>2134</v>
      </c>
      <c r="B191" s="6" t="s">
        <v>2179</v>
      </c>
      <c r="C19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91" s="6">
        <v>191</v>
      </c>
      <c r="E191" s="6">
        <v>8</v>
      </c>
      <c r="F191" s="6">
        <v>16</v>
      </c>
      <c r="G191" s="6">
        <v>64</v>
      </c>
      <c r="H191" s="6"/>
      <c r="I191" s="6"/>
      <c r="J191" s="6" t="s">
        <v>915</v>
      </c>
      <c r="K191" s="6" t="s">
        <v>2438</v>
      </c>
      <c r="L191" s="6">
        <v>28</v>
      </c>
      <c r="M191" s="6">
        <v>4300</v>
      </c>
      <c r="N191" s="6">
        <v>6.67</v>
      </c>
      <c r="O191" s="6">
        <v>449</v>
      </c>
      <c r="P191" s="6" t="s">
        <v>2368</v>
      </c>
      <c r="Q191" s="6">
        <f>Table2_1[[#This Row],[Specs Score]] / (Table2_1[[#This Row],[Launched Price (USA)]] ^ 0.85)</f>
        <v>0.15661258694112581</v>
      </c>
      <c r="R191" s="6">
        <f>IFERROR(Table2_1[[#This Row],[Launched Price (USA)]] / S191, "")</f>
        <v>15.959169517711388</v>
      </c>
      <c r="S19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28.134296054798</v>
      </c>
      <c r="T191" s="6">
        <v>2021</v>
      </c>
    </row>
    <row r="192" spans="1:20" x14ac:dyDescent="0.25">
      <c r="A192" s="6" t="s">
        <v>2134</v>
      </c>
      <c r="B192" s="6" t="s">
        <v>2180</v>
      </c>
      <c r="C19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92" s="6">
        <v>189</v>
      </c>
      <c r="E192" s="6">
        <v>6</v>
      </c>
      <c r="F192" s="6">
        <v>16</v>
      </c>
      <c r="G192" s="6">
        <v>48</v>
      </c>
      <c r="H192" s="6"/>
      <c r="I192" s="6"/>
      <c r="J192" s="6" t="s">
        <v>680</v>
      </c>
      <c r="K192" s="6" t="s">
        <v>2438</v>
      </c>
      <c r="L192" s="6">
        <v>40</v>
      </c>
      <c r="M192" s="6">
        <v>4800</v>
      </c>
      <c r="N192" s="6">
        <v>6.81</v>
      </c>
      <c r="O192" s="6">
        <v>379</v>
      </c>
      <c r="P192" s="6" t="s">
        <v>2368</v>
      </c>
      <c r="Q192" s="6">
        <f>Table2_1[[#This Row],[Specs Score]] / (Table2_1[[#This Row],[Launched Price (USA)]] ^ 0.85)</f>
        <v>0.18840847198077051</v>
      </c>
      <c r="R192" s="6">
        <f>IFERROR(Table2_1[[#This Row],[Launched Price (USA)]] / S192, "")</f>
        <v>12.932886140042283</v>
      </c>
      <c r="S19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29.305136989225893</v>
      </c>
      <c r="T192" s="6">
        <v>2021</v>
      </c>
    </row>
    <row r="193" spans="1:20" x14ac:dyDescent="0.25">
      <c r="A193" s="6" t="s">
        <v>2134</v>
      </c>
      <c r="B193" s="6" t="s">
        <v>2181</v>
      </c>
      <c r="C19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93" s="6">
        <v>175</v>
      </c>
      <c r="E193" s="6">
        <v>6</v>
      </c>
      <c r="F193" s="6">
        <v>16</v>
      </c>
      <c r="G193" s="6">
        <v>48</v>
      </c>
      <c r="H193" s="6"/>
      <c r="I193" s="6"/>
      <c r="J193" s="6" t="s">
        <v>2377</v>
      </c>
      <c r="K193" s="6" t="s">
        <v>2438</v>
      </c>
      <c r="L193" s="6">
        <v>25</v>
      </c>
      <c r="M193" s="6">
        <v>4000</v>
      </c>
      <c r="N193" s="6">
        <v>6.7</v>
      </c>
      <c r="O193" s="6">
        <v>299</v>
      </c>
      <c r="P193" s="6" t="s">
        <v>2368</v>
      </c>
      <c r="Q193" s="6">
        <f>Table2_1[[#This Row],[Specs Score]] / (Table2_1[[#This Row],[Launched Price (USA)]] ^ 0.85)</f>
        <v>0.18952494700831782</v>
      </c>
      <c r="R193" s="6">
        <f>IFERROR(Table2_1[[#This Row],[Launched Price (USA)]] / S193, "")</f>
        <v>12.407500299908497</v>
      </c>
      <c r="S19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24.098327041926815</v>
      </c>
      <c r="T193" s="6">
        <v>2021</v>
      </c>
    </row>
    <row r="194" spans="1:20" x14ac:dyDescent="0.25">
      <c r="A194" s="6" t="s">
        <v>2134</v>
      </c>
      <c r="B194" s="6" t="s">
        <v>2182</v>
      </c>
      <c r="C19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94" s="6">
        <v>228</v>
      </c>
      <c r="E194" s="6">
        <v>8</v>
      </c>
      <c r="F194" s="6">
        <v>8</v>
      </c>
      <c r="G194" s="6">
        <v>64</v>
      </c>
      <c r="H194" s="6"/>
      <c r="I194" s="6"/>
      <c r="J194" s="6" t="s">
        <v>915</v>
      </c>
      <c r="K194" s="6" t="s">
        <v>2438</v>
      </c>
      <c r="L194" s="6">
        <v>28</v>
      </c>
      <c r="M194" s="6">
        <v>5000</v>
      </c>
      <c r="N194" s="6">
        <v>7.09</v>
      </c>
      <c r="O194" s="6">
        <v>499</v>
      </c>
      <c r="P194" s="6" t="s">
        <v>2368</v>
      </c>
      <c r="Q194" s="6">
        <f>Table2_1[[#This Row],[Specs Score]] / (Table2_1[[#This Row],[Launched Price (USA)]] ^ 0.85)</f>
        <v>0.14418470986024842</v>
      </c>
      <c r="R194" s="6">
        <f>IFERROR(Table2_1[[#This Row],[Launched Price (USA)]] / S194, "")</f>
        <v>17.611480814325159</v>
      </c>
      <c r="S19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28.333790057796499</v>
      </c>
      <c r="T194" s="6">
        <v>2021</v>
      </c>
    </row>
    <row r="195" spans="1:20" x14ac:dyDescent="0.25">
      <c r="A195" s="6" t="s">
        <v>2134</v>
      </c>
      <c r="B195" s="6" t="s">
        <v>2196</v>
      </c>
      <c r="C19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95" s="6">
        <v>178</v>
      </c>
      <c r="E195" s="6">
        <v>8</v>
      </c>
      <c r="F195" s="6">
        <v>32</v>
      </c>
      <c r="G195" s="6">
        <v>54</v>
      </c>
      <c r="H195" s="6"/>
      <c r="I195" s="6"/>
      <c r="J195" s="6" t="s">
        <v>2376</v>
      </c>
      <c r="K195" s="6" t="s">
        <v>2438</v>
      </c>
      <c r="L195" s="6">
        <v>62</v>
      </c>
      <c r="M195" s="6">
        <v>4800</v>
      </c>
      <c r="N195" s="6">
        <v>6.67</v>
      </c>
      <c r="O195" s="6">
        <v>549</v>
      </c>
      <c r="P195" s="6" t="s">
        <v>2368</v>
      </c>
      <c r="Q195" s="6">
        <f>Table2_1[[#This Row],[Specs Score]] / (Table2_1[[#This Row],[Launched Price (USA)]] ^ 0.85)</f>
        <v>0.18665562545821338</v>
      </c>
      <c r="R195" s="6">
        <f>IFERROR(Table2_1[[#This Row],[Launched Price (USA)]] / S195, "")</f>
        <v>13.800498314089809</v>
      </c>
      <c r="S19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39.781172208795596</v>
      </c>
      <c r="T195" s="6">
        <v>2022</v>
      </c>
    </row>
    <row r="196" spans="1:20" x14ac:dyDescent="0.25">
      <c r="A196" s="6" t="s">
        <v>2134</v>
      </c>
      <c r="B196" s="6" t="s">
        <v>2198</v>
      </c>
      <c r="C19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96" s="6">
        <v>192</v>
      </c>
      <c r="E196" s="6">
        <v>8</v>
      </c>
      <c r="F196" s="6">
        <v>50</v>
      </c>
      <c r="G196" s="6">
        <v>54</v>
      </c>
      <c r="H196" s="6"/>
      <c r="I196" s="6"/>
      <c r="J196" s="6" t="s">
        <v>2378</v>
      </c>
      <c r="K196" s="6" t="s">
        <v>2438</v>
      </c>
      <c r="L196" s="6">
        <v>65</v>
      </c>
      <c r="M196" s="6">
        <v>4500</v>
      </c>
      <c r="N196" s="6">
        <v>6.78</v>
      </c>
      <c r="O196" s="6">
        <v>699</v>
      </c>
      <c r="P196" s="6" t="s">
        <v>2368</v>
      </c>
      <c r="Q196" s="6">
        <f>Table2_1[[#This Row],[Specs Score]] / (Table2_1[[#This Row],[Launched Price (USA)]] ^ 0.85)</f>
        <v>0.16533229715699543</v>
      </c>
      <c r="R196" s="6">
        <f>IFERROR(Table2_1[[#This Row],[Launched Price (USA)]] / S196, "")</f>
        <v>16.155257192864717</v>
      </c>
      <c r="S19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43.267649140784144</v>
      </c>
      <c r="T196" s="6">
        <v>2022</v>
      </c>
    </row>
    <row r="197" spans="1:20" x14ac:dyDescent="0.25">
      <c r="A197" s="6" t="s">
        <v>2134</v>
      </c>
      <c r="B197" s="6" t="s">
        <v>2201</v>
      </c>
      <c r="C19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97" s="6">
        <v>172</v>
      </c>
      <c r="E197" s="6">
        <v>6</v>
      </c>
      <c r="F197" s="6">
        <v>8</v>
      </c>
      <c r="G197" s="6">
        <v>50</v>
      </c>
      <c r="H197" s="6"/>
      <c r="I197" s="6"/>
      <c r="J197" s="6" t="s">
        <v>680</v>
      </c>
      <c r="K197" s="6" t="s">
        <v>2438</v>
      </c>
      <c r="L197" s="6">
        <v>40</v>
      </c>
      <c r="M197" s="6">
        <v>5100</v>
      </c>
      <c r="N197" s="6">
        <v>6.67</v>
      </c>
      <c r="O197" s="6">
        <v>299</v>
      </c>
      <c r="P197" s="6" t="s">
        <v>2368</v>
      </c>
      <c r="Q197" s="6">
        <f>Table2_1[[#This Row],[Specs Score]] / (Table2_1[[#This Row],[Launched Price (USA)]] ^ 0.85)</f>
        <v>0.22313344103312582</v>
      </c>
      <c r="R197" s="6">
        <f>IFERROR(Table2_1[[#This Row],[Launched Price (USA)]] / S197, "")</f>
        <v>10.538675090376717</v>
      </c>
      <c r="S19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28.371687848411682</v>
      </c>
      <c r="T197" s="6">
        <v>2022</v>
      </c>
    </row>
    <row r="198" spans="1:20" x14ac:dyDescent="0.25">
      <c r="A198" s="6" t="s">
        <v>2134</v>
      </c>
      <c r="B198" s="6" t="s">
        <v>2214</v>
      </c>
      <c r="C19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98" s="6">
        <v>180</v>
      </c>
      <c r="E198" s="6">
        <v>8</v>
      </c>
      <c r="F198" s="6">
        <v>32</v>
      </c>
      <c r="G198" s="6">
        <v>160</v>
      </c>
      <c r="H198" s="6"/>
      <c r="I198" s="6"/>
      <c r="J198" s="6" t="s">
        <v>749</v>
      </c>
      <c r="K198" s="6" t="s">
        <v>2438</v>
      </c>
      <c r="L198" s="6">
        <v>65</v>
      </c>
      <c r="M198" s="6">
        <v>4800</v>
      </c>
      <c r="N198" s="6">
        <v>6.67</v>
      </c>
      <c r="O198" s="6">
        <v>549</v>
      </c>
      <c r="P198" s="6" t="s">
        <v>2368</v>
      </c>
      <c r="Q198" s="6">
        <f>Table2_1[[#This Row],[Specs Score]] / (Table2_1[[#This Row],[Launched Price (USA)]] ^ 0.85)</f>
        <v>0.21571576995618813</v>
      </c>
      <c r="R198" s="6">
        <f>IFERROR(Table2_1[[#This Row],[Launched Price (USA)]] / S198, "")</f>
        <v>11.94136453248006</v>
      </c>
      <c r="S19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45.974645402268791</v>
      </c>
      <c r="T198" s="6">
        <v>2022</v>
      </c>
    </row>
    <row r="199" spans="1:20" x14ac:dyDescent="0.25">
      <c r="A199" s="6" t="s">
        <v>2134</v>
      </c>
      <c r="B199" s="6" t="s">
        <v>2217</v>
      </c>
      <c r="C19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199" s="6">
        <v>175</v>
      </c>
      <c r="E199" s="6">
        <v>8</v>
      </c>
      <c r="F199" s="6">
        <v>32</v>
      </c>
      <c r="G199" s="6">
        <v>64</v>
      </c>
      <c r="H199" s="6"/>
      <c r="I199" s="6"/>
      <c r="J199" s="6" t="s">
        <v>915</v>
      </c>
      <c r="K199" s="6" t="s">
        <v>2438</v>
      </c>
      <c r="L199" s="6">
        <v>28</v>
      </c>
      <c r="M199" s="6">
        <v>4600</v>
      </c>
      <c r="N199" s="6">
        <v>6.67</v>
      </c>
      <c r="O199" s="6">
        <v>399</v>
      </c>
      <c r="P199" s="6" t="s">
        <v>2368</v>
      </c>
      <c r="Q199" s="6">
        <f>Table2_1[[#This Row],[Specs Score]] / (Table2_1[[#This Row],[Launched Price (USA)]] ^ 0.85)</f>
        <v>0.19313203190481251</v>
      </c>
      <c r="R199" s="6">
        <f>IFERROR(Table2_1[[#This Row],[Launched Price (USA)]] / S199, "")</f>
        <v>12.714275704231367</v>
      </c>
      <c r="S19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31.38204717923578</v>
      </c>
      <c r="T199" s="6">
        <v>2022</v>
      </c>
    </row>
    <row r="200" spans="1:20" x14ac:dyDescent="0.25">
      <c r="A200" s="6" t="s">
        <v>2134</v>
      </c>
      <c r="B200" s="6" t="s">
        <v>2232</v>
      </c>
      <c r="C20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00" s="6">
        <v>183</v>
      </c>
      <c r="E200" s="6">
        <v>12</v>
      </c>
      <c r="F200" s="6">
        <v>50</v>
      </c>
      <c r="G200" s="6">
        <v>200</v>
      </c>
      <c r="H200" s="6"/>
      <c r="I200" s="6"/>
      <c r="J200" s="6" t="s">
        <v>1648</v>
      </c>
      <c r="K200" s="6" t="s">
        <v>2438</v>
      </c>
      <c r="L200" s="6">
        <v>55</v>
      </c>
      <c r="M200" s="6">
        <v>5000</v>
      </c>
      <c r="N200" s="6">
        <v>6.7</v>
      </c>
      <c r="O200" s="6">
        <v>599</v>
      </c>
      <c r="P200" s="6" t="s">
        <v>2368</v>
      </c>
      <c r="Q200" s="6">
        <f>Table2_1[[#This Row],[Specs Score]] / (Table2_1[[#This Row],[Launched Price (USA)]] ^ 0.85)</f>
        <v>0.23075289119091097</v>
      </c>
      <c r="R200" s="6">
        <f>IFERROR(Table2_1[[#This Row],[Launched Price (USA)]] / S200, "")</f>
        <v>11.310111129539619</v>
      </c>
      <c r="S20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52.961460160682122</v>
      </c>
      <c r="T200" s="6">
        <v>2023</v>
      </c>
    </row>
    <row r="201" spans="1:20" x14ac:dyDescent="0.25">
      <c r="A201" s="6" t="s">
        <v>2134</v>
      </c>
      <c r="B201" s="6" t="s">
        <v>2235</v>
      </c>
      <c r="C20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01" s="6">
        <v>175</v>
      </c>
      <c r="E201" s="6">
        <v>8</v>
      </c>
      <c r="F201" s="6">
        <v>32</v>
      </c>
      <c r="G201" s="6">
        <v>64</v>
      </c>
      <c r="H201" s="6"/>
      <c r="I201" s="6"/>
      <c r="J201" s="6" t="s">
        <v>915</v>
      </c>
      <c r="K201" s="6" t="s">
        <v>2438</v>
      </c>
      <c r="L201" s="6">
        <v>28</v>
      </c>
      <c r="M201" s="6">
        <v>4600</v>
      </c>
      <c r="N201" s="6">
        <v>6.67</v>
      </c>
      <c r="O201" s="6">
        <v>399</v>
      </c>
      <c r="P201" s="6" t="s">
        <v>2368</v>
      </c>
      <c r="Q201" s="6">
        <f>Table2_1[[#This Row],[Specs Score]] / (Table2_1[[#This Row],[Launched Price (USA)]] ^ 0.85)</f>
        <v>0.19313203190481251</v>
      </c>
      <c r="R201" s="6">
        <f>IFERROR(Table2_1[[#This Row],[Launched Price (USA)]] / S201, "")</f>
        <v>12.714275704231367</v>
      </c>
      <c r="S20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31.38204717923578</v>
      </c>
      <c r="T201" s="6">
        <v>2023</v>
      </c>
    </row>
    <row r="202" spans="1:20" x14ac:dyDescent="0.25">
      <c r="A202" s="6" t="s">
        <v>2134</v>
      </c>
      <c r="B202" s="6" t="s">
        <v>2250</v>
      </c>
      <c r="C20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02" s="6">
        <v>480</v>
      </c>
      <c r="E202" s="6">
        <v>6</v>
      </c>
      <c r="F202" s="6">
        <v>8</v>
      </c>
      <c r="G202" s="6">
        <v>13</v>
      </c>
      <c r="H202" s="6"/>
      <c r="I202" s="6"/>
      <c r="J202" s="6" t="s">
        <v>2372</v>
      </c>
      <c r="K202" s="6" t="s">
        <v>2438</v>
      </c>
      <c r="L202" s="6">
        <v>35</v>
      </c>
      <c r="M202" s="6">
        <v>7250</v>
      </c>
      <c r="N202" s="6">
        <v>10.4</v>
      </c>
      <c r="O202" s="6">
        <v>399</v>
      </c>
      <c r="P202" s="6" t="s">
        <v>2369</v>
      </c>
      <c r="Q202" s="6">
        <f>Table2_1[[#This Row],[Specs Score]] / (Table2_1[[#This Row],[Launched Price (USA)]] ^ 0.85)</f>
        <v>0.20064282673330122</v>
      </c>
      <c r="R202" s="6">
        <f>IFERROR(Table2_1[[#This Row],[Launched Price (USA)]] / S202, "")</f>
        <v>12.238333863887114</v>
      </c>
      <c r="S20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32.602477137624881</v>
      </c>
      <c r="T202" s="6">
        <v>2021</v>
      </c>
    </row>
    <row r="203" spans="1:20" x14ac:dyDescent="0.25">
      <c r="A203" s="6" t="s">
        <v>2134</v>
      </c>
      <c r="B203" s="6" t="s">
        <v>2252</v>
      </c>
      <c r="C20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03" s="6">
        <v>485</v>
      </c>
      <c r="E203" s="6">
        <v>8</v>
      </c>
      <c r="F203" s="6">
        <v>8</v>
      </c>
      <c r="G203" s="6">
        <v>13</v>
      </c>
      <c r="H203" s="6"/>
      <c r="I203" s="6"/>
      <c r="J203" s="6" t="s">
        <v>2386</v>
      </c>
      <c r="K203" s="6" t="s">
        <v>2438</v>
      </c>
      <c r="L203" s="6">
        <v>42</v>
      </c>
      <c r="M203" s="6">
        <v>7250</v>
      </c>
      <c r="N203" s="6">
        <v>11</v>
      </c>
      <c r="O203" s="6">
        <v>499</v>
      </c>
      <c r="P203" s="6" t="s">
        <v>2369</v>
      </c>
      <c r="Q203" s="6">
        <f>Table2_1[[#This Row],[Specs Score]] / (Table2_1[[#This Row],[Launched Price (USA)]] ^ 0.85)</f>
        <v>0.18826057231278817</v>
      </c>
      <c r="R203" s="6">
        <f>IFERROR(Table2_1[[#This Row],[Launched Price (USA)]] / S203, "")</f>
        <v>13.488253117619546</v>
      </c>
      <c r="S20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36.995153905301656</v>
      </c>
      <c r="T203" s="6">
        <v>2021</v>
      </c>
    </row>
    <row r="204" spans="1:20" x14ac:dyDescent="0.25">
      <c r="A204" s="6" t="s">
        <v>2134</v>
      </c>
      <c r="B204" s="6" t="s">
        <v>2255</v>
      </c>
      <c r="C20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04" s="6">
        <v>520</v>
      </c>
      <c r="E204" s="6">
        <v>6</v>
      </c>
      <c r="F204" s="6">
        <v>5</v>
      </c>
      <c r="G204" s="6">
        <v>5</v>
      </c>
      <c r="H204" s="6"/>
      <c r="I204" s="6"/>
      <c r="J204" s="6" t="s">
        <v>2387</v>
      </c>
      <c r="K204" s="6" t="s">
        <v>2438</v>
      </c>
      <c r="L204" s="6">
        <v>32</v>
      </c>
      <c r="M204" s="6">
        <v>7250</v>
      </c>
      <c r="N204" s="6">
        <v>12</v>
      </c>
      <c r="O204" s="6">
        <v>299</v>
      </c>
      <c r="P204" s="6" t="s">
        <v>2369</v>
      </c>
      <c r="Q204" s="6">
        <f>Table2_1[[#This Row],[Specs Score]] / (Table2_1[[#This Row],[Launched Price (USA)]] ^ 0.85)</f>
        <v>0.25626236120280105</v>
      </c>
      <c r="R204" s="6">
        <f>IFERROR(Table2_1[[#This Row],[Launched Price (USA)]] / S204, "")</f>
        <v>9.1762630524772604</v>
      </c>
      <c r="S20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32.584070257149044</v>
      </c>
      <c r="T204" s="6">
        <v>2022</v>
      </c>
    </row>
    <row r="205" spans="1:20" x14ac:dyDescent="0.25">
      <c r="A205" s="6" t="s">
        <v>2134</v>
      </c>
      <c r="B205" s="6" t="s">
        <v>2260</v>
      </c>
      <c r="C20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05" s="6">
        <v>510</v>
      </c>
      <c r="E205" s="6">
        <v>6</v>
      </c>
      <c r="F205" s="6">
        <v>5</v>
      </c>
      <c r="G205" s="6">
        <v>13</v>
      </c>
      <c r="H205" s="6"/>
      <c r="I205" s="6"/>
      <c r="J205" s="6" t="s">
        <v>2389</v>
      </c>
      <c r="K205" s="6" t="s">
        <v>2438</v>
      </c>
      <c r="L205" s="6">
        <v>58</v>
      </c>
      <c r="M205" s="6">
        <v>7250</v>
      </c>
      <c r="N205" s="6">
        <v>11</v>
      </c>
      <c r="O205" s="6">
        <v>449</v>
      </c>
      <c r="P205" s="6" t="s">
        <v>2369</v>
      </c>
      <c r="Q205" s="6">
        <f>Table2_1[[#This Row],[Specs Score]] / (Table2_1[[#This Row],[Launched Price (USA)]] ^ 0.85)</f>
        <v>0.21441635469857895</v>
      </c>
      <c r="R205" s="6">
        <f>IFERROR(Table2_1[[#This Row],[Launched Price (USA)]] / S205, "")</f>
        <v>11.656791885648564</v>
      </c>
      <c r="S20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38.518316566395349</v>
      </c>
      <c r="T205" s="6">
        <v>2023</v>
      </c>
    </row>
    <row r="206" spans="1:20" x14ac:dyDescent="0.25">
      <c r="A206" s="6" t="s">
        <v>2134</v>
      </c>
      <c r="B206" s="6" t="s">
        <v>2266</v>
      </c>
      <c r="C20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06" s="6">
        <v>560</v>
      </c>
      <c r="E206" s="6">
        <v>12</v>
      </c>
      <c r="F206" s="6">
        <v>8</v>
      </c>
      <c r="G206" s="6">
        <v>13</v>
      </c>
      <c r="H206" s="6"/>
      <c r="I206" s="6"/>
      <c r="J206" s="6" t="s">
        <v>1229</v>
      </c>
      <c r="K206" s="6" t="s">
        <v>2438</v>
      </c>
      <c r="L206" s="6">
        <v>65</v>
      </c>
      <c r="M206" s="6">
        <v>9000</v>
      </c>
      <c r="N206" s="6">
        <v>12.6</v>
      </c>
      <c r="O206" s="6">
        <v>499</v>
      </c>
      <c r="P206" s="6" t="s">
        <v>2369</v>
      </c>
      <c r="Q206" s="6">
        <f>Table2_1[[#This Row],[Specs Score]] / (Table2_1[[#This Row],[Launched Price (USA)]] ^ 0.85)</f>
        <v>0.26117279908463448</v>
      </c>
      <c r="R206" s="6">
        <f>IFERROR(Table2_1[[#This Row],[Launched Price (USA)]] / S206, "")</f>
        <v>9.7227056581796969</v>
      </c>
      <c r="S20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51.323162249614342</v>
      </c>
      <c r="T206" s="6">
        <v>2024</v>
      </c>
    </row>
    <row r="207" spans="1:20" x14ac:dyDescent="0.25">
      <c r="A207" s="6" t="s">
        <v>2134</v>
      </c>
      <c r="B207" s="6" t="s">
        <v>2268</v>
      </c>
      <c r="C20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07" s="6">
        <v>495</v>
      </c>
      <c r="E207" s="6">
        <v>6</v>
      </c>
      <c r="F207" s="6">
        <v>5</v>
      </c>
      <c r="G207" s="6">
        <v>8</v>
      </c>
      <c r="H207" s="6"/>
      <c r="I207" s="6"/>
      <c r="J207" s="6" t="s">
        <v>1145</v>
      </c>
      <c r="K207" s="6" t="s">
        <v>2438</v>
      </c>
      <c r="L207" s="6">
        <v>35</v>
      </c>
      <c r="M207" s="6">
        <v>7250</v>
      </c>
      <c r="N207" s="6">
        <v>11.5</v>
      </c>
      <c r="O207" s="6">
        <v>299</v>
      </c>
      <c r="P207" s="6" t="s">
        <v>2369</v>
      </c>
      <c r="Q207" s="6">
        <f>Table2_1[[#This Row],[Specs Score]] / (Table2_1[[#This Row],[Launched Price (USA)]] ^ 0.85)</f>
        <v>0.25933420429943993</v>
      </c>
      <c r="R207" s="6">
        <f>IFERROR(Table2_1[[#This Row],[Launched Price (USA)]] / S207, "")</f>
        <v>9.0675691746803011</v>
      </c>
      <c r="S20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32.974658835237612</v>
      </c>
      <c r="T207" s="6">
        <v>2023</v>
      </c>
    </row>
    <row r="208" spans="1:20" x14ac:dyDescent="0.25">
      <c r="A208" s="6" t="s">
        <v>2134</v>
      </c>
      <c r="B208" s="6" t="s">
        <v>2280</v>
      </c>
      <c r="C20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08" s="6">
        <v>505</v>
      </c>
      <c r="E208" s="6">
        <v>8</v>
      </c>
      <c r="F208" s="6">
        <v>8</v>
      </c>
      <c r="G208" s="6">
        <v>13</v>
      </c>
      <c r="H208" s="6"/>
      <c r="I208" s="6"/>
      <c r="J208" s="6" t="s">
        <v>1701</v>
      </c>
      <c r="K208" s="6" t="s">
        <v>2438</v>
      </c>
      <c r="L208" s="6">
        <v>50</v>
      </c>
      <c r="M208" s="6">
        <v>8000</v>
      </c>
      <c r="N208" s="6">
        <v>11.6</v>
      </c>
      <c r="O208" s="6">
        <v>399</v>
      </c>
      <c r="P208" s="6" t="s">
        <v>2369</v>
      </c>
      <c r="Q208" s="6">
        <f>Table2_1[[#This Row],[Specs Score]] / (Table2_1[[#This Row],[Launched Price (USA)]] ^ 0.85)</f>
        <v>0.25148102439232933</v>
      </c>
      <c r="R208" s="6">
        <f>IFERROR(Table2_1[[#This Row],[Launched Price (USA)]] / S208, "")</f>
        <v>9.7642909912971305</v>
      </c>
      <c r="S20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40.863182012460193</v>
      </c>
      <c r="T208" s="6">
        <v>2024</v>
      </c>
    </row>
    <row r="209" spans="1:20" x14ac:dyDescent="0.25">
      <c r="A209" s="6" t="s">
        <v>2134</v>
      </c>
      <c r="B209" s="6" t="s">
        <v>2285</v>
      </c>
      <c r="C20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09" s="6">
        <v>475</v>
      </c>
      <c r="E209" s="6">
        <v>6</v>
      </c>
      <c r="F209" s="6">
        <v>5</v>
      </c>
      <c r="G209" s="6">
        <v>8</v>
      </c>
      <c r="H209" s="6"/>
      <c r="I209" s="6"/>
      <c r="J209" s="6" t="s">
        <v>1145</v>
      </c>
      <c r="K209" s="6" t="s">
        <v>2438</v>
      </c>
      <c r="L209" s="6">
        <v>35</v>
      </c>
      <c r="M209" s="6">
        <v>8850</v>
      </c>
      <c r="N209" s="6">
        <v>12.1</v>
      </c>
      <c r="O209" s="6">
        <v>399</v>
      </c>
      <c r="P209" s="6" t="s">
        <v>2369</v>
      </c>
      <c r="Q209" s="6">
        <f>Table2_1[[#This Row],[Specs Score]] / (Table2_1[[#This Row],[Launched Price (USA)]] ^ 0.85)</f>
        <v>0.22283419033002097</v>
      </c>
      <c r="R209" s="6">
        <f>IFERROR(Table2_1[[#This Row],[Launched Price (USA)]] / S209, "")</f>
        <v>11.019556277784437</v>
      </c>
      <c r="S20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36.208354487411526</v>
      </c>
      <c r="T209" s="6">
        <v>2024</v>
      </c>
    </row>
    <row r="210" spans="1:20" x14ac:dyDescent="0.25">
      <c r="A210" s="6" t="s">
        <v>2134</v>
      </c>
      <c r="B210" s="6" t="s">
        <v>2288</v>
      </c>
      <c r="C21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10" s="6">
        <v>485</v>
      </c>
      <c r="E210" s="6">
        <v>8</v>
      </c>
      <c r="F210" s="6">
        <v>8</v>
      </c>
      <c r="G210" s="6">
        <v>13</v>
      </c>
      <c r="H210" s="6"/>
      <c r="I210" s="6"/>
      <c r="J210" s="6" t="s">
        <v>1701</v>
      </c>
      <c r="K210" s="6" t="s">
        <v>2438</v>
      </c>
      <c r="L210" s="6">
        <v>50</v>
      </c>
      <c r="M210" s="6">
        <v>9000</v>
      </c>
      <c r="N210" s="6">
        <v>12.6</v>
      </c>
      <c r="O210" s="6">
        <v>499</v>
      </c>
      <c r="P210" s="6" t="s">
        <v>2369</v>
      </c>
      <c r="Q210" s="6">
        <f>Table2_1[[#This Row],[Specs Score]] / (Table2_1[[#This Row],[Launched Price (USA)]] ^ 0.85)</f>
        <v>0.22154191874118029</v>
      </c>
      <c r="R210" s="6">
        <f>IFERROR(Table2_1[[#This Row],[Launched Price (USA)]] / S210, "")</f>
        <v>11.461967404865659</v>
      </c>
      <c r="S21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43.53528346173556</v>
      </c>
      <c r="T210" s="6">
        <v>2024</v>
      </c>
    </row>
    <row r="211" spans="1:20" x14ac:dyDescent="0.25">
      <c r="A211" s="6" t="s">
        <v>1746</v>
      </c>
      <c r="B211" s="6" t="s">
        <v>1747</v>
      </c>
      <c r="C21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11" s="6">
        <v>181</v>
      </c>
      <c r="E211" s="6">
        <v>8</v>
      </c>
      <c r="F211" s="6">
        <v>13</v>
      </c>
      <c r="G211" s="6">
        <v>50</v>
      </c>
      <c r="H211" s="6"/>
      <c r="I211" s="6"/>
      <c r="J211" s="6" t="s">
        <v>1748</v>
      </c>
      <c r="K211" s="6" t="s">
        <v>2437</v>
      </c>
      <c r="L211" s="6">
        <v>85</v>
      </c>
      <c r="M211" s="6">
        <v>4100</v>
      </c>
      <c r="N211" s="6">
        <v>6.5</v>
      </c>
      <c r="O211" s="6">
        <v>699</v>
      </c>
      <c r="P211" s="6" t="s">
        <v>2368</v>
      </c>
      <c r="Q211" s="6">
        <f>Table2_1[[#This Row],[Specs Score]] / (Table2_1[[#This Row],[Launched Price (USA)]] ^ 0.85)</f>
        <v>0.15586434388292705</v>
      </c>
      <c r="R211" s="6">
        <f>IFERROR(Table2_1[[#This Row],[Launched Price (USA)]] / S211, "")</f>
        <v>17.136605565572008</v>
      </c>
      <c r="S21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40.789875061623256</v>
      </c>
      <c r="T211" s="6">
        <v>2021</v>
      </c>
    </row>
    <row r="212" spans="1:20" x14ac:dyDescent="0.25">
      <c r="A212" s="6" t="s">
        <v>1746</v>
      </c>
      <c r="B212" s="6" t="s">
        <v>1751</v>
      </c>
      <c r="C21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12" s="6">
        <v>195</v>
      </c>
      <c r="E212" s="6">
        <v>8</v>
      </c>
      <c r="F212" s="6">
        <v>13</v>
      </c>
      <c r="G212" s="6">
        <v>50</v>
      </c>
      <c r="H212" s="6"/>
      <c r="I212" s="6"/>
      <c r="J212" s="6" t="s">
        <v>1748</v>
      </c>
      <c r="K212" s="6" t="s">
        <v>2437</v>
      </c>
      <c r="L212" s="6">
        <v>85</v>
      </c>
      <c r="M212" s="6">
        <v>4360</v>
      </c>
      <c r="N212" s="6">
        <v>6.6</v>
      </c>
      <c r="O212" s="6">
        <v>899</v>
      </c>
      <c r="P212" s="6" t="s">
        <v>2368</v>
      </c>
      <c r="Q212" s="6">
        <f>Table2_1[[#This Row],[Specs Score]] / (Table2_1[[#This Row],[Launched Price (USA)]] ^ 0.85)</f>
        <v>0.12748030032582927</v>
      </c>
      <c r="R212" s="6">
        <f>IFERROR(Table2_1[[#This Row],[Launched Price (USA)]] / S212, "")</f>
        <v>21.75809535989595</v>
      </c>
      <c r="S21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41.317954771768179</v>
      </c>
      <c r="T212" s="6">
        <v>2021</v>
      </c>
    </row>
    <row r="213" spans="1:20" x14ac:dyDescent="0.25">
      <c r="A213" s="6" t="s">
        <v>1746</v>
      </c>
      <c r="B213" s="6" t="s">
        <v>1754</v>
      </c>
      <c r="C21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13" s="6">
        <v>190</v>
      </c>
      <c r="E213" s="6">
        <v>8</v>
      </c>
      <c r="F213" s="6">
        <v>10.7</v>
      </c>
      <c r="G213" s="6">
        <v>40</v>
      </c>
      <c r="H213" s="6"/>
      <c r="I213" s="6"/>
      <c r="J213" s="6" t="s">
        <v>1748</v>
      </c>
      <c r="K213" s="6" t="s">
        <v>2437</v>
      </c>
      <c r="L213" s="6">
        <v>85</v>
      </c>
      <c r="M213" s="6">
        <v>4000</v>
      </c>
      <c r="N213" s="6">
        <v>6.9</v>
      </c>
      <c r="O213" s="6">
        <v>1299</v>
      </c>
      <c r="P213" s="6" t="s">
        <v>2369</v>
      </c>
      <c r="Q213" s="6">
        <f>Table2_1[[#This Row],[Specs Score]] / (Table2_1[[#This Row],[Launched Price (USA)]] ^ 0.85)</f>
        <v>9.0562005520955877E-2</v>
      </c>
      <c r="R213" s="6">
        <f>IFERROR(Table2_1[[#This Row],[Launched Price (USA)]] / S213, "")</f>
        <v>32.366470359338344</v>
      </c>
      <c r="S21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40.134126013070613</v>
      </c>
      <c r="T213" s="6">
        <v>2021</v>
      </c>
    </row>
    <row r="214" spans="1:20" x14ac:dyDescent="0.25">
      <c r="A214" s="6" t="s">
        <v>1746</v>
      </c>
      <c r="B214" s="6" t="s">
        <v>1761</v>
      </c>
      <c r="C21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14" s="6">
        <v>295</v>
      </c>
      <c r="E214" s="6">
        <v>8</v>
      </c>
      <c r="F214" s="6">
        <v>16</v>
      </c>
      <c r="G214" s="6">
        <v>50</v>
      </c>
      <c r="H214" s="6"/>
      <c r="I214" s="6"/>
      <c r="J214" s="6" t="s">
        <v>1763</v>
      </c>
      <c r="K214" s="6" t="s">
        <v>2437</v>
      </c>
      <c r="L214" s="6">
        <v>85</v>
      </c>
      <c r="M214" s="6">
        <v>4500</v>
      </c>
      <c r="N214" s="6">
        <v>8</v>
      </c>
      <c r="O214" s="6">
        <v>2699</v>
      </c>
      <c r="P214" s="6" t="s">
        <v>2369</v>
      </c>
      <c r="Q214" s="6">
        <f>Table2_1[[#This Row],[Specs Score]] / (Table2_1[[#This Row],[Launched Price (USA)]] ^ 0.85)</f>
        <v>5.2745364845439187E-2</v>
      </c>
      <c r="R214" s="6">
        <f>IFERROR(Table2_1[[#This Row],[Launched Price (USA)]] / S214, "")</f>
        <v>62.014912025634573</v>
      </c>
      <c r="S21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43.521790353977082</v>
      </c>
      <c r="T214" s="6">
        <v>2021</v>
      </c>
    </row>
    <row r="215" spans="1:20" x14ac:dyDescent="0.25">
      <c r="A215" s="6" t="s">
        <v>1746</v>
      </c>
      <c r="B215" s="6" t="s">
        <v>1777</v>
      </c>
      <c r="C21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15" s="6">
        <v>255</v>
      </c>
      <c r="E215" s="6">
        <v>8</v>
      </c>
      <c r="F215" s="6">
        <v>10.7</v>
      </c>
      <c r="G215" s="6">
        <v>50</v>
      </c>
      <c r="H215" s="6"/>
      <c r="I215" s="6"/>
      <c r="J215" s="6" t="s">
        <v>1748</v>
      </c>
      <c r="K215" s="6" t="s">
        <v>2437</v>
      </c>
      <c r="L215" s="6">
        <v>85</v>
      </c>
      <c r="M215" s="6">
        <v>4600</v>
      </c>
      <c r="N215" s="6">
        <v>7.8</v>
      </c>
      <c r="O215" s="6">
        <v>2499</v>
      </c>
      <c r="P215" s="6" t="s">
        <v>2369</v>
      </c>
      <c r="Q215" s="6">
        <f>Table2_1[[#This Row],[Specs Score]] / (Table2_1[[#This Row],[Launched Price (USA)]] ^ 0.85)</f>
        <v>5.5071629607266109E-2</v>
      </c>
      <c r="R215" s="6">
        <f>IFERROR(Table2_1[[#This Row],[Launched Price (USA)]] / S215, "")</f>
        <v>58.713370293422024</v>
      </c>
      <c r="S21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42.562707395456336</v>
      </c>
      <c r="T215" s="6">
        <v>2022</v>
      </c>
    </row>
    <row r="216" spans="1:20" x14ac:dyDescent="0.25">
      <c r="A216" s="6" t="s">
        <v>1746</v>
      </c>
      <c r="B216" s="6" t="s">
        <v>1784</v>
      </c>
      <c r="C21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16" s="6">
        <v>202</v>
      </c>
      <c r="E216" s="6">
        <v>8</v>
      </c>
      <c r="F216" s="6">
        <v>13</v>
      </c>
      <c r="G216" s="6">
        <v>50</v>
      </c>
      <c r="H216" s="6"/>
      <c r="I216" s="6"/>
      <c r="J216" s="6" t="s">
        <v>1785</v>
      </c>
      <c r="K216" s="6" t="s">
        <v>2437</v>
      </c>
      <c r="L216" s="6">
        <v>92</v>
      </c>
      <c r="M216" s="6">
        <v>4460</v>
      </c>
      <c r="N216" s="6">
        <v>6.7</v>
      </c>
      <c r="O216" s="6">
        <v>999</v>
      </c>
      <c r="P216" s="6" t="s">
        <v>2368</v>
      </c>
      <c r="Q216" s="6">
        <f>Table2_1[[#This Row],[Specs Score]] / (Table2_1[[#This Row],[Launched Price (USA)]] ^ 0.85)</f>
        <v>0.12228886235695391</v>
      </c>
      <c r="R216" s="6">
        <f>IFERROR(Table2_1[[#This Row],[Launched Price (USA)]] / S216, "")</f>
        <v>23.043472150525997</v>
      </c>
      <c r="S21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43.352841684372493</v>
      </c>
      <c r="T216" s="6">
        <v>2022</v>
      </c>
    </row>
    <row r="217" spans="1:20" x14ac:dyDescent="0.25">
      <c r="A217" s="6" t="s">
        <v>1746</v>
      </c>
      <c r="B217" s="6" t="s">
        <v>1787</v>
      </c>
      <c r="C21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17" s="6">
        <v>205</v>
      </c>
      <c r="E217" s="6">
        <v>8</v>
      </c>
      <c r="F217" s="6">
        <v>13</v>
      </c>
      <c r="G217" s="6">
        <v>50</v>
      </c>
      <c r="H217" s="6"/>
      <c r="I217" s="6"/>
      <c r="J217" s="6" t="s">
        <v>1785</v>
      </c>
      <c r="K217" s="6" t="s">
        <v>2437</v>
      </c>
      <c r="L217" s="6">
        <v>92</v>
      </c>
      <c r="M217" s="6">
        <v>4700</v>
      </c>
      <c r="N217" s="6">
        <v>6.74</v>
      </c>
      <c r="O217" s="6">
        <v>1199</v>
      </c>
      <c r="P217" s="6" t="s">
        <v>2368</v>
      </c>
      <c r="Q217" s="6">
        <f>Table2_1[[#This Row],[Specs Score]] / (Table2_1[[#This Row],[Launched Price (USA)]] ^ 0.85)</f>
        <v>0.10576381536425315</v>
      </c>
      <c r="R217" s="6">
        <f>IFERROR(Table2_1[[#This Row],[Launched Price (USA)]] / S217, "")</f>
        <v>27.383298975082706</v>
      </c>
      <c r="S21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43.785812698865243</v>
      </c>
      <c r="T217" s="6">
        <v>2022</v>
      </c>
    </row>
    <row r="218" spans="1:20" x14ac:dyDescent="0.25">
      <c r="A218" s="6" t="s">
        <v>1746</v>
      </c>
      <c r="B218" s="6" t="s">
        <v>1792</v>
      </c>
      <c r="C21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18" s="6">
        <v>197</v>
      </c>
      <c r="E218" s="6">
        <v>8</v>
      </c>
      <c r="F218" s="6">
        <v>13</v>
      </c>
      <c r="G218" s="6">
        <v>48</v>
      </c>
      <c r="H218" s="6">
        <v>13</v>
      </c>
      <c r="I218" s="6">
        <v>48</v>
      </c>
      <c r="J218" s="6" t="s">
        <v>1785</v>
      </c>
      <c r="K218" s="6" t="s">
        <v>2437</v>
      </c>
      <c r="L218" s="6">
        <v>92</v>
      </c>
      <c r="M218" s="6">
        <v>4815</v>
      </c>
      <c r="N218" s="6">
        <v>6.67</v>
      </c>
      <c r="O218" s="6">
        <v>999</v>
      </c>
      <c r="P218" s="6" t="s">
        <v>2368</v>
      </c>
      <c r="Q218" s="6">
        <f>Table2_1[[#This Row],[Specs Score]] / (Table2_1[[#This Row],[Launched Price (USA)]] ^ 0.85)</f>
        <v>0.12354408228576992</v>
      </c>
      <c r="R218" s="6">
        <f>IFERROR(Table2_1[[#This Row],[Launched Price (USA)]] / S218, "")</f>
        <v>22.809348225386859</v>
      </c>
      <c r="S21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43.797831929634476</v>
      </c>
      <c r="T218" s="6">
        <v>2023</v>
      </c>
    </row>
    <row r="219" spans="1:20" x14ac:dyDescent="0.25">
      <c r="A219" s="6" t="s">
        <v>1746</v>
      </c>
      <c r="B219" s="6" t="s">
        <v>1797</v>
      </c>
      <c r="C21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19" s="6">
        <v>200</v>
      </c>
      <c r="E219" s="10">
        <v>8</v>
      </c>
      <c r="F219" s="6">
        <v>13</v>
      </c>
      <c r="G219" s="6">
        <v>48</v>
      </c>
      <c r="H219" s="6">
        <v>13</v>
      </c>
      <c r="I219" s="6">
        <v>48</v>
      </c>
      <c r="J219" s="6" t="s">
        <v>1785</v>
      </c>
      <c r="K219" s="6" t="s">
        <v>2437</v>
      </c>
      <c r="L219" s="6">
        <v>92</v>
      </c>
      <c r="M219" s="6">
        <v>4815</v>
      </c>
      <c r="N219" s="6">
        <v>6.67</v>
      </c>
      <c r="O219" s="6">
        <v>1099</v>
      </c>
      <c r="P219" s="6" t="s">
        <v>2368</v>
      </c>
      <c r="Q219" s="6">
        <f>Table2_1[[#This Row],[Specs Score]] / (Table2_1[[#This Row],[Launched Price (USA)]] ^ 0.85)</f>
        <v>0.11392120606708576</v>
      </c>
      <c r="R219" s="6">
        <f>IFERROR(Table2_1[[#This Row],[Launched Price (USA)]] / S219, "")</f>
        <v>25.092566265966123</v>
      </c>
      <c r="S21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43.797831929634476</v>
      </c>
      <c r="T219" s="6">
        <v>2023</v>
      </c>
    </row>
    <row r="220" spans="1:20" x14ac:dyDescent="0.25">
      <c r="A220" s="6" t="s">
        <v>1746</v>
      </c>
      <c r="B220" s="6" t="s">
        <v>1800</v>
      </c>
      <c r="C22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20" s="6">
        <v>206</v>
      </c>
      <c r="E220" s="10">
        <v>8</v>
      </c>
      <c r="F220" s="6">
        <v>13</v>
      </c>
      <c r="G220" s="6">
        <v>48</v>
      </c>
      <c r="H220" s="6">
        <v>40</v>
      </c>
      <c r="I220" s="6">
        <v>48</v>
      </c>
      <c r="J220" s="6" t="s">
        <v>1785</v>
      </c>
      <c r="K220" s="6" t="s">
        <v>2437</v>
      </c>
      <c r="L220" s="6">
        <v>92</v>
      </c>
      <c r="M220" s="6">
        <v>5100</v>
      </c>
      <c r="N220" s="6">
        <v>6.73</v>
      </c>
      <c r="O220" s="6">
        <v>1299</v>
      </c>
      <c r="P220" s="6" t="s">
        <v>2368</v>
      </c>
      <c r="Q220" s="6">
        <f>Table2_1[[#This Row],[Specs Score]] / (Table2_1[[#This Row],[Launched Price (USA)]] ^ 0.85)</f>
        <v>0.10001865800026882</v>
      </c>
      <c r="R220" s="6">
        <f>IFERROR(Table2_1[[#This Row],[Launched Price (USA)]] / S220, "")</f>
        <v>29.306256712306375</v>
      </c>
      <c r="S22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44.325005842677953</v>
      </c>
      <c r="T220" s="6">
        <v>2023</v>
      </c>
    </row>
    <row r="221" spans="1:20" x14ac:dyDescent="0.25">
      <c r="A221" s="6" t="s">
        <v>1746</v>
      </c>
      <c r="B221" s="6" t="s">
        <v>1802</v>
      </c>
      <c r="C22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21" s="6">
        <v>239</v>
      </c>
      <c r="E221" s="6">
        <v>12</v>
      </c>
      <c r="F221" s="6">
        <v>8</v>
      </c>
      <c r="G221" s="6">
        <v>50</v>
      </c>
      <c r="H221" s="6">
        <v>13</v>
      </c>
      <c r="I221" s="6">
        <v>12</v>
      </c>
      <c r="J221" s="6" t="s">
        <v>1785</v>
      </c>
      <c r="K221" s="6" t="s">
        <v>2437</v>
      </c>
      <c r="L221" s="6">
        <v>92</v>
      </c>
      <c r="M221" s="6">
        <v>4800</v>
      </c>
      <c r="N221" s="6">
        <v>7.85</v>
      </c>
      <c r="O221" s="6">
        <v>2499</v>
      </c>
      <c r="P221" s="6" t="s">
        <v>2369</v>
      </c>
      <c r="Q221" s="6">
        <f>Table2_1[[#This Row],[Specs Score]] / (Table2_1[[#This Row],[Launched Price (USA)]] ^ 0.85)</f>
        <v>6.2421373992080718E-2</v>
      </c>
      <c r="R221" s="6">
        <f>IFERROR(Table2_1[[#This Row],[Launched Price (USA)]] / S221, "")</f>
        <v>51.800221222362381</v>
      </c>
      <c r="S22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48.243037211608872</v>
      </c>
      <c r="T221" s="6">
        <v>2023</v>
      </c>
    </row>
    <row r="222" spans="1:20" x14ac:dyDescent="0.25">
      <c r="A222" s="6" t="s">
        <v>1746</v>
      </c>
      <c r="B222" s="6" t="s">
        <v>1807</v>
      </c>
      <c r="C22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22" s="6">
        <v>209</v>
      </c>
      <c r="E222" s="6">
        <v>12</v>
      </c>
      <c r="F222" s="6">
        <v>13</v>
      </c>
      <c r="G222" s="6">
        <v>50</v>
      </c>
      <c r="H222" s="6">
        <v>12</v>
      </c>
      <c r="I222" s="6">
        <v>12</v>
      </c>
      <c r="J222" s="6" t="s">
        <v>1809</v>
      </c>
      <c r="K222" s="6" t="s">
        <v>2437</v>
      </c>
      <c r="L222" s="6">
        <v>88</v>
      </c>
      <c r="M222" s="6">
        <v>4750</v>
      </c>
      <c r="N222" s="6">
        <v>6.7</v>
      </c>
      <c r="O222" s="6">
        <v>1099</v>
      </c>
      <c r="P222" s="6" t="s">
        <v>2368</v>
      </c>
      <c r="Q222" s="6">
        <f>Table2_1[[#This Row],[Specs Score]] / (Table2_1[[#This Row],[Launched Price (USA)]] ^ 0.85)</f>
        <v>0.12177054418405264</v>
      </c>
      <c r="R222" s="6">
        <f>IFERROR(Table2_1[[#This Row],[Launched Price (USA)]] / S222, "")</f>
        <v>23.475097623087549</v>
      </c>
      <c r="S22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46.815566761228006</v>
      </c>
      <c r="T222" s="6">
        <v>2023</v>
      </c>
    </row>
    <row r="223" spans="1:20" x14ac:dyDescent="0.25">
      <c r="A223" s="6" t="s">
        <v>1746</v>
      </c>
      <c r="B223" s="6" t="s">
        <v>1811</v>
      </c>
      <c r="C22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23" s="6">
        <v>225</v>
      </c>
      <c r="E223" s="6">
        <v>12</v>
      </c>
      <c r="F223" s="6">
        <v>13</v>
      </c>
      <c r="G223" s="6">
        <v>50</v>
      </c>
      <c r="H223" s="6">
        <v>40</v>
      </c>
      <c r="I223" s="6">
        <v>48</v>
      </c>
      <c r="J223" s="6" t="s">
        <v>1809</v>
      </c>
      <c r="K223" s="6" t="s">
        <v>2437</v>
      </c>
      <c r="L223" s="6">
        <v>88</v>
      </c>
      <c r="M223" s="6">
        <v>5000</v>
      </c>
      <c r="N223" s="6">
        <v>6.82</v>
      </c>
      <c r="O223" s="6">
        <v>1299</v>
      </c>
      <c r="P223" s="6" t="s">
        <v>2368</v>
      </c>
      <c r="Q223" s="6">
        <f>Table2_1[[#This Row],[Specs Score]] / (Table2_1[[#This Row],[Launched Price (USA)]] ^ 0.85)</f>
        <v>0.10684039128537895</v>
      </c>
      <c r="R223" s="6">
        <f>IFERROR(Table2_1[[#This Row],[Launched Price (USA)]] / S223, "")</f>
        <v>27.435059270298492</v>
      </c>
      <c r="S22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47.348175456880178</v>
      </c>
      <c r="T223" s="6">
        <v>2023</v>
      </c>
    </row>
    <row r="224" spans="1:20" x14ac:dyDescent="0.25">
      <c r="A224" s="6" t="s">
        <v>1746</v>
      </c>
      <c r="B224" s="6" t="s">
        <v>1814</v>
      </c>
      <c r="C22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24" s="6">
        <v>235</v>
      </c>
      <c r="E224" s="6">
        <v>12</v>
      </c>
      <c r="F224" s="6">
        <v>13</v>
      </c>
      <c r="G224" s="6">
        <v>50</v>
      </c>
      <c r="H224" s="6">
        <v>48</v>
      </c>
      <c r="I224" s="6">
        <v>48</v>
      </c>
      <c r="J224" s="6" t="s">
        <v>1809</v>
      </c>
      <c r="K224" s="6" t="s">
        <v>2437</v>
      </c>
      <c r="L224" s="6">
        <v>88</v>
      </c>
      <c r="M224" s="6">
        <v>5200</v>
      </c>
      <c r="N224" s="6">
        <v>6.82</v>
      </c>
      <c r="O224" s="6">
        <v>1499</v>
      </c>
      <c r="P224" s="6" t="s">
        <v>2368</v>
      </c>
      <c r="Q224" s="6">
        <f>Table2_1[[#This Row],[Specs Score]] / (Table2_1[[#This Row],[Launched Price (USA)]] ^ 0.85)</f>
        <v>9.524728272913377E-2</v>
      </c>
      <c r="R224" s="6">
        <f>IFERROR(Table2_1[[#This Row],[Launched Price (USA)]] / S224, "")</f>
        <v>31.44254203665686</v>
      </c>
      <c r="S22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47.67426241340192</v>
      </c>
      <c r="T224" s="6">
        <v>2023</v>
      </c>
    </row>
    <row r="225" spans="1:20" x14ac:dyDescent="0.25">
      <c r="A225" s="6" t="s">
        <v>1746</v>
      </c>
      <c r="B225" s="6" t="s">
        <v>1821</v>
      </c>
      <c r="C22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25" s="6">
        <v>220</v>
      </c>
      <c r="E225" s="6">
        <v>12</v>
      </c>
      <c r="F225" s="6">
        <v>13</v>
      </c>
      <c r="G225" s="6">
        <v>50</v>
      </c>
      <c r="H225" s="6">
        <v>13</v>
      </c>
      <c r="I225" s="6">
        <v>12</v>
      </c>
      <c r="J225" s="6" t="s">
        <v>1824</v>
      </c>
      <c r="K225" s="6" t="s">
        <v>2437</v>
      </c>
      <c r="L225" s="6">
        <v>90</v>
      </c>
      <c r="M225" s="6">
        <v>4900</v>
      </c>
      <c r="N225" s="6">
        <v>6.8</v>
      </c>
      <c r="O225" s="6">
        <v>999</v>
      </c>
      <c r="P225" s="6" t="s">
        <v>2368</v>
      </c>
      <c r="Q225" s="6">
        <f>Table2_1[[#This Row],[Specs Score]] / (Table2_1[[#This Row],[Launched Price (USA)]] ^ 0.85)</f>
        <v>0.13446478363129827</v>
      </c>
      <c r="R225" s="6">
        <f>IFERROR(Table2_1[[#This Row],[Launched Price (USA)]] / S225, "")</f>
        <v>20.956862592132715</v>
      </c>
      <c r="S22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47.66934915033648</v>
      </c>
      <c r="T225" s="6">
        <v>2024</v>
      </c>
    </row>
    <row r="226" spans="1:20" x14ac:dyDescent="0.25">
      <c r="A226" s="6" t="s">
        <v>1746</v>
      </c>
      <c r="B226" s="6" t="s">
        <v>1826</v>
      </c>
      <c r="C22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26" s="6">
        <v>220</v>
      </c>
      <c r="E226" s="6">
        <v>12</v>
      </c>
      <c r="F226" s="6">
        <v>13</v>
      </c>
      <c r="G226" s="6">
        <v>50</v>
      </c>
      <c r="H226" s="6">
        <v>12</v>
      </c>
      <c r="I226" s="6">
        <v>48</v>
      </c>
      <c r="J226" s="6" t="s">
        <v>1824</v>
      </c>
      <c r="K226" s="6" t="s">
        <v>2437</v>
      </c>
      <c r="L226" s="6">
        <v>90</v>
      </c>
      <c r="M226" s="6">
        <v>5050</v>
      </c>
      <c r="N226" s="6">
        <v>6.8</v>
      </c>
      <c r="O226" s="6">
        <v>1099</v>
      </c>
      <c r="P226" s="6" t="s">
        <v>2368</v>
      </c>
      <c r="Q226" s="6">
        <f>Table2_1[[#This Row],[Specs Score]] / (Table2_1[[#This Row],[Launched Price (USA)]] ^ 0.85)</f>
        <v>0.12462742267553545</v>
      </c>
      <c r="R226" s="6">
        <f>IFERROR(Table2_1[[#This Row],[Launched Price (USA)]] / S226, "")</f>
        <v>22.936969656986047</v>
      </c>
      <c r="S22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47.913914367727784</v>
      </c>
      <c r="T226" s="6">
        <v>2024</v>
      </c>
    </row>
    <row r="227" spans="1:20" x14ac:dyDescent="0.25">
      <c r="A227" s="6" t="s">
        <v>1746</v>
      </c>
      <c r="B227" s="6" t="s">
        <v>1829</v>
      </c>
      <c r="C22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27" s="6">
        <v>220</v>
      </c>
      <c r="E227" s="6">
        <v>12</v>
      </c>
      <c r="F227" s="6">
        <v>13</v>
      </c>
      <c r="G227" s="6">
        <v>50</v>
      </c>
      <c r="H227" s="6">
        <v>12</v>
      </c>
      <c r="I227" s="6">
        <v>48</v>
      </c>
      <c r="J227" s="6" t="s">
        <v>1824</v>
      </c>
      <c r="K227" s="6" t="s">
        <v>2437</v>
      </c>
      <c r="L227" s="6">
        <v>90</v>
      </c>
      <c r="M227" s="6">
        <v>5050</v>
      </c>
      <c r="N227" s="6">
        <v>6.8</v>
      </c>
      <c r="O227" s="6">
        <v>1199</v>
      </c>
      <c r="P227" s="6" t="s">
        <v>2368</v>
      </c>
      <c r="Q227" s="6">
        <f>Table2_1[[#This Row],[Specs Score]] / (Table2_1[[#This Row],[Launched Price (USA)]] ^ 0.85)</f>
        <v>0.11573516808786626</v>
      </c>
      <c r="R227" s="6">
        <f>IFERROR(Table2_1[[#This Row],[Launched Price (USA)]] / S227, "")</f>
        <v>25.024046058895607</v>
      </c>
      <c r="S22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47.913914367727784</v>
      </c>
      <c r="T227" s="6">
        <v>2024</v>
      </c>
    </row>
    <row r="228" spans="1:20" x14ac:dyDescent="0.25">
      <c r="A228" s="6" t="s">
        <v>1746</v>
      </c>
      <c r="B228" s="6" t="s">
        <v>1830</v>
      </c>
      <c r="C22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28" s="6">
        <v>226</v>
      </c>
      <c r="E228" s="6">
        <v>16</v>
      </c>
      <c r="F228" s="6">
        <v>13</v>
      </c>
      <c r="G228" s="6">
        <v>50</v>
      </c>
      <c r="H228" s="6">
        <v>40</v>
      </c>
      <c r="I228" s="6">
        <v>50</v>
      </c>
      <c r="J228" s="6" t="s">
        <v>1824</v>
      </c>
      <c r="K228" s="6" t="s">
        <v>2437</v>
      </c>
      <c r="L228" s="6">
        <v>90</v>
      </c>
      <c r="M228" s="6">
        <v>5200</v>
      </c>
      <c r="N228" s="6">
        <v>6.8</v>
      </c>
      <c r="O228" s="6">
        <v>1299</v>
      </c>
      <c r="P228" s="6" t="s">
        <v>2368</v>
      </c>
      <c r="Q228" s="6">
        <f>Table2_1[[#This Row],[Specs Score]] / (Table2_1[[#This Row],[Launched Price (USA)]] ^ 0.85)</f>
        <v>0.11769476466520977</v>
      </c>
      <c r="R228" s="6">
        <f>IFERROR(Table2_1[[#This Row],[Launched Price (USA)]] / S228, "")</f>
        <v>24.904867057716288</v>
      </c>
      <c r="S22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52.158479585119089</v>
      </c>
      <c r="T228" s="6">
        <v>2024</v>
      </c>
    </row>
    <row r="229" spans="1:20" x14ac:dyDescent="0.25">
      <c r="A229" s="6" t="s">
        <v>1746</v>
      </c>
      <c r="B229" s="6" t="s">
        <v>1833</v>
      </c>
      <c r="C22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29" s="6">
        <v>220</v>
      </c>
      <c r="E229" s="6">
        <v>12</v>
      </c>
      <c r="F229" s="6">
        <v>13</v>
      </c>
      <c r="G229" s="6">
        <v>50</v>
      </c>
      <c r="H229" s="6">
        <v>12</v>
      </c>
      <c r="I229" s="6"/>
      <c r="J229" s="6" t="s">
        <v>1824</v>
      </c>
      <c r="K229" s="6" t="s">
        <v>2437</v>
      </c>
      <c r="L229" s="6">
        <v>90</v>
      </c>
      <c r="M229" s="6">
        <v>4900</v>
      </c>
      <c r="N229" s="6">
        <v>6.7</v>
      </c>
      <c r="O229" s="6">
        <v>899</v>
      </c>
      <c r="P229" s="6" t="s">
        <v>2368</v>
      </c>
      <c r="Q229" s="6">
        <f>Table2_1[[#This Row],[Specs Score]] / (Table2_1[[#This Row],[Launched Price (USA)]] ^ 0.85)</f>
        <v>0.14675517657070158</v>
      </c>
      <c r="R229" s="6">
        <f>IFERROR(Table2_1[[#This Row],[Launched Price (USA)]] / S229, "")</f>
        <v>18.900379501511356</v>
      </c>
      <c r="S22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47.565182483669815</v>
      </c>
      <c r="T229" s="6">
        <v>2024</v>
      </c>
    </row>
    <row r="230" spans="1:20" x14ac:dyDescent="0.25">
      <c r="A230" s="6" t="s">
        <v>1746</v>
      </c>
      <c r="B230" s="6" t="s">
        <v>1834</v>
      </c>
      <c r="C23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30" s="6">
        <v>220</v>
      </c>
      <c r="E230" s="6">
        <v>12</v>
      </c>
      <c r="F230" s="6">
        <v>13</v>
      </c>
      <c r="G230" s="6">
        <v>50</v>
      </c>
      <c r="H230" s="6">
        <v>12</v>
      </c>
      <c r="I230" s="6">
        <v>40</v>
      </c>
      <c r="J230" s="6" t="s">
        <v>1824</v>
      </c>
      <c r="K230" s="6" t="s">
        <v>2437</v>
      </c>
      <c r="L230" s="6">
        <v>90</v>
      </c>
      <c r="M230" s="6">
        <v>5000</v>
      </c>
      <c r="N230" s="6">
        <v>6.8</v>
      </c>
      <c r="O230" s="6">
        <v>999</v>
      </c>
      <c r="P230" s="6" t="s">
        <v>2368</v>
      </c>
      <c r="Q230" s="6">
        <f>Table2_1[[#This Row],[Specs Score]] / (Table2_1[[#This Row],[Launched Price (USA)]] ^ 0.85)</f>
        <v>0.13492469354023578</v>
      </c>
      <c r="R230" s="6">
        <f>IFERROR(Table2_1[[#This Row],[Launched Price (USA)]] / S230, "")</f>
        <v>20.885428160721613</v>
      </c>
      <c r="S23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47.832392628597347</v>
      </c>
      <c r="T230" s="6">
        <v>2024</v>
      </c>
    </row>
    <row r="231" spans="1:20" x14ac:dyDescent="0.25">
      <c r="A231" s="6" t="s">
        <v>1746</v>
      </c>
      <c r="B231" s="6" t="s">
        <v>1836</v>
      </c>
      <c r="C23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31" s="6">
        <v>220</v>
      </c>
      <c r="E231" s="6">
        <v>12</v>
      </c>
      <c r="F231" s="6">
        <v>13</v>
      </c>
      <c r="G231" s="6">
        <v>50</v>
      </c>
      <c r="H231" s="6">
        <v>12</v>
      </c>
      <c r="I231" s="6">
        <v>40</v>
      </c>
      <c r="J231" s="6" t="s">
        <v>1824</v>
      </c>
      <c r="K231" s="6" t="s">
        <v>2437</v>
      </c>
      <c r="L231" s="6">
        <v>90</v>
      </c>
      <c r="M231" s="6">
        <v>5000</v>
      </c>
      <c r="N231" s="6">
        <v>6.8</v>
      </c>
      <c r="O231" s="6">
        <v>1099</v>
      </c>
      <c r="P231" s="6" t="s">
        <v>2368</v>
      </c>
      <c r="Q231" s="6">
        <f>Table2_1[[#This Row],[Specs Score]] / (Table2_1[[#This Row],[Launched Price (USA)]] ^ 0.85)</f>
        <v>0.1244153789639347</v>
      </c>
      <c r="R231" s="6">
        <f>IFERROR(Table2_1[[#This Row],[Launched Price (USA)]] / S231, "")</f>
        <v>22.976061610243299</v>
      </c>
      <c r="S23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47.832392628597347</v>
      </c>
      <c r="T231" s="6">
        <v>2024</v>
      </c>
    </row>
    <row r="232" spans="1:20" x14ac:dyDescent="0.25">
      <c r="A232" s="6" t="s">
        <v>1746</v>
      </c>
      <c r="B232" s="6" t="s">
        <v>1837</v>
      </c>
      <c r="C23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32" s="6">
        <v>241</v>
      </c>
      <c r="E232" s="6">
        <v>12</v>
      </c>
      <c r="F232" s="6">
        <v>8</v>
      </c>
      <c r="G232" s="6">
        <v>50</v>
      </c>
      <c r="H232" s="6">
        <v>13</v>
      </c>
      <c r="I232" s="6">
        <v>12</v>
      </c>
      <c r="J232" s="6" t="s">
        <v>1824</v>
      </c>
      <c r="K232" s="6" t="s">
        <v>2437</v>
      </c>
      <c r="L232" s="6">
        <v>90</v>
      </c>
      <c r="M232" s="6">
        <v>4800</v>
      </c>
      <c r="N232" s="6">
        <v>7.93</v>
      </c>
      <c r="O232" s="6">
        <v>2499</v>
      </c>
      <c r="P232" s="6" t="s">
        <v>2368</v>
      </c>
      <c r="Q232" s="6">
        <f>Table2_1[[#This Row],[Specs Score]] / (Table2_1[[#This Row],[Launched Price (USA)]] ^ 0.85)</f>
        <v>6.1875716694859272E-2</v>
      </c>
      <c r="R232" s="6">
        <f>IFERROR(Table2_1[[#This Row],[Launched Price (USA)]] / S232, "")</f>
        <v>52.257026738604836</v>
      </c>
      <c r="S23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47.821320039891702</v>
      </c>
      <c r="T232" s="6">
        <v>2024</v>
      </c>
    </row>
    <row r="233" spans="1:20" x14ac:dyDescent="0.25">
      <c r="A233" s="6" t="s">
        <v>1746</v>
      </c>
      <c r="B233" s="6" t="s">
        <v>1840</v>
      </c>
      <c r="C23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33" s="6">
        <v>168</v>
      </c>
      <c r="E233" s="6">
        <v>8</v>
      </c>
      <c r="F233" s="6">
        <v>60</v>
      </c>
      <c r="G233" s="6">
        <v>50</v>
      </c>
      <c r="H233" s="6">
        <v>8</v>
      </c>
      <c r="I233" s="6"/>
      <c r="J233" s="6" t="s">
        <v>1809</v>
      </c>
      <c r="K233" s="6" t="s">
        <v>2437</v>
      </c>
      <c r="L233" s="6">
        <v>88</v>
      </c>
      <c r="M233" s="6">
        <v>4500</v>
      </c>
      <c r="N233" s="6">
        <v>6.7</v>
      </c>
      <c r="O233" s="6">
        <v>499</v>
      </c>
      <c r="P233" s="6" t="s">
        <v>2368</v>
      </c>
      <c r="Q233" s="6">
        <f>Table2_1[[#This Row],[Specs Score]] / (Table2_1[[#This Row],[Launched Price (USA)]] ^ 0.85)</f>
        <v>0.25704194366928013</v>
      </c>
      <c r="R233" s="6">
        <f>IFERROR(Table2_1[[#This Row],[Launched Price (USA)]] / S233, "")</f>
        <v>9.8789567771475166</v>
      </c>
      <c r="S23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50.511406341437905</v>
      </c>
      <c r="T233" s="6">
        <v>2024</v>
      </c>
    </row>
    <row r="234" spans="1:20" x14ac:dyDescent="0.25">
      <c r="A234" s="6" t="s">
        <v>1746</v>
      </c>
      <c r="B234" s="6" t="s">
        <v>1841</v>
      </c>
      <c r="C23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34" s="6">
        <v>188</v>
      </c>
      <c r="E234" s="6">
        <v>8</v>
      </c>
      <c r="F234" s="6">
        <v>60</v>
      </c>
      <c r="G234" s="6">
        <v>50</v>
      </c>
      <c r="H234" s="6">
        <v>8</v>
      </c>
      <c r="I234" s="6"/>
      <c r="J234" s="6" t="s">
        <v>1809</v>
      </c>
      <c r="K234" s="6" t="s">
        <v>2437</v>
      </c>
      <c r="L234" s="6">
        <v>88</v>
      </c>
      <c r="M234" s="6">
        <v>4500</v>
      </c>
      <c r="N234" s="6">
        <v>6.78</v>
      </c>
      <c r="O234" s="6">
        <v>599</v>
      </c>
      <c r="P234" s="6" t="s">
        <v>2368</v>
      </c>
      <c r="Q234" s="6">
        <f>Table2_1[[#This Row],[Specs Score]] / (Table2_1[[#This Row],[Launched Price (USA)]] ^ 0.85)</f>
        <v>0.22044109855702637</v>
      </c>
      <c r="R234" s="6">
        <f>IFERROR(Table2_1[[#This Row],[Launched Price (USA)]] / S234, "")</f>
        <v>11.839175452832457</v>
      </c>
      <c r="S23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50.594739674771233</v>
      </c>
      <c r="T234" s="6">
        <v>2024</v>
      </c>
    </row>
    <row r="235" spans="1:20" x14ac:dyDescent="0.25">
      <c r="A235" s="6" t="s">
        <v>1746</v>
      </c>
      <c r="B235" s="6" t="s">
        <v>1843</v>
      </c>
      <c r="C23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235" s="6">
        <v>245</v>
      </c>
      <c r="E235" s="6">
        <v>12</v>
      </c>
      <c r="F235" s="6">
        <v>13</v>
      </c>
      <c r="G235" s="6">
        <v>50</v>
      </c>
      <c r="H235" s="6">
        <v>12</v>
      </c>
      <c r="I235" s="6">
        <v>48</v>
      </c>
      <c r="J235" s="6" t="s">
        <v>1824</v>
      </c>
      <c r="K235" s="6" t="s">
        <v>2437</v>
      </c>
      <c r="L235" s="6">
        <v>90</v>
      </c>
      <c r="M235" s="6">
        <v>5000</v>
      </c>
      <c r="N235" s="6">
        <v>7.92</v>
      </c>
      <c r="O235" s="6">
        <v>2599</v>
      </c>
      <c r="P235" s="6" t="s">
        <v>2368</v>
      </c>
      <c r="Q235" s="6">
        <f>Table2_1[[#This Row],[Specs Score]] / (Table2_1[[#This Row],[Launched Price (USA)]] ^ 0.85)</f>
        <v>6.6164372027609095E-2</v>
      </c>
      <c r="R235" s="6">
        <f>IFERROR(Table2_1[[#This Row],[Launched Price (USA)]] / S235, "")</f>
        <v>49.158287703755789</v>
      </c>
      <c r="S23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52.870027037199492</v>
      </c>
      <c r="T235" s="6">
        <v>2024</v>
      </c>
    </row>
    <row r="236" spans="1:20" x14ac:dyDescent="0.25">
      <c r="A236" s="6" t="s">
        <v>1746</v>
      </c>
      <c r="B236" s="6" t="s">
        <v>1851</v>
      </c>
      <c r="C236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236" s="6">
        <v>245</v>
      </c>
      <c r="E236" s="6">
        <v>12</v>
      </c>
      <c r="F236" s="6">
        <v>13</v>
      </c>
      <c r="G236" s="6">
        <v>50</v>
      </c>
      <c r="H236" s="6">
        <v>12</v>
      </c>
      <c r="I236" s="6">
        <v>48</v>
      </c>
      <c r="J236" s="6" t="s">
        <v>1824</v>
      </c>
      <c r="K236" s="6" t="s">
        <v>2437</v>
      </c>
      <c r="L236" s="6">
        <v>90</v>
      </c>
      <c r="M236" s="6">
        <v>5000</v>
      </c>
      <c r="N236" s="6">
        <v>7.92</v>
      </c>
      <c r="O236" s="6">
        <v>2799</v>
      </c>
      <c r="P236" s="6" t="s">
        <v>2368</v>
      </c>
      <c r="Q236" s="6">
        <f>Table2_1[[#This Row],[Specs Score]] / (Table2_1[[#This Row],[Launched Price (USA)]] ^ 0.85)</f>
        <v>7.1220641693406764E-2</v>
      </c>
      <c r="R236" s="6">
        <f>IFERROR(Table2_1[[#This Row],[Launched Price (USA)]] / S236, "")</f>
        <v>46.179003014907941</v>
      </c>
      <c r="S23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60.61196252107046</v>
      </c>
      <c r="T236" s="6">
        <v>2024</v>
      </c>
    </row>
    <row r="237" spans="1:20" x14ac:dyDescent="0.25">
      <c r="A237" s="6" t="s">
        <v>1746</v>
      </c>
      <c r="B237" s="6" t="s">
        <v>1857</v>
      </c>
      <c r="C23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237" s="6">
        <v>170</v>
      </c>
      <c r="E237" s="6">
        <v>8</v>
      </c>
      <c r="F237" s="6">
        <v>50</v>
      </c>
      <c r="G237" s="6">
        <v>50</v>
      </c>
      <c r="H237" s="6">
        <v>8</v>
      </c>
      <c r="I237" s="6"/>
      <c r="J237" s="6" t="s">
        <v>1809</v>
      </c>
      <c r="K237" s="6" t="s">
        <v>2437</v>
      </c>
      <c r="L237" s="6">
        <v>88</v>
      </c>
      <c r="M237" s="6">
        <v>4600</v>
      </c>
      <c r="N237" s="6">
        <v>6.7</v>
      </c>
      <c r="O237" s="6">
        <v>529</v>
      </c>
      <c r="P237" s="6" t="s">
        <v>2368</v>
      </c>
      <c r="Q237" s="6">
        <f>Table2_1[[#This Row],[Specs Score]] / (Table2_1[[#This Row],[Launched Price (USA)]] ^ 0.85)</f>
        <v>0.25578295292664205</v>
      </c>
      <c r="R237" s="6">
        <f>IFERROR(Table2_1[[#This Row],[Launched Price (USA)]] / S237, "")</f>
        <v>10.014903154552627</v>
      </c>
      <c r="S23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52.821279630599768</v>
      </c>
      <c r="T237" s="6">
        <v>2024</v>
      </c>
    </row>
    <row r="238" spans="1:20" x14ac:dyDescent="0.25">
      <c r="A238" s="6" t="s">
        <v>1746</v>
      </c>
      <c r="B238" s="6" t="s">
        <v>1859</v>
      </c>
      <c r="C238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238" s="6">
        <v>170</v>
      </c>
      <c r="E238" s="6">
        <v>8</v>
      </c>
      <c r="F238" s="6">
        <v>50</v>
      </c>
      <c r="G238" s="6">
        <v>50</v>
      </c>
      <c r="H238" s="6">
        <v>8</v>
      </c>
      <c r="I238" s="6"/>
      <c r="J238" s="6" t="s">
        <v>1809</v>
      </c>
      <c r="K238" s="6" t="s">
        <v>2437</v>
      </c>
      <c r="L238" s="6">
        <v>88</v>
      </c>
      <c r="M238" s="6">
        <v>4600</v>
      </c>
      <c r="N238" s="6">
        <v>6.7</v>
      </c>
      <c r="O238" s="6">
        <v>599</v>
      </c>
      <c r="P238" s="6" t="s">
        <v>2368</v>
      </c>
      <c r="Q238" s="6">
        <f>Table2_1[[#This Row],[Specs Score]] / (Table2_1[[#This Row],[Launched Price (USA)]] ^ 0.85)</f>
        <v>0.2638737101485007</v>
      </c>
      <c r="R238" s="6">
        <f>IFERROR(Table2_1[[#This Row],[Launched Price (USA)]] / S238, "")</f>
        <v>9.8904920894280153</v>
      </c>
      <c r="S23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60.563215114470736</v>
      </c>
      <c r="T238" s="6">
        <v>2024</v>
      </c>
    </row>
    <row r="239" spans="1:20" x14ac:dyDescent="0.25">
      <c r="A239" s="6" t="s">
        <v>1746</v>
      </c>
      <c r="B239" s="6" t="s">
        <v>1860</v>
      </c>
      <c r="C23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239" s="6">
        <v>190</v>
      </c>
      <c r="E239" s="6">
        <v>8</v>
      </c>
      <c r="F239" s="6">
        <v>60</v>
      </c>
      <c r="G239" s="6">
        <v>50</v>
      </c>
      <c r="H239" s="6">
        <v>8</v>
      </c>
      <c r="I239" s="6"/>
      <c r="J239" s="6" t="s">
        <v>1809</v>
      </c>
      <c r="K239" s="6" t="s">
        <v>2437</v>
      </c>
      <c r="L239" s="6">
        <v>88</v>
      </c>
      <c r="M239" s="6">
        <v>4600</v>
      </c>
      <c r="N239" s="6">
        <v>6.78</v>
      </c>
      <c r="O239" s="6">
        <v>649</v>
      </c>
      <c r="P239" s="6" t="s">
        <v>2368</v>
      </c>
      <c r="Q239" s="6">
        <f>Table2_1[[#This Row],[Specs Score]] / (Table2_1[[#This Row],[Launched Price (USA)]] ^ 0.85)</f>
        <v>0.22233778668434234</v>
      </c>
      <c r="R239" s="6">
        <f>IFERROR(Table2_1[[#This Row],[Launched Price (USA)]] / S239, "")</f>
        <v>11.880191096585847</v>
      </c>
      <c r="S23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54.628750894967581</v>
      </c>
      <c r="T239" s="6">
        <v>2024</v>
      </c>
    </row>
    <row r="240" spans="1:20" x14ac:dyDescent="0.25">
      <c r="A240" s="6" t="s">
        <v>1746</v>
      </c>
      <c r="B240" s="6" t="s">
        <v>1861</v>
      </c>
      <c r="C240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240" s="6">
        <v>190</v>
      </c>
      <c r="E240" s="6">
        <v>8</v>
      </c>
      <c r="F240" s="6">
        <v>60</v>
      </c>
      <c r="G240" s="6">
        <v>50</v>
      </c>
      <c r="H240" s="6">
        <v>8</v>
      </c>
      <c r="I240" s="6"/>
      <c r="J240" s="6" t="s">
        <v>1809</v>
      </c>
      <c r="K240" s="6" t="s">
        <v>2437</v>
      </c>
      <c r="L240" s="6">
        <v>88</v>
      </c>
      <c r="M240" s="6">
        <v>4600</v>
      </c>
      <c r="N240" s="6">
        <v>6.78</v>
      </c>
      <c r="O240" s="6">
        <v>729</v>
      </c>
      <c r="P240" s="6" t="s">
        <v>2368</v>
      </c>
      <c r="Q240" s="6">
        <f>Table2_1[[#This Row],[Specs Score]] / (Table2_1[[#This Row],[Launched Price (USA)]] ^ 0.85)</f>
        <v>0.22996520208722379</v>
      </c>
      <c r="R240" s="6">
        <f>IFERROR(Table2_1[[#This Row],[Launched Price (USA)]] / S240, "")</f>
        <v>11.688183060421457</v>
      </c>
      <c r="S24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62.370686378838549</v>
      </c>
      <c r="T240" s="6">
        <v>2024</v>
      </c>
    </row>
    <row r="241" spans="1:20" x14ac:dyDescent="0.25">
      <c r="A241" s="6" t="s">
        <v>1746</v>
      </c>
      <c r="B241" s="6" t="s">
        <v>1911</v>
      </c>
      <c r="C241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241" s="6">
        <v>508</v>
      </c>
      <c r="E241" s="6">
        <v>12</v>
      </c>
      <c r="F241" s="6">
        <v>16</v>
      </c>
      <c r="G241" s="6">
        <v>13</v>
      </c>
      <c r="H241" s="6"/>
      <c r="I241" s="6"/>
      <c r="J241" s="6" t="s">
        <v>1809</v>
      </c>
      <c r="K241" s="6" t="s">
        <v>2437</v>
      </c>
      <c r="L241" s="6">
        <v>88</v>
      </c>
      <c r="M241" s="6">
        <v>10100</v>
      </c>
      <c r="N241" s="6">
        <v>12.2</v>
      </c>
      <c r="O241" s="6">
        <v>999</v>
      </c>
      <c r="P241" s="6" t="s">
        <v>2369</v>
      </c>
      <c r="Q241" s="6">
        <f>Table2_1[[#This Row],[Specs Score]] / (Table2_1[[#This Row],[Launched Price (USA)]] ^ 0.85)</f>
        <v>0.20168658199636244</v>
      </c>
      <c r="R241" s="6">
        <f>IFERROR(Table2_1[[#This Row],[Launched Price (USA)]] / S241, "")</f>
        <v>13.971975558060665</v>
      </c>
      <c r="S24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71.500268222532085</v>
      </c>
      <c r="T241" s="6">
        <v>2024</v>
      </c>
    </row>
    <row r="242" spans="1:20" x14ac:dyDescent="0.25">
      <c r="A242" s="6" t="s">
        <v>1746</v>
      </c>
      <c r="B242" s="6" t="s">
        <v>1917</v>
      </c>
      <c r="C242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242" s="6">
        <v>580</v>
      </c>
      <c r="E242" s="6">
        <v>12</v>
      </c>
      <c r="F242" s="6">
        <v>16</v>
      </c>
      <c r="G242" s="6">
        <v>13</v>
      </c>
      <c r="H242" s="6"/>
      <c r="I242" s="6"/>
      <c r="J242" s="6" t="s">
        <v>1809</v>
      </c>
      <c r="K242" s="6" t="s">
        <v>2437</v>
      </c>
      <c r="L242" s="6">
        <v>88</v>
      </c>
      <c r="M242" s="6">
        <v>10100</v>
      </c>
      <c r="N242" s="6">
        <v>13.2</v>
      </c>
      <c r="O242" s="6">
        <v>877</v>
      </c>
      <c r="P242" s="6" t="s">
        <v>2369</v>
      </c>
      <c r="Q242" s="6">
        <f>Table2_1[[#This Row],[Specs Score]] / (Table2_1[[#This Row],[Launched Price (USA)]] ^ 0.85)</f>
        <v>0.22858065920415477</v>
      </c>
      <c r="R242" s="6">
        <f>IFERROR(Table2_1[[#This Row],[Launched Price (USA)]] / S242, "")</f>
        <v>12.08955897495067</v>
      </c>
      <c r="S24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72.541934889198757</v>
      </c>
      <c r="T242" s="6">
        <v>2024</v>
      </c>
    </row>
    <row r="243" spans="1:20" x14ac:dyDescent="0.25">
      <c r="A243" s="6" t="s">
        <v>1746</v>
      </c>
      <c r="B243" s="6" t="s">
        <v>1759</v>
      </c>
      <c r="C24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43" s="6">
        <v>188</v>
      </c>
      <c r="E243" s="6">
        <v>8</v>
      </c>
      <c r="F243" s="6">
        <v>13</v>
      </c>
      <c r="G243" s="6">
        <v>64</v>
      </c>
      <c r="H243" s="6"/>
      <c r="I243" s="6"/>
      <c r="J243" s="6" t="s">
        <v>1760</v>
      </c>
      <c r="K243" s="6" t="s">
        <v>2438</v>
      </c>
      <c r="L243" s="6">
        <v>42</v>
      </c>
      <c r="M243" s="6">
        <v>4200</v>
      </c>
      <c r="N243" s="6">
        <v>6.5</v>
      </c>
      <c r="O243" s="6">
        <v>799</v>
      </c>
      <c r="P243" s="6" t="s">
        <v>2368</v>
      </c>
      <c r="Q243" s="6">
        <f>Table2_1[[#This Row],[Specs Score]] / (Table2_1[[#This Row],[Launched Price (USA)]] ^ 0.85)</f>
        <v>0.10508944370054536</v>
      </c>
      <c r="R243" s="6">
        <f>IFERROR(Table2_1[[#This Row],[Launched Price (USA)]] / S243, "")</f>
        <v>25.931218453026542</v>
      </c>
      <c r="S24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30.812281399246988</v>
      </c>
      <c r="T243" s="6">
        <v>2021</v>
      </c>
    </row>
    <row r="244" spans="1:20" x14ac:dyDescent="0.25">
      <c r="A244" s="6" t="s">
        <v>1746</v>
      </c>
      <c r="B244" s="6" t="s">
        <v>1770</v>
      </c>
      <c r="C24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44" s="6">
        <v>175</v>
      </c>
      <c r="E244" s="6">
        <v>8</v>
      </c>
      <c r="F244" s="6">
        <v>32</v>
      </c>
      <c r="G244" s="6">
        <v>50</v>
      </c>
      <c r="H244" s="6"/>
      <c r="I244" s="6"/>
      <c r="J244" s="6" t="s">
        <v>1771</v>
      </c>
      <c r="K244" s="6" t="s">
        <v>2438</v>
      </c>
      <c r="L244" s="6">
        <v>60</v>
      </c>
      <c r="M244" s="6">
        <v>4300</v>
      </c>
      <c r="N244" s="6">
        <v>6.57</v>
      </c>
      <c r="O244" s="6">
        <v>499</v>
      </c>
      <c r="P244" s="6" t="s">
        <v>2368</v>
      </c>
      <c r="Q244" s="6">
        <f>Table2_1[[#This Row],[Specs Score]] / (Table2_1[[#This Row],[Launched Price (USA)]] ^ 0.85)</f>
        <v>0.19414553177249172</v>
      </c>
      <c r="R244" s="6">
        <f>IFERROR(Table2_1[[#This Row],[Launched Price (USA)]] / S244, "")</f>
        <v>13.079395792628778</v>
      </c>
      <c r="S24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38.151609440645871</v>
      </c>
      <c r="T244" s="6">
        <v>2021</v>
      </c>
    </row>
    <row r="245" spans="1:20" x14ac:dyDescent="0.25">
      <c r="A245" s="6" t="s">
        <v>1746</v>
      </c>
      <c r="B245" s="6" t="s">
        <v>1773</v>
      </c>
      <c r="C24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45" s="6">
        <v>186</v>
      </c>
      <c r="E245" s="6">
        <v>8</v>
      </c>
      <c r="F245" s="6">
        <v>32</v>
      </c>
      <c r="G245" s="6">
        <v>50</v>
      </c>
      <c r="H245" s="6"/>
      <c r="I245" s="6"/>
      <c r="J245" s="6" t="s">
        <v>1771</v>
      </c>
      <c r="K245" s="6" t="s">
        <v>2438</v>
      </c>
      <c r="L245" s="6">
        <v>60</v>
      </c>
      <c r="M245" s="6">
        <v>4000</v>
      </c>
      <c r="N245" s="6">
        <v>6.72</v>
      </c>
      <c r="O245" s="6">
        <v>599</v>
      </c>
      <c r="P245" s="6" t="s">
        <v>2368</v>
      </c>
      <c r="Q245" s="6">
        <f>Table2_1[[#This Row],[Specs Score]] / (Table2_1[[#This Row],[Launched Price (USA)]] ^ 0.85)</f>
        <v>0.1647760660826183</v>
      </c>
      <c r="R245" s="6">
        <f>IFERROR(Table2_1[[#This Row],[Launched Price (USA)]] / S245, "")</f>
        <v>15.838713138855974</v>
      </c>
      <c r="S24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37.818729005863261</v>
      </c>
      <c r="T245" s="6">
        <v>2021</v>
      </c>
    </row>
    <row r="246" spans="1:20" x14ac:dyDescent="0.25">
      <c r="A246" s="6" t="s">
        <v>1746</v>
      </c>
      <c r="B246" s="6" t="s">
        <v>1775</v>
      </c>
      <c r="C24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46" s="6">
        <v>181</v>
      </c>
      <c r="E246" s="6">
        <v>8</v>
      </c>
      <c r="F246" s="6">
        <v>13</v>
      </c>
      <c r="G246" s="6">
        <v>50</v>
      </c>
      <c r="H246" s="6"/>
      <c r="I246" s="6"/>
      <c r="J246" s="6" t="s">
        <v>1771</v>
      </c>
      <c r="K246" s="6" t="s">
        <v>2438</v>
      </c>
      <c r="L246" s="6">
        <v>60</v>
      </c>
      <c r="M246" s="6">
        <v>4100</v>
      </c>
      <c r="N246" s="6">
        <v>6.5</v>
      </c>
      <c r="O246" s="6">
        <v>649</v>
      </c>
      <c r="P246" s="6" t="s">
        <v>2368</v>
      </c>
      <c r="Q246" s="6">
        <f>Table2_1[[#This Row],[Specs Score]] / (Table2_1[[#This Row],[Launched Price (USA)]] ^ 0.85)</f>
        <v>0.14031957113317561</v>
      </c>
      <c r="R246" s="6">
        <f>IFERROR(Table2_1[[#This Row],[Launched Price (USA)]] / S246, "")</f>
        <v>18.824283544132214</v>
      </c>
      <c r="S24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34.476743748491941</v>
      </c>
      <c r="T246" s="6">
        <v>2022</v>
      </c>
    </row>
    <row r="247" spans="1:20" x14ac:dyDescent="0.25">
      <c r="A247" s="6" t="s">
        <v>1746</v>
      </c>
      <c r="B247" s="6" t="s">
        <v>1788</v>
      </c>
      <c r="C24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47" s="6">
        <v>168</v>
      </c>
      <c r="E247" s="6">
        <v>8</v>
      </c>
      <c r="F247" s="6">
        <v>60</v>
      </c>
      <c r="G247" s="6">
        <v>50</v>
      </c>
      <c r="H247" s="6"/>
      <c r="I247" s="6"/>
      <c r="J247" s="6" t="s">
        <v>1771</v>
      </c>
      <c r="K247" s="6" t="s">
        <v>2438</v>
      </c>
      <c r="L247" s="6">
        <v>60</v>
      </c>
      <c r="M247" s="6">
        <v>4000</v>
      </c>
      <c r="N247" s="6">
        <v>6.67</v>
      </c>
      <c r="O247" s="6">
        <v>499</v>
      </c>
      <c r="P247" s="6" t="s">
        <v>2368</v>
      </c>
      <c r="Q247" s="6">
        <f>Table2_1[[#This Row],[Specs Score]] / (Table2_1[[#This Row],[Launched Price (USA)]] ^ 0.85)</f>
        <v>0.2167531047815234</v>
      </c>
      <c r="R247" s="6">
        <f>IFERROR(Table2_1[[#This Row],[Launched Price (USA)]] / S247, "")</f>
        <v>11.715201283886117</v>
      </c>
      <c r="S24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42.594231879426474</v>
      </c>
      <c r="T247" s="6">
        <v>2022</v>
      </c>
    </row>
    <row r="248" spans="1:20" x14ac:dyDescent="0.25">
      <c r="A248" s="6" t="s">
        <v>1746</v>
      </c>
      <c r="B248" s="6" t="s">
        <v>1789</v>
      </c>
      <c r="C24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48" s="6">
        <v>191</v>
      </c>
      <c r="E248" s="6">
        <v>8</v>
      </c>
      <c r="F248" s="6">
        <v>60</v>
      </c>
      <c r="G248" s="6">
        <v>50</v>
      </c>
      <c r="H248" s="6"/>
      <c r="I248" s="6"/>
      <c r="J248" s="6" t="s">
        <v>1771</v>
      </c>
      <c r="K248" s="6" t="s">
        <v>2438</v>
      </c>
      <c r="L248" s="6">
        <v>60</v>
      </c>
      <c r="M248" s="6">
        <v>4500</v>
      </c>
      <c r="N248" s="6">
        <v>6.78</v>
      </c>
      <c r="O248" s="6">
        <v>599</v>
      </c>
      <c r="P248" s="6" t="s">
        <v>2368</v>
      </c>
      <c r="Q248" s="6">
        <f>Table2_1[[#This Row],[Specs Score]] / (Table2_1[[#This Row],[Launched Price (USA)]] ^ 0.85)</f>
        <v>0.18963405331356947</v>
      </c>
      <c r="R248" s="6">
        <f>IFERROR(Table2_1[[#This Row],[Launched Price (USA)]] / S248, "")</f>
        <v>13.762511517466029</v>
      </c>
      <c r="S24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43.524032604064161</v>
      </c>
      <c r="T248" s="6">
        <v>2022</v>
      </c>
    </row>
    <row r="249" spans="1:20" x14ac:dyDescent="0.25">
      <c r="A249" s="6" t="s">
        <v>1746</v>
      </c>
      <c r="B249" s="6" t="s">
        <v>1791</v>
      </c>
      <c r="C24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49" s="6">
        <v>184</v>
      </c>
      <c r="E249" s="6">
        <v>8</v>
      </c>
      <c r="F249" s="6">
        <v>16</v>
      </c>
      <c r="G249" s="6">
        <v>108</v>
      </c>
      <c r="H249" s="6"/>
      <c r="I249" s="6"/>
      <c r="J249" s="6" t="s">
        <v>1169</v>
      </c>
      <c r="K249" s="6" t="s">
        <v>2438</v>
      </c>
      <c r="L249" s="6">
        <v>32</v>
      </c>
      <c r="M249" s="6">
        <v>4500</v>
      </c>
      <c r="N249" s="6">
        <v>6.67</v>
      </c>
      <c r="O249" s="6">
        <v>399</v>
      </c>
      <c r="P249" s="6" t="s">
        <v>2368</v>
      </c>
      <c r="Q249" s="6">
        <f>Table2_1[[#This Row],[Specs Score]] / (Table2_1[[#This Row],[Launched Price (USA)]] ^ 0.85)</f>
        <v>0.19525429692046906</v>
      </c>
      <c r="R249" s="6">
        <f>IFERROR(Table2_1[[#This Row],[Launched Price (USA)]] / S249, "")</f>
        <v>12.576081242178155</v>
      </c>
      <c r="S24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31.726894277831008</v>
      </c>
      <c r="T249" s="6">
        <v>2022</v>
      </c>
    </row>
    <row r="250" spans="1:20" x14ac:dyDescent="0.25">
      <c r="A250" s="6" t="s">
        <v>1746</v>
      </c>
      <c r="B250" s="6" t="s">
        <v>1816</v>
      </c>
      <c r="C25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50" s="6">
        <v>168</v>
      </c>
      <c r="E250" s="6">
        <v>8</v>
      </c>
      <c r="F250" s="6">
        <v>60</v>
      </c>
      <c r="G250" s="6">
        <v>50</v>
      </c>
      <c r="H250" s="6">
        <v>8</v>
      </c>
      <c r="I250" s="6"/>
      <c r="J250" s="6" t="s">
        <v>1771</v>
      </c>
      <c r="K250" s="6" t="s">
        <v>2438</v>
      </c>
      <c r="L250" s="6">
        <v>60</v>
      </c>
      <c r="M250" s="6">
        <v>4500</v>
      </c>
      <c r="N250" s="6">
        <v>6.7</v>
      </c>
      <c r="O250" s="6">
        <v>499</v>
      </c>
      <c r="P250" s="6" t="s">
        <v>2368</v>
      </c>
      <c r="Q250" s="6">
        <f>Table2_1[[#This Row],[Specs Score]] / (Table2_1[[#This Row],[Launched Price (USA)]] ^ 0.85)</f>
        <v>0.22106059964798572</v>
      </c>
      <c r="R250" s="6">
        <f>IFERROR(Table2_1[[#This Row],[Launched Price (USA)]] / S250, "")</f>
        <v>11.48692374609662</v>
      </c>
      <c r="S25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43.440699270730825</v>
      </c>
      <c r="T250" s="6">
        <v>2023</v>
      </c>
    </row>
    <row r="251" spans="1:20" x14ac:dyDescent="0.25">
      <c r="A251" s="6" t="s">
        <v>1746</v>
      </c>
      <c r="B251" s="6" t="s">
        <v>1818</v>
      </c>
      <c r="C25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51" s="6">
        <v>188</v>
      </c>
      <c r="E251" s="6">
        <v>8</v>
      </c>
      <c r="F251" s="6">
        <v>60</v>
      </c>
      <c r="G251" s="6">
        <v>50</v>
      </c>
      <c r="H251" s="6">
        <v>8</v>
      </c>
      <c r="I251" s="6"/>
      <c r="J251" s="6" t="s">
        <v>1771</v>
      </c>
      <c r="K251" s="6" t="s">
        <v>2438</v>
      </c>
      <c r="L251" s="6">
        <v>60</v>
      </c>
      <c r="M251" s="6">
        <v>4500</v>
      </c>
      <c r="N251" s="6">
        <v>6.78</v>
      </c>
      <c r="O251" s="6">
        <v>599</v>
      </c>
      <c r="P251" s="6" t="s">
        <v>2368</v>
      </c>
      <c r="Q251" s="6">
        <f>Table2_1[[#This Row],[Specs Score]] / (Table2_1[[#This Row],[Launched Price (USA)]] ^ 0.85)</f>
        <v>0.18963405331356947</v>
      </c>
      <c r="R251" s="6">
        <f>IFERROR(Table2_1[[#This Row],[Launched Price (USA)]] / S251, "")</f>
        <v>13.762511517466029</v>
      </c>
      <c r="S25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43.524032604064161</v>
      </c>
      <c r="T251" s="6">
        <v>2023</v>
      </c>
    </row>
    <row r="252" spans="1:20" x14ac:dyDescent="0.25">
      <c r="A252" s="6" t="s">
        <v>1746</v>
      </c>
      <c r="B252" s="6" t="s">
        <v>1820</v>
      </c>
      <c r="C25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52" s="6">
        <v>188</v>
      </c>
      <c r="E252" s="6">
        <v>12</v>
      </c>
      <c r="F252" s="6">
        <v>60</v>
      </c>
      <c r="G252" s="6">
        <v>50</v>
      </c>
      <c r="H252" s="6">
        <v>8</v>
      </c>
      <c r="I252" s="6"/>
      <c r="J252" s="6" t="s">
        <v>1771</v>
      </c>
      <c r="K252" s="6" t="s">
        <v>2438</v>
      </c>
      <c r="L252" s="6">
        <v>60</v>
      </c>
      <c r="M252" s="6">
        <v>4500</v>
      </c>
      <c r="N252" s="6">
        <v>6.78</v>
      </c>
      <c r="O252" s="6">
        <v>699</v>
      </c>
      <c r="P252" s="6" t="s">
        <v>2368</v>
      </c>
      <c r="Q252" s="6">
        <f>Table2_1[[#This Row],[Specs Score]] / (Table2_1[[#This Row],[Launched Price (USA)]] ^ 0.85)</f>
        <v>0.1815965885973595</v>
      </c>
      <c r="R252" s="6">
        <f>IFERROR(Table2_1[[#This Row],[Launched Price (USA)]] / S252, "")</f>
        <v>14.708347791601822</v>
      </c>
      <c r="S25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47.524032604064153</v>
      </c>
      <c r="T252" s="6">
        <v>2023</v>
      </c>
    </row>
    <row r="253" spans="1:20" x14ac:dyDescent="0.25">
      <c r="A253" s="6" t="s">
        <v>2041</v>
      </c>
      <c r="B253" s="6" t="s">
        <v>2042</v>
      </c>
      <c r="C25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53" s="6">
        <v>450</v>
      </c>
      <c r="E253" s="6">
        <v>6</v>
      </c>
      <c r="F253" s="6">
        <v>8</v>
      </c>
      <c r="G253" s="6">
        <v>13</v>
      </c>
      <c r="H253" s="6"/>
      <c r="I253" s="6"/>
      <c r="J253" s="6" t="s">
        <v>2390</v>
      </c>
      <c r="K253" s="6" t="s">
        <v>2439</v>
      </c>
      <c r="L253" s="6">
        <v>22</v>
      </c>
      <c r="M253" s="6">
        <v>7000</v>
      </c>
      <c r="N253" s="6">
        <v>10.1</v>
      </c>
      <c r="O253" s="6">
        <v>299</v>
      </c>
      <c r="P253" s="6" t="s">
        <v>2369</v>
      </c>
      <c r="Q253" s="6">
        <f>Table2_1[[#This Row],[Specs Score]] / (Table2_1[[#This Row],[Launched Price (USA)]] ^ 0.85)</f>
        <v>0.22492542007972996</v>
      </c>
      <c r="R253" s="6">
        <f>IFERROR(Table2_1[[#This Row],[Launched Price (USA)]] / S253, "")</f>
        <v>10.454713549105705</v>
      </c>
      <c r="S25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28.599540159144428</v>
      </c>
      <c r="T253" s="6">
        <v>2024</v>
      </c>
    </row>
    <row r="254" spans="1:20" x14ac:dyDescent="0.25">
      <c r="A254" s="6" t="s">
        <v>2041</v>
      </c>
      <c r="B254" s="6" t="s">
        <v>2046</v>
      </c>
      <c r="C25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54" s="6">
        <v>420</v>
      </c>
      <c r="E254" s="6">
        <v>4</v>
      </c>
      <c r="F254" s="6">
        <v>5</v>
      </c>
      <c r="G254" s="6">
        <v>8</v>
      </c>
      <c r="H254" s="6"/>
      <c r="I254" s="6"/>
      <c r="J254" s="6" t="s">
        <v>1714</v>
      </c>
      <c r="K254" s="6" t="s">
        <v>2439</v>
      </c>
      <c r="L254" s="6">
        <v>4</v>
      </c>
      <c r="M254" s="6">
        <v>6000</v>
      </c>
      <c r="N254" s="6">
        <v>9.6999999999999993</v>
      </c>
      <c r="O254" s="6">
        <v>219</v>
      </c>
      <c r="P254" s="6" t="s">
        <v>2369</v>
      </c>
      <c r="Q254" s="6">
        <f>Table2_1[[#This Row],[Specs Score]] / (Table2_1[[#This Row],[Launched Price (USA)]] ^ 0.85)</f>
        <v>0.19709565152719091</v>
      </c>
      <c r="R254" s="6">
        <f>IFERROR(Table2_1[[#This Row],[Launched Price (USA)]] / S254, "")</f>
        <v>11.386482278787476</v>
      </c>
      <c r="S25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19.233332528693918</v>
      </c>
      <c r="T254" s="6">
        <v>2024</v>
      </c>
    </row>
    <row r="255" spans="1:20" x14ac:dyDescent="0.25">
      <c r="A255" s="6" t="s">
        <v>2041</v>
      </c>
      <c r="B255" s="6" t="s">
        <v>2051</v>
      </c>
      <c r="C25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55" s="6">
        <v>192</v>
      </c>
      <c r="E255" s="6">
        <v>6</v>
      </c>
      <c r="F255" s="6">
        <v>8</v>
      </c>
      <c r="G255" s="6">
        <v>50</v>
      </c>
      <c r="H255" s="6"/>
      <c r="I255" s="6"/>
      <c r="J255" s="6" t="s">
        <v>2391</v>
      </c>
      <c r="K255" s="6" t="s">
        <v>2439</v>
      </c>
      <c r="L255" s="6">
        <v>12</v>
      </c>
      <c r="M255" s="6">
        <v>5000</v>
      </c>
      <c r="N255" s="6">
        <v>6.78</v>
      </c>
      <c r="O255" s="6">
        <v>219</v>
      </c>
      <c r="P255" s="6" t="s">
        <v>2368</v>
      </c>
      <c r="Q255" s="6">
        <f>Table2_1[[#This Row],[Specs Score]] / (Table2_1[[#This Row],[Launched Price (USA)]] ^ 0.85)</f>
        <v>0.21778749961625679</v>
      </c>
      <c r="R255" s="6">
        <f>IFERROR(Table2_1[[#This Row],[Launched Price (USA)]] / S255, "")</f>
        <v>10.304660034642826</v>
      </c>
      <c r="S25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21.252520632777077</v>
      </c>
      <c r="T255" s="6">
        <v>2024</v>
      </c>
    </row>
    <row r="256" spans="1:20" x14ac:dyDescent="0.25">
      <c r="A256" s="6" t="s">
        <v>2041</v>
      </c>
      <c r="B256" s="6" t="s">
        <v>2052</v>
      </c>
      <c r="C25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56" s="6">
        <v>190</v>
      </c>
      <c r="E256" s="6">
        <v>4</v>
      </c>
      <c r="F256" s="6">
        <v>8</v>
      </c>
      <c r="G256" s="6">
        <v>50</v>
      </c>
      <c r="H256" s="6"/>
      <c r="I256" s="6"/>
      <c r="J256" s="6" t="s">
        <v>1714</v>
      </c>
      <c r="K256" s="6" t="s">
        <v>2439</v>
      </c>
      <c r="L256" s="6">
        <v>4</v>
      </c>
      <c r="M256" s="6">
        <v>5000</v>
      </c>
      <c r="N256" s="6">
        <v>6.6</v>
      </c>
      <c r="O256" s="6">
        <v>179</v>
      </c>
      <c r="P256" s="6" t="s">
        <v>2368</v>
      </c>
      <c r="Q256" s="6">
        <f>Table2_1[[#This Row],[Specs Score]] / (Table2_1[[#This Row],[Launched Price (USA)]] ^ 0.85)</f>
        <v>0.20733246332308647</v>
      </c>
      <c r="R256" s="6">
        <f>IFERROR(Table2_1[[#This Row],[Launched Price (USA)]] / S256, "")</f>
        <v>10.501725132348444</v>
      </c>
      <c r="S25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17.044818612575057</v>
      </c>
      <c r="T256" s="6">
        <v>2024</v>
      </c>
    </row>
    <row r="257" spans="1:20" x14ac:dyDescent="0.25">
      <c r="A257" s="6" t="s">
        <v>2041</v>
      </c>
      <c r="B257" s="6" t="s">
        <v>2055</v>
      </c>
      <c r="C25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57" s="6">
        <v>194</v>
      </c>
      <c r="E257" s="6">
        <v>8</v>
      </c>
      <c r="F257" s="6">
        <v>16</v>
      </c>
      <c r="G257" s="6">
        <v>50</v>
      </c>
      <c r="H257" s="6"/>
      <c r="I257" s="6"/>
      <c r="J257" s="6" t="s">
        <v>2390</v>
      </c>
      <c r="K257" s="6" t="s">
        <v>2439</v>
      </c>
      <c r="L257" s="6">
        <v>22</v>
      </c>
      <c r="M257" s="6">
        <v>5000</v>
      </c>
      <c r="N257" s="6">
        <v>6.8</v>
      </c>
      <c r="O257" s="6">
        <v>269</v>
      </c>
      <c r="P257" s="6" t="s">
        <v>2368</v>
      </c>
      <c r="Q257" s="6">
        <f>Table2_1[[#This Row],[Specs Score]] / (Table2_1[[#This Row],[Launched Price (USA)]] ^ 0.85)</f>
        <v>0.23384426716136425</v>
      </c>
      <c r="R257" s="6">
        <f>IFERROR(Table2_1[[#This Row],[Launched Price (USA)]] / S257, "")</f>
        <v>9.8977416709803006</v>
      </c>
      <c r="S25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27.177916836190519</v>
      </c>
      <c r="T257" s="6">
        <v>2024</v>
      </c>
    </row>
    <row r="258" spans="1:20" x14ac:dyDescent="0.25">
      <c r="A258" s="6" t="s">
        <v>2041</v>
      </c>
      <c r="B258" s="6" t="s">
        <v>2062</v>
      </c>
      <c r="C25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58" s="6">
        <v>196</v>
      </c>
      <c r="E258" s="6">
        <v>8</v>
      </c>
      <c r="F258" s="6">
        <v>32</v>
      </c>
      <c r="G258" s="6">
        <v>50</v>
      </c>
      <c r="H258" s="6"/>
      <c r="I258" s="6"/>
      <c r="J258" s="6" t="s">
        <v>2390</v>
      </c>
      <c r="K258" s="6" t="s">
        <v>2439</v>
      </c>
      <c r="L258" s="6">
        <v>22</v>
      </c>
      <c r="M258" s="6">
        <v>5000</v>
      </c>
      <c r="N258" s="6">
        <v>6.78</v>
      </c>
      <c r="O258" s="6">
        <v>279</v>
      </c>
      <c r="P258" s="6" t="s">
        <v>2368</v>
      </c>
      <c r="Q258" s="6">
        <f>Table2_1[[#This Row],[Specs Score]] / (Table2_1[[#This Row],[Launched Price (USA)]] ^ 0.85)</f>
        <v>0.24953740674284572</v>
      </c>
      <c r="R258" s="6">
        <f>IFERROR(Table2_1[[#This Row],[Launched Price (USA)]] / S258, "")</f>
        <v>9.3262053336465076</v>
      </c>
      <c r="S25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29.915704192512361</v>
      </c>
      <c r="T258" s="6">
        <v>2024</v>
      </c>
    </row>
    <row r="259" spans="1:20" x14ac:dyDescent="0.25">
      <c r="A259" s="6" t="s">
        <v>2041</v>
      </c>
      <c r="B259" s="6" t="s">
        <v>2067</v>
      </c>
      <c r="C25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59" s="6">
        <v>196</v>
      </c>
      <c r="E259" s="6">
        <v>8</v>
      </c>
      <c r="F259" s="6">
        <v>32</v>
      </c>
      <c r="G259" s="6">
        <v>50</v>
      </c>
      <c r="H259" s="6"/>
      <c r="I259" s="6"/>
      <c r="J259" s="6" t="s">
        <v>2394</v>
      </c>
      <c r="K259" s="6" t="s">
        <v>2439</v>
      </c>
      <c r="L259" s="6">
        <v>14</v>
      </c>
      <c r="M259" s="6">
        <v>5000</v>
      </c>
      <c r="N259" s="6">
        <v>6.78</v>
      </c>
      <c r="O259" s="6">
        <v>199</v>
      </c>
      <c r="P259" s="6" t="s">
        <v>2368</v>
      </c>
      <c r="Q259" s="6">
        <f>Table2_1[[#This Row],[Specs Score]] / (Table2_1[[#This Row],[Launched Price (USA)]] ^ 0.85)</f>
        <v>0.3101052144463895</v>
      </c>
      <c r="R259" s="6">
        <f>IFERROR(Table2_1[[#This Row],[Launched Price (USA)]] / S259, "")</f>
        <v>7.1337665395223304</v>
      </c>
      <c r="S25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27.895502172310341</v>
      </c>
      <c r="T259" s="6">
        <v>2023</v>
      </c>
    </row>
    <row r="260" spans="1:20" x14ac:dyDescent="0.25">
      <c r="A260" s="6" t="s">
        <v>2041</v>
      </c>
      <c r="B260" s="6" t="s">
        <v>2069</v>
      </c>
      <c r="C26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60" s="6">
        <v>195</v>
      </c>
      <c r="E260" s="6">
        <v>4</v>
      </c>
      <c r="F260" s="6">
        <v>8</v>
      </c>
      <c r="G260" s="6">
        <v>13</v>
      </c>
      <c r="H260" s="6"/>
      <c r="I260" s="6"/>
      <c r="J260" s="6" t="s">
        <v>1714</v>
      </c>
      <c r="K260" s="6" t="s">
        <v>2439</v>
      </c>
      <c r="L260" s="6">
        <v>4</v>
      </c>
      <c r="M260" s="6">
        <v>5000</v>
      </c>
      <c r="N260" s="6">
        <v>6.6</v>
      </c>
      <c r="O260" s="6">
        <v>159</v>
      </c>
      <c r="P260" s="6" t="s">
        <v>2368</v>
      </c>
      <c r="Q260" s="6">
        <f>Table2_1[[#This Row],[Specs Score]] / (Table2_1[[#This Row],[Launched Price (USA)]] ^ 0.85)</f>
        <v>0.20377459694746405</v>
      </c>
      <c r="R260" s="6">
        <f>IFERROR(Table2_1[[#This Row],[Launched Price (USA)]] / S260, "")</f>
        <v>10.496862922799615</v>
      </c>
      <c r="S26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15.147382715139159</v>
      </c>
      <c r="T260" s="6">
        <v>2023</v>
      </c>
    </row>
    <row r="261" spans="1:20" x14ac:dyDescent="0.25">
      <c r="A261" s="6" t="s">
        <v>2041</v>
      </c>
      <c r="B261" s="6" t="s">
        <v>2071</v>
      </c>
      <c r="C26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61" s="6">
        <v>195</v>
      </c>
      <c r="E261" s="6">
        <v>8</v>
      </c>
      <c r="F261" s="6">
        <v>32</v>
      </c>
      <c r="G261" s="6">
        <v>108</v>
      </c>
      <c r="H261" s="6"/>
      <c r="I261" s="6"/>
      <c r="J261" s="6" t="s">
        <v>2390</v>
      </c>
      <c r="K261" s="6" t="s">
        <v>2439</v>
      </c>
      <c r="L261" s="6">
        <v>22</v>
      </c>
      <c r="M261" s="6">
        <v>5000</v>
      </c>
      <c r="N261" s="6">
        <v>6.78</v>
      </c>
      <c r="O261" s="6">
        <v>229</v>
      </c>
      <c r="P261" s="6" t="s">
        <v>2368</v>
      </c>
      <c r="Q261" s="6">
        <f>Table2_1[[#This Row],[Specs Score]] / (Table2_1[[#This Row],[Launched Price (USA)]] ^ 0.85)</f>
        <v>0.32449241346217567</v>
      </c>
      <c r="R261" s="6">
        <f>IFERROR(Table2_1[[#This Row],[Launched Price (USA)]] / S261, "")</f>
        <v>6.962589242779603</v>
      </c>
      <c r="S26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32.890063166871336</v>
      </c>
      <c r="T261" s="6">
        <v>2023</v>
      </c>
    </row>
    <row r="262" spans="1:20" x14ac:dyDescent="0.25">
      <c r="A262" s="6" t="s">
        <v>2041</v>
      </c>
      <c r="B262" s="6" t="s">
        <v>2076</v>
      </c>
      <c r="C26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62" s="6">
        <v>190</v>
      </c>
      <c r="E262" s="6">
        <v>8</v>
      </c>
      <c r="F262" s="6">
        <v>32</v>
      </c>
      <c r="G262" s="6">
        <v>108</v>
      </c>
      <c r="H262" s="6"/>
      <c r="I262" s="6"/>
      <c r="J262" s="6" t="s">
        <v>2390</v>
      </c>
      <c r="K262" s="6" t="s">
        <v>2439</v>
      </c>
      <c r="L262" s="6">
        <v>22</v>
      </c>
      <c r="M262" s="6">
        <v>5000</v>
      </c>
      <c r="N262" s="6">
        <v>6.78</v>
      </c>
      <c r="O262" s="6">
        <v>279</v>
      </c>
      <c r="P262" s="6" t="s">
        <v>2368</v>
      </c>
      <c r="Q262" s="6">
        <f>Table2_1[[#This Row],[Specs Score]] / (Table2_1[[#This Row],[Launched Price (USA)]] ^ 0.85)</f>
        <v>0.27434758070390591</v>
      </c>
      <c r="R262" s="6">
        <f>IFERROR(Table2_1[[#This Row],[Launched Price (USA)]] / S262, "")</f>
        <v>8.4828052346528793</v>
      </c>
      <c r="S26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32.890063166871336</v>
      </c>
      <c r="T262" s="6">
        <v>2024</v>
      </c>
    </row>
    <row r="263" spans="1:20" x14ac:dyDescent="0.25">
      <c r="A263" s="6" t="s">
        <v>2041</v>
      </c>
      <c r="B263" s="6" t="s">
        <v>2078</v>
      </c>
      <c r="C26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63" s="6">
        <v>196</v>
      </c>
      <c r="E263" s="6">
        <v>8</v>
      </c>
      <c r="F263" s="6">
        <v>8</v>
      </c>
      <c r="G263" s="6">
        <v>50</v>
      </c>
      <c r="H263" s="6"/>
      <c r="I263" s="6"/>
      <c r="J263" s="6" t="s">
        <v>2394</v>
      </c>
      <c r="K263" s="6" t="s">
        <v>2439</v>
      </c>
      <c r="L263" s="6">
        <v>14</v>
      </c>
      <c r="M263" s="6">
        <v>5000</v>
      </c>
      <c r="N263" s="6">
        <v>6.78</v>
      </c>
      <c r="O263" s="6">
        <v>199</v>
      </c>
      <c r="P263" s="6" t="s">
        <v>2368</v>
      </c>
      <c r="Q263" s="6">
        <f>Table2_1[[#This Row],[Specs Score]] / (Table2_1[[#This Row],[Launched Price (USA)]] ^ 0.85)</f>
        <v>0.26410518250982978</v>
      </c>
      <c r="R263" s="6">
        <f>IFERROR(Table2_1[[#This Row],[Launched Price (USA)]] / S263, "")</f>
        <v>8.3762771390020454</v>
      </c>
      <c r="S26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23.757571137827583</v>
      </c>
      <c r="T263" s="6">
        <v>2023</v>
      </c>
    </row>
    <row r="264" spans="1:20" x14ac:dyDescent="0.25">
      <c r="A264" s="6" t="s">
        <v>2041</v>
      </c>
      <c r="B264" s="6" t="s">
        <v>2079</v>
      </c>
      <c r="C26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64" s="6">
        <v>191</v>
      </c>
      <c r="E264" s="6">
        <v>4</v>
      </c>
      <c r="F264" s="6">
        <v>8</v>
      </c>
      <c r="G264" s="6">
        <v>13</v>
      </c>
      <c r="H264" s="6"/>
      <c r="I264" s="6"/>
      <c r="J264" s="6" t="s">
        <v>1714</v>
      </c>
      <c r="K264" s="6" t="s">
        <v>2439</v>
      </c>
      <c r="L264" s="6">
        <v>4</v>
      </c>
      <c r="M264" s="6">
        <v>5000</v>
      </c>
      <c r="N264" s="6">
        <v>6.6</v>
      </c>
      <c r="O264" s="6">
        <v>159</v>
      </c>
      <c r="P264" s="6" t="s">
        <v>2368</v>
      </c>
      <c r="Q264" s="6">
        <f>Table2_1[[#This Row],[Specs Score]] / (Table2_1[[#This Row],[Launched Price (USA)]] ^ 0.85)</f>
        <v>0.20377459694746405</v>
      </c>
      <c r="R264" s="6">
        <f>IFERROR(Table2_1[[#This Row],[Launched Price (USA)]] / S264, "")</f>
        <v>10.496862922799615</v>
      </c>
      <c r="S26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15.147382715139159</v>
      </c>
      <c r="T264" s="6">
        <v>2023</v>
      </c>
    </row>
    <row r="265" spans="1:20" x14ac:dyDescent="0.25">
      <c r="A265" s="6" t="s">
        <v>2041</v>
      </c>
      <c r="B265" s="6" t="s">
        <v>2080</v>
      </c>
      <c r="C26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65" s="6">
        <v>191</v>
      </c>
      <c r="E265" s="6">
        <v>4</v>
      </c>
      <c r="F265" s="6">
        <v>8</v>
      </c>
      <c r="G265" s="6">
        <v>13</v>
      </c>
      <c r="H265" s="6"/>
      <c r="I265" s="6"/>
      <c r="J265" s="6" t="s">
        <v>1714</v>
      </c>
      <c r="K265" s="6" t="s">
        <v>2439</v>
      </c>
      <c r="L265" s="6">
        <v>4</v>
      </c>
      <c r="M265" s="6">
        <v>5000</v>
      </c>
      <c r="N265" s="6">
        <v>6.6</v>
      </c>
      <c r="O265" s="6">
        <v>159</v>
      </c>
      <c r="P265" s="6" t="s">
        <v>2368</v>
      </c>
      <c r="Q265" s="6">
        <f>Table2_1[[#This Row],[Specs Score]] / (Table2_1[[#This Row],[Launched Price (USA)]] ^ 0.85)</f>
        <v>0.20377459694746405</v>
      </c>
      <c r="R265" s="6">
        <f>IFERROR(Table2_1[[#This Row],[Launched Price (USA)]] / S265, "")</f>
        <v>10.496862922799615</v>
      </c>
      <c r="S26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15.147382715139159</v>
      </c>
      <c r="T265" s="6">
        <v>2023</v>
      </c>
    </row>
    <row r="266" spans="1:20" x14ac:dyDescent="0.25">
      <c r="A266" s="6" t="s">
        <v>2041</v>
      </c>
      <c r="B266" s="6" t="s">
        <v>2082</v>
      </c>
      <c r="C26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66" s="6">
        <v>205</v>
      </c>
      <c r="E266" s="6">
        <v>4</v>
      </c>
      <c r="F266" s="6">
        <v>8</v>
      </c>
      <c r="G266" s="6">
        <v>16</v>
      </c>
      <c r="H266" s="6"/>
      <c r="I266" s="6"/>
      <c r="J266" s="6" t="s">
        <v>2380</v>
      </c>
      <c r="K266" s="6" t="s">
        <v>2439</v>
      </c>
      <c r="L266" s="6">
        <v>6</v>
      </c>
      <c r="M266" s="6">
        <v>6000</v>
      </c>
      <c r="N266" s="6">
        <v>6.82</v>
      </c>
      <c r="O266" s="6">
        <v>179</v>
      </c>
      <c r="P266" s="6" t="s">
        <v>2368</v>
      </c>
      <c r="Q266" s="6">
        <f>Table2_1[[#This Row],[Specs Score]] / (Table2_1[[#This Row],[Launched Price (USA)]] ^ 0.85)</f>
        <v>0.21488703817399177</v>
      </c>
      <c r="R266" s="6">
        <f>IFERROR(Table2_1[[#This Row],[Launched Price (USA)]] / S266, "")</f>
        <v>10.132526183681646</v>
      </c>
      <c r="S26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17.665880823311181</v>
      </c>
      <c r="T266" s="6">
        <v>2023</v>
      </c>
    </row>
    <row r="267" spans="1:20" x14ac:dyDescent="0.25">
      <c r="A267" s="6" t="s">
        <v>2041</v>
      </c>
      <c r="B267" s="6" t="s">
        <v>2091</v>
      </c>
      <c r="C26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67" s="6">
        <v>195</v>
      </c>
      <c r="E267" s="6">
        <v>6</v>
      </c>
      <c r="F267" s="6">
        <v>8</v>
      </c>
      <c r="G267" s="6">
        <v>13</v>
      </c>
      <c r="H267" s="6"/>
      <c r="I267" s="6"/>
      <c r="J267" s="6" t="s">
        <v>2391</v>
      </c>
      <c r="K267" s="6" t="s">
        <v>2439</v>
      </c>
      <c r="L267" s="6">
        <v>12</v>
      </c>
      <c r="M267" s="6">
        <v>5000</v>
      </c>
      <c r="N267" s="6">
        <v>6.82</v>
      </c>
      <c r="O267" s="6">
        <v>179</v>
      </c>
      <c r="P267" s="6" t="s">
        <v>2368</v>
      </c>
      <c r="Q267" s="6">
        <f>Table2_1[[#This Row],[Specs Score]] / (Table2_1[[#This Row],[Launched Price (USA)]] ^ 0.85)</f>
        <v>0.23594127576557736</v>
      </c>
      <c r="R267" s="6">
        <f>IFERROR(Table2_1[[#This Row],[Launched Price (USA)]] / S267, "")</f>
        <v>9.2283494431686588</v>
      </c>
      <c r="S26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19.396751402007844</v>
      </c>
      <c r="T267" s="6">
        <v>2022</v>
      </c>
    </row>
    <row r="268" spans="1:20" x14ac:dyDescent="0.25">
      <c r="A268" s="6" t="s">
        <v>2041</v>
      </c>
      <c r="B268" s="6" t="s">
        <v>2092</v>
      </c>
      <c r="C26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68" s="6">
        <v>209</v>
      </c>
      <c r="E268" s="6">
        <v>4</v>
      </c>
      <c r="F268" s="6">
        <v>8</v>
      </c>
      <c r="G268" s="6">
        <v>13</v>
      </c>
      <c r="H268" s="6"/>
      <c r="I268" s="6"/>
      <c r="J268" s="6" t="s">
        <v>2093</v>
      </c>
      <c r="K268" s="6" t="s">
        <v>2439</v>
      </c>
      <c r="L268" s="6">
        <v>5</v>
      </c>
      <c r="M268" s="6">
        <v>6000</v>
      </c>
      <c r="N268" s="6">
        <v>6.82</v>
      </c>
      <c r="O268" s="6">
        <v>159</v>
      </c>
      <c r="P268" s="6" t="s">
        <v>2368</v>
      </c>
      <c r="Q268" s="6">
        <f>Table2_1[[#This Row],[Specs Score]] / (Table2_1[[#This Row],[Launched Price (USA)]] ^ 0.85)</f>
        <v>0.23218859925105892</v>
      </c>
      <c r="R268" s="6">
        <f>IFERROR(Table2_1[[#This Row],[Launched Price (USA)]] / S268, "")</f>
        <v>9.2123128276140633</v>
      </c>
      <c r="S26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17.259509416939775</v>
      </c>
      <c r="T268" s="6">
        <v>2022</v>
      </c>
    </row>
    <row r="269" spans="1:20" x14ac:dyDescent="0.25">
      <c r="A269" s="6" t="s">
        <v>2041</v>
      </c>
      <c r="B269" s="6" t="s">
        <v>2095</v>
      </c>
      <c r="C26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69" s="6">
        <v>191</v>
      </c>
      <c r="E269" s="6">
        <v>8</v>
      </c>
      <c r="F269" s="6">
        <v>8</v>
      </c>
      <c r="G269" s="6">
        <v>50</v>
      </c>
      <c r="H269" s="6"/>
      <c r="I269" s="6"/>
      <c r="J269" s="6" t="s">
        <v>1536</v>
      </c>
      <c r="K269" s="6" t="s">
        <v>2439</v>
      </c>
      <c r="L269" s="6">
        <v>8</v>
      </c>
      <c r="M269" s="6">
        <v>5000</v>
      </c>
      <c r="N269" s="6">
        <v>6.6</v>
      </c>
      <c r="O269" s="6">
        <v>199</v>
      </c>
      <c r="P269" s="6" t="s">
        <v>2368</v>
      </c>
      <c r="Q269" s="6">
        <f>Table2_1[[#This Row],[Specs Score]] / (Table2_1[[#This Row],[Launched Price (USA)]] ^ 0.85)</f>
        <v>0.24517736002532778</v>
      </c>
      <c r="R269" s="6">
        <f>IFERROR(Table2_1[[#This Row],[Launched Price (USA)]] / S269, "")</f>
        <v>9.0229301853993356</v>
      </c>
      <c r="S26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22.054919622676067</v>
      </c>
      <c r="T269" s="6">
        <v>2022</v>
      </c>
    </row>
    <row r="270" spans="1:20" x14ac:dyDescent="0.25">
      <c r="A270" s="6" t="s">
        <v>2041</v>
      </c>
      <c r="B270" s="6" t="s">
        <v>2097</v>
      </c>
      <c r="C270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270" s="6">
        <v>190</v>
      </c>
      <c r="E270" s="6">
        <v>4</v>
      </c>
      <c r="F270" s="6">
        <v>8</v>
      </c>
      <c r="G270" s="6">
        <v>13</v>
      </c>
      <c r="H270" s="6"/>
      <c r="I270" s="6"/>
      <c r="J270" s="6" t="s">
        <v>2396</v>
      </c>
      <c r="K270" s="6" t="s">
        <v>2439</v>
      </c>
      <c r="L270" s="6">
        <v>2</v>
      </c>
      <c r="M270" s="6">
        <v>5000</v>
      </c>
      <c r="N270" s="6">
        <v>6.6</v>
      </c>
      <c r="O270" s="6">
        <v>139</v>
      </c>
      <c r="P270" s="6" t="s">
        <v>2368</v>
      </c>
      <c r="Q270" s="6">
        <f>Table2_1[[#This Row],[Specs Score]] / (Table2_1[[#This Row],[Launched Price (USA)]] ^ 0.85)</f>
        <v>0.19163519204924778</v>
      </c>
      <c r="R270" s="6">
        <f>IFERROR(Table2_1[[#This Row],[Launched Price (USA)]] / S270, "")</f>
        <v>10.938983160132398</v>
      </c>
      <c r="S27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12.706848339120913</v>
      </c>
      <c r="T270" s="6">
        <v>2022</v>
      </c>
    </row>
    <row r="271" spans="1:20" x14ac:dyDescent="0.25">
      <c r="A271" s="6" t="s">
        <v>2041</v>
      </c>
      <c r="B271" s="6" t="s">
        <v>2098</v>
      </c>
      <c r="C27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71" s="6">
        <v>198</v>
      </c>
      <c r="E271" s="6">
        <v>6</v>
      </c>
      <c r="F271" s="6">
        <v>8</v>
      </c>
      <c r="G271" s="6">
        <v>50</v>
      </c>
      <c r="H271" s="6"/>
      <c r="I271" s="6"/>
      <c r="J271" s="6" t="s">
        <v>2391</v>
      </c>
      <c r="K271" s="6" t="s">
        <v>2439</v>
      </c>
      <c r="L271" s="6">
        <v>12</v>
      </c>
      <c r="M271" s="6">
        <v>5000</v>
      </c>
      <c r="N271" s="6">
        <v>6.82</v>
      </c>
      <c r="O271" s="6">
        <v>199</v>
      </c>
      <c r="P271" s="6" t="s">
        <v>2368</v>
      </c>
      <c r="Q271" s="6">
        <f>Table2_1[[#This Row],[Specs Score]] / (Table2_1[[#This Row],[Launched Price (USA)]] ^ 0.85)</f>
        <v>0.23672054649406155</v>
      </c>
      <c r="R271" s="6">
        <f>IFERROR(Table2_1[[#This Row],[Launched Price (USA)]] / S271, "")</f>
        <v>9.345273299310108</v>
      </c>
      <c r="S27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21.294187299443742</v>
      </c>
      <c r="T271" s="6">
        <v>2022</v>
      </c>
    </row>
    <row r="272" spans="1:20" x14ac:dyDescent="0.25">
      <c r="A272" s="6" t="s">
        <v>2041</v>
      </c>
      <c r="B272" s="6" t="s">
        <v>2099</v>
      </c>
      <c r="C27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72" s="6">
        <v>209</v>
      </c>
      <c r="E272" s="6">
        <v>4</v>
      </c>
      <c r="F272" s="6">
        <v>8</v>
      </c>
      <c r="G272" s="6">
        <v>13</v>
      </c>
      <c r="H272" s="6"/>
      <c r="I272" s="6"/>
      <c r="J272" s="6" t="s">
        <v>2380</v>
      </c>
      <c r="K272" s="6" t="s">
        <v>2439</v>
      </c>
      <c r="L272" s="6">
        <v>6</v>
      </c>
      <c r="M272" s="6">
        <v>6000</v>
      </c>
      <c r="N272" s="6">
        <v>6.82</v>
      </c>
      <c r="O272" s="6">
        <v>159</v>
      </c>
      <c r="P272" s="6" t="s">
        <v>2368</v>
      </c>
      <c r="Q272" s="6">
        <f>Table2_1[[#This Row],[Specs Score]] / (Table2_1[[#This Row],[Launched Price (USA)]] ^ 0.85)</f>
        <v>0.23558576908033635</v>
      </c>
      <c r="R272" s="6">
        <f>IFERROR(Table2_1[[#This Row],[Launched Price (USA)]] / S272, "")</f>
        <v>9.0794703757206126</v>
      </c>
      <c r="S27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17.512034669465024</v>
      </c>
      <c r="T272" s="6">
        <v>2022</v>
      </c>
    </row>
    <row r="273" spans="1:20" x14ac:dyDescent="0.25">
      <c r="A273" s="6" t="s">
        <v>2041</v>
      </c>
      <c r="B273" s="6" t="s">
        <v>2100</v>
      </c>
      <c r="C27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73" s="6">
        <v>202</v>
      </c>
      <c r="E273" s="6">
        <v>8</v>
      </c>
      <c r="F273" s="6">
        <v>8</v>
      </c>
      <c r="G273" s="6">
        <v>50</v>
      </c>
      <c r="H273" s="6"/>
      <c r="I273" s="6"/>
      <c r="J273" s="6" t="s">
        <v>2397</v>
      </c>
      <c r="K273" s="6" t="s">
        <v>2439</v>
      </c>
      <c r="L273" s="6">
        <v>20</v>
      </c>
      <c r="M273" s="6">
        <v>5000</v>
      </c>
      <c r="N273" s="6">
        <v>6.78</v>
      </c>
      <c r="O273" s="6">
        <v>219</v>
      </c>
      <c r="P273" s="6" t="s">
        <v>2368</v>
      </c>
      <c r="Q273" s="6">
        <f>Table2_1[[#This Row],[Specs Score]] / (Table2_1[[#This Row],[Launched Price (USA)]] ^ 0.85)</f>
        <v>0.25898495384113068</v>
      </c>
      <c r="R273" s="6">
        <f>IFERROR(Table2_1[[#This Row],[Launched Price (USA)]] / S273, "")</f>
        <v>8.6654692099105795</v>
      </c>
      <c r="S27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25.272722652979098</v>
      </c>
      <c r="T273" s="6">
        <v>2022</v>
      </c>
    </row>
    <row r="274" spans="1:20" x14ac:dyDescent="0.25">
      <c r="A274" s="6" t="s">
        <v>2041</v>
      </c>
      <c r="B274" s="6" t="s">
        <v>2102</v>
      </c>
      <c r="C274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274" s="6">
        <v>195</v>
      </c>
      <c r="E274" s="6">
        <v>4</v>
      </c>
      <c r="F274" s="6">
        <v>8</v>
      </c>
      <c r="G274" s="6">
        <v>13</v>
      </c>
      <c r="H274" s="6"/>
      <c r="I274" s="6"/>
      <c r="J274" s="6" t="s">
        <v>2398</v>
      </c>
      <c r="K274" s="6" t="s">
        <v>2439</v>
      </c>
      <c r="L274" s="6">
        <v>3</v>
      </c>
      <c r="M274" s="6">
        <v>5000</v>
      </c>
      <c r="N274" s="6">
        <v>6.6</v>
      </c>
      <c r="O274" s="6">
        <v>139</v>
      </c>
      <c r="P274" s="6" t="s">
        <v>2368</v>
      </c>
      <c r="Q274" s="6">
        <f>Table2_1[[#This Row],[Specs Score]] / (Table2_1[[#This Row],[Launched Price (USA)]] ^ 0.85)</f>
        <v>0.19544358922008467</v>
      </c>
      <c r="R274" s="6">
        <f>IFERROR(Table2_1[[#This Row],[Launched Price (USA)]] / S274, "")</f>
        <v>10.725827063863779</v>
      </c>
      <c r="S27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12.959373591646166</v>
      </c>
      <c r="T274" s="6">
        <v>2022</v>
      </c>
    </row>
    <row r="275" spans="1:20" x14ac:dyDescent="0.25">
      <c r="A275" s="6" t="s">
        <v>2041</v>
      </c>
      <c r="B275" s="6" t="s">
        <v>2103</v>
      </c>
      <c r="C27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75" s="6">
        <v>205</v>
      </c>
      <c r="E275" s="6">
        <v>4</v>
      </c>
      <c r="F275" s="6">
        <v>8</v>
      </c>
      <c r="G275" s="6">
        <v>48</v>
      </c>
      <c r="H275" s="6"/>
      <c r="I275" s="6"/>
      <c r="J275" s="6" t="s">
        <v>2399</v>
      </c>
      <c r="K275" s="6" t="s">
        <v>2439</v>
      </c>
      <c r="L275" s="6">
        <v>8</v>
      </c>
      <c r="M275" s="6">
        <v>5000</v>
      </c>
      <c r="N275" s="6">
        <v>6.82</v>
      </c>
      <c r="O275" s="6">
        <v>149</v>
      </c>
      <c r="P275" s="6" t="s">
        <v>2368</v>
      </c>
      <c r="Q275" s="6">
        <f>Table2_1[[#This Row],[Specs Score]] / (Table2_1[[#This Row],[Launched Price (USA)]] ^ 0.85)</f>
        <v>0.25847700457075673</v>
      </c>
      <c r="R275" s="6">
        <f>IFERROR(Table2_1[[#This Row],[Launched Price (USA)]] / S275, "")</f>
        <v>8.1951334145361532</v>
      </c>
      <c r="S27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18.181522186778633</v>
      </c>
      <c r="T275" s="6">
        <v>2021</v>
      </c>
    </row>
    <row r="276" spans="1:20" x14ac:dyDescent="0.25">
      <c r="A276" s="6" t="s">
        <v>2041</v>
      </c>
      <c r="B276" s="6" t="s">
        <v>2105</v>
      </c>
      <c r="C27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76" s="6">
        <v>211</v>
      </c>
      <c r="E276" s="6">
        <v>6</v>
      </c>
      <c r="F276" s="6">
        <v>8</v>
      </c>
      <c r="G276" s="6">
        <v>48</v>
      </c>
      <c r="H276" s="6"/>
      <c r="I276" s="6"/>
      <c r="J276" s="6" t="s">
        <v>2391</v>
      </c>
      <c r="K276" s="6" t="s">
        <v>2439</v>
      </c>
      <c r="L276" s="6">
        <v>12</v>
      </c>
      <c r="M276" s="6">
        <v>6000</v>
      </c>
      <c r="N276" s="6">
        <v>6.82</v>
      </c>
      <c r="O276" s="6">
        <v>169</v>
      </c>
      <c r="P276" s="6" t="s">
        <v>2368</v>
      </c>
      <c r="Q276" s="6">
        <f>Table2_1[[#This Row],[Specs Score]] / (Table2_1[[#This Row],[Launched Price (USA)]] ^ 0.85)</f>
        <v>0.29150842127239468</v>
      </c>
      <c r="R276" s="6">
        <f>IFERROR(Table2_1[[#This Row],[Launched Price (USA)]] / S276, "")</f>
        <v>7.4051165829081356</v>
      </c>
      <c r="S27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22.822057979488335</v>
      </c>
      <c r="T276" s="6">
        <v>2021</v>
      </c>
    </row>
    <row r="277" spans="1:20" x14ac:dyDescent="0.25">
      <c r="A277" s="6" t="s">
        <v>2041</v>
      </c>
      <c r="B277" s="6" t="s">
        <v>2107</v>
      </c>
      <c r="C27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77" s="6">
        <v>211</v>
      </c>
      <c r="E277" s="6">
        <v>6</v>
      </c>
      <c r="F277" s="6">
        <v>8</v>
      </c>
      <c r="G277" s="6">
        <v>48</v>
      </c>
      <c r="H277" s="6"/>
      <c r="I277" s="6"/>
      <c r="J277" s="6" t="s">
        <v>2391</v>
      </c>
      <c r="K277" s="6" t="s">
        <v>2439</v>
      </c>
      <c r="L277" s="6">
        <v>12</v>
      </c>
      <c r="M277" s="6">
        <v>6000</v>
      </c>
      <c r="N277" s="6">
        <v>6.82</v>
      </c>
      <c r="O277" s="6">
        <v>179</v>
      </c>
      <c r="P277" s="6" t="s">
        <v>2368</v>
      </c>
      <c r="Q277" s="6">
        <f>Table2_1[[#This Row],[Specs Score]] / (Table2_1[[#This Row],[Launched Price (USA)]] ^ 0.85)</f>
        <v>0.27760656223696623</v>
      </c>
      <c r="R277" s="6">
        <f>IFERROR(Table2_1[[#This Row],[Launched Price (USA)]] / S277, "")</f>
        <v>7.843289161778439</v>
      </c>
      <c r="S27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22.822057979488335</v>
      </c>
      <c r="T277" s="6">
        <v>2021</v>
      </c>
    </row>
    <row r="278" spans="1:20" x14ac:dyDescent="0.25">
      <c r="A278" s="6" t="s">
        <v>2041</v>
      </c>
      <c r="B278" s="6" t="s">
        <v>2108</v>
      </c>
      <c r="C278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278" s="6">
        <v>195</v>
      </c>
      <c r="E278" s="6">
        <v>3</v>
      </c>
      <c r="F278" s="6">
        <v>8</v>
      </c>
      <c r="G278" s="6">
        <v>13</v>
      </c>
      <c r="H278" s="6"/>
      <c r="I278" s="6"/>
      <c r="J278" s="6" t="s">
        <v>2400</v>
      </c>
      <c r="K278" s="6" t="s">
        <v>2439</v>
      </c>
      <c r="L278" s="6">
        <v>3</v>
      </c>
      <c r="M278" s="6">
        <v>5000</v>
      </c>
      <c r="N278" s="6">
        <v>6.6</v>
      </c>
      <c r="O278" s="6">
        <v>109</v>
      </c>
      <c r="P278" s="6" t="s">
        <v>2368</v>
      </c>
      <c r="Q278" s="6">
        <f>Table2_1[[#This Row],[Specs Score]] / (Table2_1[[#This Row],[Launched Price (USA)]] ^ 0.85)</f>
        <v>0.22176648323866804</v>
      </c>
      <c r="R278" s="6">
        <f>IFERROR(Table2_1[[#This Row],[Launched Price (USA)]] / S278, "")</f>
        <v>9.1141897328250057</v>
      </c>
      <c r="S27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11.959373591646166</v>
      </c>
      <c r="T278" s="6">
        <v>2020</v>
      </c>
    </row>
    <row r="279" spans="1:20" x14ac:dyDescent="0.25">
      <c r="A279" s="6" t="s">
        <v>2041</v>
      </c>
      <c r="B279" s="6" t="s">
        <v>2113</v>
      </c>
      <c r="C279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279" s="6">
        <v>207</v>
      </c>
      <c r="E279" s="6">
        <v>4</v>
      </c>
      <c r="F279" s="6">
        <v>8</v>
      </c>
      <c r="G279" s="6">
        <v>13</v>
      </c>
      <c r="H279" s="6"/>
      <c r="I279" s="6"/>
      <c r="J279" s="6" t="s">
        <v>2398</v>
      </c>
      <c r="K279" s="6" t="s">
        <v>2439</v>
      </c>
      <c r="L279" s="6">
        <v>3</v>
      </c>
      <c r="M279" s="6">
        <v>6000</v>
      </c>
      <c r="N279" s="6">
        <v>6.82</v>
      </c>
      <c r="O279" s="6">
        <v>139</v>
      </c>
      <c r="P279" s="6" t="s">
        <v>2368</v>
      </c>
      <c r="Q279" s="6">
        <f>Table2_1[[#This Row],[Specs Score]] / (Table2_1[[#This Row],[Launched Price (USA)]] ^ 0.85)</f>
        <v>0.22348870877737043</v>
      </c>
      <c r="R279" s="6">
        <f>IFERROR(Table2_1[[#This Row],[Launched Price (USA)]] / S279, "")</f>
        <v>9.3798659904724548</v>
      </c>
      <c r="S27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14.818975040921529</v>
      </c>
      <c r="T279" s="6">
        <v>2021</v>
      </c>
    </row>
    <row r="280" spans="1:20" x14ac:dyDescent="0.25">
      <c r="A280" s="6" t="s">
        <v>2041</v>
      </c>
      <c r="B280" s="6" t="s">
        <v>2114</v>
      </c>
      <c r="C28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80" s="6">
        <v>201</v>
      </c>
      <c r="E280" s="6">
        <v>4</v>
      </c>
      <c r="F280" s="6">
        <v>8</v>
      </c>
      <c r="G280" s="6">
        <v>13</v>
      </c>
      <c r="H280" s="6"/>
      <c r="I280" s="6"/>
      <c r="J280" s="6" t="s">
        <v>2399</v>
      </c>
      <c r="K280" s="6" t="s">
        <v>2439</v>
      </c>
      <c r="L280" s="6">
        <v>8</v>
      </c>
      <c r="M280" s="6">
        <v>5200</v>
      </c>
      <c r="N280" s="6">
        <v>6.6</v>
      </c>
      <c r="O280" s="6">
        <v>159</v>
      </c>
      <c r="P280" s="6" t="s">
        <v>2368</v>
      </c>
      <c r="Q280" s="6">
        <f>Table2_1[[#This Row],[Specs Score]] / (Table2_1[[#This Row],[Launched Price (USA)]] ^ 0.85)</f>
        <v>0.22175005643542356</v>
      </c>
      <c r="R280" s="6">
        <f>IFERROR(Table2_1[[#This Row],[Launched Price (USA)]] / S280, "")</f>
        <v>9.6459682837969112</v>
      </c>
      <c r="S28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16.483570681761908</v>
      </c>
      <c r="T280" s="6">
        <v>2021</v>
      </c>
    </row>
    <row r="281" spans="1:20" x14ac:dyDescent="0.25">
      <c r="A281" s="6" t="s">
        <v>2041</v>
      </c>
      <c r="B281" s="6" t="s">
        <v>2115</v>
      </c>
      <c r="C28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81" s="6">
        <v>209</v>
      </c>
      <c r="E281" s="6">
        <v>4</v>
      </c>
      <c r="F281" s="6">
        <v>8</v>
      </c>
      <c r="G281" s="6">
        <v>13</v>
      </c>
      <c r="H281" s="6"/>
      <c r="I281" s="6"/>
      <c r="J281" s="6" t="s">
        <v>2401</v>
      </c>
      <c r="K281" s="6" t="s">
        <v>2439</v>
      </c>
      <c r="L281" s="6">
        <v>4</v>
      </c>
      <c r="M281" s="6">
        <v>6000</v>
      </c>
      <c r="N281" s="6">
        <v>6.82</v>
      </c>
      <c r="O281" s="6">
        <v>169</v>
      </c>
      <c r="P281" s="6" t="s">
        <v>2368</v>
      </c>
      <c r="Q281" s="6">
        <f>Table2_1[[#This Row],[Specs Score]] / (Table2_1[[#This Row],[Launched Price (USA)]] ^ 0.85)</f>
        <v>0.21723190383745766</v>
      </c>
      <c r="R281" s="6">
        <f>IFERROR(Table2_1[[#This Row],[Launched Price (USA)]] / S281, "")</f>
        <v>9.9370939824602313</v>
      </c>
      <c r="S28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17.006984164414522</v>
      </c>
      <c r="T281" s="6">
        <v>2021</v>
      </c>
    </row>
    <row r="282" spans="1:20" x14ac:dyDescent="0.25">
      <c r="A282" s="6" t="s">
        <v>2041</v>
      </c>
      <c r="B282" s="6" t="s">
        <v>2117</v>
      </c>
      <c r="C28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82" s="6">
        <v>205</v>
      </c>
      <c r="E282" s="6">
        <v>6</v>
      </c>
      <c r="F282" s="6">
        <v>8</v>
      </c>
      <c r="G282" s="6">
        <v>50</v>
      </c>
      <c r="H282" s="6"/>
      <c r="I282" s="6"/>
      <c r="J282" s="6" t="s">
        <v>2394</v>
      </c>
      <c r="K282" s="6" t="s">
        <v>2439</v>
      </c>
      <c r="L282" s="6">
        <v>14</v>
      </c>
      <c r="M282" s="6">
        <v>5000</v>
      </c>
      <c r="N282" s="6">
        <v>6.78</v>
      </c>
      <c r="O282" s="6">
        <v>189</v>
      </c>
      <c r="P282" s="6" t="s">
        <v>2368</v>
      </c>
      <c r="Q282" s="6">
        <f>Table2_1[[#This Row],[Specs Score]] / (Table2_1[[#This Row],[Launched Price (USA)]] ^ 0.85)</f>
        <v>0.25270735292917251</v>
      </c>
      <c r="R282" s="6">
        <f>IFERROR(Table2_1[[#This Row],[Launched Price (USA)]] / S282, "")</f>
        <v>8.6866313708797094</v>
      </c>
      <c r="S28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21.757571137827583</v>
      </c>
      <c r="T282" s="6">
        <v>2021</v>
      </c>
    </row>
    <row r="283" spans="1:20" x14ac:dyDescent="0.25">
      <c r="A283" s="6" t="s">
        <v>2041</v>
      </c>
      <c r="B283" s="6" t="s">
        <v>2118</v>
      </c>
      <c r="C283" s="6">
        <f>IF(ISNUMBER(SEARCH("GB", Table2_1[[#This Row],[Model Name]])), IFERROR(VALUE(TRIM(RIGHT(SUBSTITUTE(LEFT(Table2_1[[#This Row],[Model Name]], SEARCH("GB", Table2_1[[#This Row],[Model Name]])-1), " ", REPT(" ", 100)), 100))), 128), 128)</f>
        <v>32</v>
      </c>
      <c r="D283" s="6">
        <v>195</v>
      </c>
      <c r="E283" s="6">
        <v>2</v>
      </c>
      <c r="F283" s="6">
        <v>5</v>
      </c>
      <c r="G283" s="6">
        <v>8</v>
      </c>
      <c r="H283" s="6"/>
      <c r="I283" s="6"/>
      <c r="J283" s="6" t="s">
        <v>2402</v>
      </c>
      <c r="K283" s="6" t="s">
        <v>2439</v>
      </c>
      <c r="L283" s="6">
        <v>1</v>
      </c>
      <c r="M283" s="6">
        <v>5000</v>
      </c>
      <c r="N283" s="6">
        <v>6.1</v>
      </c>
      <c r="O283" s="6">
        <v>79</v>
      </c>
      <c r="P283" s="6" t="s">
        <v>2368</v>
      </c>
      <c r="Q283" s="6">
        <f>Table2_1[[#This Row],[Specs Score]] / (Table2_1[[#This Row],[Launched Price (USA)]] ^ 0.85)</f>
        <v>0.19971561179135114</v>
      </c>
      <c r="R283" s="6">
        <f>IFERROR(Table2_1[[#This Row],[Launched Price (USA)]] / S283, "")</f>
        <v>9.643441464105857</v>
      </c>
      <c r="S28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8.1920961820578544</v>
      </c>
      <c r="T283" s="6">
        <v>2020</v>
      </c>
    </row>
    <row r="284" spans="1:20" x14ac:dyDescent="0.25">
      <c r="A284" s="6" t="s">
        <v>2041</v>
      </c>
      <c r="B284" s="6" t="s">
        <v>2125</v>
      </c>
      <c r="C28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84" s="6">
        <v>210</v>
      </c>
      <c r="E284" s="6">
        <v>6</v>
      </c>
      <c r="F284" s="6">
        <v>8</v>
      </c>
      <c r="G284" s="6">
        <v>48</v>
      </c>
      <c r="H284" s="6"/>
      <c r="I284" s="6"/>
      <c r="J284" s="6" t="s">
        <v>2385</v>
      </c>
      <c r="K284" s="6" t="s">
        <v>2439</v>
      </c>
      <c r="L284" s="6">
        <v>10</v>
      </c>
      <c r="M284" s="6">
        <v>5200</v>
      </c>
      <c r="N284" s="6">
        <v>6.78</v>
      </c>
      <c r="O284" s="6">
        <v>199</v>
      </c>
      <c r="P284" s="6" t="s">
        <v>2368</v>
      </c>
      <c r="Q284" s="6">
        <f>Table2_1[[#This Row],[Specs Score]] / (Table2_1[[#This Row],[Launched Price (USA)]] ^ 0.85)</f>
        <v>0.2331277005005537</v>
      </c>
      <c r="R284" s="6">
        <f>IFERROR(Table2_1[[#This Row],[Launched Price (USA)]] / S284, "")</f>
        <v>9.4892979161169908</v>
      </c>
      <c r="S28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20.970992981684208</v>
      </c>
      <c r="T284" s="6">
        <v>2020</v>
      </c>
    </row>
    <row r="285" spans="1:20" x14ac:dyDescent="0.25">
      <c r="A285" s="6" t="s">
        <v>2041</v>
      </c>
      <c r="B285" s="6" t="s">
        <v>2108</v>
      </c>
      <c r="C285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285" s="6">
        <v>195</v>
      </c>
      <c r="E285" s="6">
        <v>3</v>
      </c>
      <c r="F285" s="6">
        <v>8</v>
      </c>
      <c r="G285" s="6">
        <v>13</v>
      </c>
      <c r="H285" s="6"/>
      <c r="I285" s="6"/>
      <c r="J285" s="6" t="s">
        <v>2400</v>
      </c>
      <c r="K285" s="6" t="s">
        <v>2439</v>
      </c>
      <c r="L285" s="6">
        <v>3</v>
      </c>
      <c r="M285" s="6">
        <v>5000</v>
      </c>
      <c r="N285" s="6">
        <v>6.6</v>
      </c>
      <c r="O285" s="6">
        <v>109</v>
      </c>
      <c r="P285" s="6" t="s">
        <v>2368</v>
      </c>
      <c r="Q285" s="6">
        <f>Table2_1[[#This Row],[Specs Score]] / (Table2_1[[#This Row],[Launched Price (USA)]] ^ 0.85)</f>
        <v>0.22176648323866804</v>
      </c>
      <c r="R285" s="6">
        <f>IFERROR(Table2_1[[#This Row],[Launched Price (USA)]] / S285, "")</f>
        <v>9.1141897328250057</v>
      </c>
      <c r="S28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11.959373591646166</v>
      </c>
      <c r="T285" s="6">
        <v>2020</v>
      </c>
    </row>
    <row r="286" spans="1:20" x14ac:dyDescent="0.25">
      <c r="A286" s="6" t="s">
        <v>2041</v>
      </c>
      <c r="B286" s="6" t="s">
        <v>2126</v>
      </c>
      <c r="C28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86" s="6">
        <v>210</v>
      </c>
      <c r="E286" s="6">
        <v>6</v>
      </c>
      <c r="F286" s="6">
        <v>16</v>
      </c>
      <c r="G286" s="6">
        <v>64</v>
      </c>
      <c r="H286" s="6"/>
      <c r="I286" s="6"/>
      <c r="J286" s="6" t="s">
        <v>2385</v>
      </c>
      <c r="K286" s="6" t="s">
        <v>2439</v>
      </c>
      <c r="L286" s="6">
        <v>10</v>
      </c>
      <c r="M286" s="6">
        <v>5200</v>
      </c>
      <c r="N286" s="6">
        <v>6.95</v>
      </c>
      <c r="O286" s="6">
        <v>229</v>
      </c>
      <c r="P286" s="6" t="s">
        <v>2368</v>
      </c>
      <c r="Q286" s="6">
        <f>Table2_1[[#This Row],[Specs Score]] / (Table2_1[[#This Row],[Launched Price (USA)]] ^ 0.85)</f>
        <v>0.23034970207308109</v>
      </c>
      <c r="R286" s="6">
        <f>IFERROR(Table2_1[[#This Row],[Launched Price (USA)]] / S286, "")</f>
        <v>9.8081628367747768</v>
      </c>
      <c r="S28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23.347899480357952</v>
      </c>
      <c r="T286" s="6">
        <v>2020</v>
      </c>
    </row>
    <row r="287" spans="1:20" x14ac:dyDescent="0.25">
      <c r="A287" s="6" t="s">
        <v>2041</v>
      </c>
      <c r="B287" s="6" t="s">
        <v>2128</v>
      </c>
      <c r="C28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87" s="6">
        <v>210</v>
      </c>
      <c r="E287" s="6">
        <v>8</v>
      </c>
      <c r="F287" s="6">
        <v>16</v>
      </c>
      <c r="G287" s="6">
        <v>48</v>
      </c>
      <c r="H287" s="6"/>
      <c r="I287" s="6"/>
      <c r="J287" s="6" t="s">
        <v>2403</v>
      </c>
      <c r="K287" s="6" t="s">
        <v>2439</v>
      </c>
      <c r="L287" s="6">
        <v>15</v>
      </c>
      <c r="M287" s="6">
        <v>4500</v>
      </c>
      <c r="N287" s="6">
        <v>6.85</v>
      </c>
      <c r="O287" s="6">
        <v>249</v>
      </c>
      <c r="P287" s="6" t="s">
        <v>2368</v>
      </c>
      <c r="Q287" s="6">
        <f>Table2_1[[#This Row],[Specs Score]] / (Table2_1[[#This Row],[Launched Price (USA)]] ^ 0.85)</f>
        <v>0.22552021969340008</v>
      </c>
      <c r="R287" s="6">
        <f>IFERROR(Table2_1[[#This Row],[Launched Price (USA)]] / S287, "")</f>
        <v>10.14482164440226</v>
      </c>
      <c r="S28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24.544541907978633</v>
      </c>
      <c r="T287" s="6">
        <v>2020</v>
      </c>
    </row>
    <row r="288" spans="1:20" x14ac:dyDescent="0.25">
      <c r="A288" s="6" t="s">
        <v>2041</v>
      </c>
      <c r="B288" s="6" t="s">
        <v>2131</v>
      </c>
      <c r="C28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88" s="6">
        <v>204</v>
      </c>
      <c r="E288" s="6">
        <v>4</v>
      </c>
      <c r="F288" s="6">
        <v>8</v>
      </c>
      <c r="G288" s="6">
        <v>16</v>
      </c>
      <c r="H288" s="6"/>
      <c r="I288" s="6"/>
      <c r="J288" s="6" t="s">
        <v>2399</v>
      </c>
      <c r="K288" s="6" t="s">
        <v>2439</v>
      </c>
      <c r="L288" s="6">
        <v>8</v>
      </c>
      <c r="M288" s="6">
        <v>5200</v>
      </c>
      <c r="N288" s="6">
        <v>6.78</v>
      </c>
      <c r="O288" s="6">
        <v>159</v>
      </c>
      <c r="P288" s="6" t="s">
        <v>2368</v>
      </c>
      <c r="Q288" s="6">
        <f>Table2_1[[#This Row],[Specs Score]] / (Table2_1[[#This Row],[Launched Price (USA)]] ^ 0.85)</f>
        <v>0.22634211542196037</v>
      </c>
      <c r="R288" s="6">
        <f>IFERROR(Table2_1[[#This Row],[Launched Price (USA)]] / S288, "")</f>
        <v>9.4502695944085868</v>
      </c>
      <c r="S28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16.824916835608061</v>
      </c>
      <c r="T288" s="6">
        <v>2020</v>
      </c>
    </row>
    <row r="289" spans="1:20" x14ac:dyDescent="0.25">
      <c r="A289" s="6" t="s">
        <v>2041</v>
      </c>
      <c r="B289" s="6" t="s">
        <v>2132</v>
      </c>
      <c r="C28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89" s="6">
        <v>205</v>
      </c>
      <c r="E289" s="6">
        <v>8</v>
      </c>
      <c r="F289" s="6">
        <v>48</v>
      </c>
      <c r="G289" s="6">
        <v>64</v>
      </c>
      <c r="H289" s="6"/>
      <c r="I289" s="6"/>
      <c r="J289" s="6" t="s">
        <v>2403</v>
      </c>
      <c r="K289" s="6" t="s">
        <v>2439</v>
      </c>
      <c r="L289" s="6">
        <v>15</v>
      </c>
      <c r="M289" s="6">
        <v>4500</v>
      </c>
      <c r="N289" s="6">
        <v>6.85</v>
      </c>
      <c r="O289" s="6">
        <v>279</v>
      </c>
      <c r="P289" s="6" t="s">
        <v>2368</v>
      </c>
      <c r="Q289" s="6">
        <f>Table2_1[[#This Row],[Specs Score]] / (Table2_1[[#This Row],[Launched Price (USA)]] ^ 0.85)</f>
        <v>0.25760008975267096</v>
      </c>
      <c r="R289" s="6">
        <f>IFERROR(Table2_1[[#This Row],[Launched Price (USA)]] / S289, "")</f>
        <v>9.0343023402821458</v>
      </c>
      <c r="S28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30.8822961078018</v>
      </c>
      <c r="T289" s="6">
        <v>2020</v>
      </c>
    </row>
    <row r="290" spans="1:20" x14ac:dyDescent="0.25">
      <c r="A290" s="6" t="s">
        <v>2041</v>
      </c>
      <c r="B290" s="6" t="s">
        <v>2133</v>
      </c>
      <c r="C290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290" s="6">
        <v>195</v>
      </c>
      <c r="E290" s="6">
        <v>3</v>
      </c>
      <c r="F290" s="6">
        <v>8</v>
      </c>
      <c r="G290" s="6">
        <v>13</v>
      </c>
      <c r="H290" s="6"/>
      <c r="I290" s="6"/>
      <c r="J290" s="6" t="s">
        <v>2402</v>
      </c>
      <c r="K290" s="6" t="s">
        <v>2439</v>
      </c>
      <c r="L290" s="6">
        <v>1</v>
      </c>
      <c r="M290" s="6">
        <v>5000</v>
      </c>
      <c r="N290" s="6">
        <v>6.6</v>
      </c>
      <c r="O290" s="6">
        <v>99</v>
      </c>
      <c r="P290" s="6" t="s">
        <v>2368</v>
      </c>
      <c r="Q290" s="6">
        <f>Table2_1[[#This Row],[Specs Score]] / (Table2_1[[#This Row],[Launched Price (USA)]] ^ 0.85)</f>
        <v>0.23050455583619886</v>
      </c>
      <c r="R290" s="6">
        <f>IFERROR(Table2_1[[#This Row],[Launched Price (USA)]] / S290, "")</f>
        <v>8.6430249305481901</v>
      </c>
      <c r="S29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11.454323086595661</v>
      </c>
      <c r="T290" s="6">
        <v>2020</v>
      </c>
    </row>
    <row r="291" spans="1:20" x14ac:dyDescent="0.25">
      <c r="A291" s="6" t="s">
        <v>2041</v>
      </c>
      <c r="B291" s="6" t="s">
        <v>2048</v>
      </c>
      <c r="C29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91" s="6">
        <v>480</v>
      </c>
      <c r="E291" s="6">
        <v>12</v>
      </c>
      <c r="F291" s="6">
        <v>32</v>
      </c>
      <c r="G291" s="6">
        <v>50</v>
      </c>
      <c r="H291" s="6"/>
      <c r="I291" s="6"/>
      <c r="J291" s="6" t="s">
        <v>1203</v>
      </c>
      <c r="K291" s="6" t="s">
        <v>2437</v>
      </c>
      <c r="L291" s="6">
        <v>95</v>
      </c>
      <c r="M291" s="6">
        <v>9000</v>
      </c>
      <c r="N291" s="6">
        <v>11</v>
      </c>
      <c r="O291" s="6">
        <v>549</v>
      </c>
      <c r="P291" s="6" t="s">
        <v>2369</v>
      </c>
      <c r="Q291" s="6">
        <f>Table2_1[[#This Row],[Specs Score]] / (Table2_1[[#This Row],[Launched Price (USA)]] ^ 0.85)</f>
        <v>0.29685543546293519</v>
      </c>
      <c r="R291" s="6">
        <f>IFERROR(Table2_1[[#This Row],[Launched Price (USA)]] / S291, "")</f>
        <v>8.6774245532488479</v>
      </c>
      <c r="S29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63.267620090623907</v>
      </c>
      <c r="T291" s="6">
        <v>2024</v>
      </c>
    </row>
    <row r="292" spans="1:20" x14ac:dyDescent="0.25">
      <c r="A292" s="6" t="s">
        <v>2041</v>
      </c>
      <c r="B292" s="6" t="s">
        <v>2057</v>
      </c>
      <c r="C29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92" s="6">
        <v>196</v>
      </c>
      <c r="E292" s="6">
        <v>12</v>
      </c>
      <c r="F292" s="6">
        <v>32</v>
      </c>
      <c r="G292" s="6">
        <v>108</v>
      </c>
      <c r="H292" s="6"/>
      <c r="I292" s="6"/>
      <c r="J292" s="6" t="s">
        <v>1203</v>
      </c>
      <c r="K292" s="6" t="s">
        <v>2437</v>
      </c>
      <c r="L292" s="6">
        <v>95</v>
      </c>
      <c r="M292" s="6">
        <v>5300</v>
      </c>
      <c r="N292" s="6">
        <v>6.9</v>
      </c>
      <c r="O292" s="6">
        <v>379</v>
      </c>
      <c r="P292" s="6" t="s">
        <v>2368</v>
      </c>
      <c r="Q292" s="6">
        <f>Table2_1[[#This Row],[Specs Score]] / (Table2_1[[#This Row],[Launched Price (USA)]] ^ 0.85)</f>
        <v>0.35963982327285499</v>
      </c>
      <c r="R292" s="6">
        <f>IFERROR(Table2_1[[#This Row],[Launched Price (USA)]] / S292, "")</f>
        <v>6.7752933859551447</v>
      </c>
      <c r="S29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55.938537035997385</v>
      </c>
      <c r="T292" s="6">
        <v>2024</v>
      </c>
    </row>
    <row r="293" spans="1:20" x14ac:dyDescent="0.25">
      <c r="A293" s="6" t="s">
        <v>2041</v>
      </c>
      <c r="B293" s="6" t="s">
        <v>2064</v>
      </c>
      <c r="C29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93" s="6">
        <v>195</v>
      </c>
      <c r="E293" s="6">
        <v>12</v>
      </c>
      <c r="F293" s="6">
        <v>32</v>
      </c>
      <c r="G293" s="6">
        <v>108</v>
      </c>
      <c r="H293" s="6"/>
      <c r="I293" s="6"/>
      <c r="J293" s="6" t="s">
        <v>2379</v>
      </c>
      <c r="K293" s="6" t="s">
        <v>2437</v>
      </c>
      <c r="L293" s="6">
        <v>90</v>
      </c>
      <c r="M293" s="6">
        <v>5300</v>
      </c>
      <c r="N293" s="6">
        <v>6.8</v>
      </c>
      <c r="O293" s="6">
        <v>399</v>
      </c>
      <c r="P293" s="6" t="s">
        <v>2368</v>
      </c>
      <c r="Q293" s="6">
        <f>Table2_1[[#This Row],[Specs Score]] / (Table2_1[[#This Row],[Launched Price (USA)]] ^ 0.85)</f>
        <v>0.33584653555969735</v>
      </c>
      <c r="R293" s="6">
        <f>IFERROR(Table2_1[[#This Row],[Launched Price (USA)]] / S293, "")</f>
        <v>7.3114760492139101</v>
      </c>
      <c r="S29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54.571744106704458</v>
      </c>
      <c r="T293" s="6">
        <v>2024</v>
      </c>
    </row>
    <row r="294" spans="1:20" x14ac:dyDescent="0.25">
      <c r="A294" s="6" t="s">
        <v>2041</v>
      </c>
      <c r="B294" s="6" t="s">
        <v>2066</v>
      </c>
      <c r="C29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94" s="6">
        <v>196</v>
      </c>
      <c r="E294" s="6">
        <v>12</v>
      </c>
      <c r="F294" s="6">
        <v>32</v>
      </c>
      <c r="G294" s="6">
        <v>108</v>
      </c>
      <c r="H294" s="6"/>
      <c r="I294" s="6"/>
      <c r="J294" s="6" t="s">
        <v>1203</v>
      </c>
      <c r="K294" s="6" t="s">
        <v>2437</v>
      </c>
      <c r="L294" s="6">
        <v>95</v>
      </c>
      <c r="M294" s="6">
        <v>5500</v>
      </c>
      <c r="N294" s="6">
        <v>6.9</v>
      </c>
      <c r="O294" s="6">
        <v>449</v>
      </c>
      <c r="P294" s="6" t="s">
        <v>2368</v>
      </c>
      <c r="Q294" s="6">
        <f>Table2_1[[#This Row],[Specs Score]] / (Table2_1[[#This Row],[Launched Price (USA)]] ^ 0.85)</f>
        <v>0.31320308493147475</v>
      </c>
      <c r="R294" s="6">
        <f>IFERROR(Table2_1[[#This Row],[Launched Price (USA)]] / S294, "")</f>
        <v>7.9801475267958519</v>
      </c>
      <c r="S29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56.26462399251912</v>
      </c>
      <c r="T294" s="6">
        <v>2024</v>
      </c>
    </row>
    <row r="295" spans="1:20" x14ac:dyDescent="0.25">
      <c r="A295" s="6" t="s">
        <v>2041</v>
      </c>
      <c r="B295" s="6" t="s">
        <v>2044</v>
      </c>
      <c r="C29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95" s="6">
        <v>470</v>
      </c>
      <c r="E295" s="6">
        <v>8</v>
      </c>
      <c r="F295" s="6">
        <v>16</v>
      </c>
      <c r="G295" s="6">
        <v>50</v>
      </c>
      <c r="H295" s="6"/>
      <c r="I295" s="6"/>
      <c r="J295" s="6" t="s">
        <v>2377</v>
      </c>
      <c r="K295" s="6" t="s">
        <v>2438</v>
      </c>
      <c r="L295" s="6">
        <v>25</v>
      </c>
      <c r="M295" s="6">
        <v>8000</v>
      </c>
      <c r="N295" s="6">
        <v>10.4</v>
      </c>
      <c r="O295" s="6">
        <v>399</v>
      </c>
      <c r="P295" s="6" t="s">
        <v>2369</v>
      </c>
      <c r="Q295" s="6">
        <f>Table2_1[[#This Row],[Specs Score]] / (Table2_1[[#This Row],[Launched Price (USA)]] ^ 0.85)</f>
        <v>0.22510166636208254</v>
      </c>
      <c r="R295" s="6">
        <f>IFERROR(Table2_1[[#This Row],[Launched Price (USA)]] / S295, "")</f>
        <v>10.908554968253313</v>
      </c>
      <c r="S29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36.57679694159237</v>
      </c>
      <c r="T295" s="6">
        <v>2024</v>
      </c>
    </row>
    <row r="296" spans="1:20" x14ac:dyDescent="0.25">
      <c r="A296" s="6" t="s">
        <v>2041</v>
      </c>
      <c r="B296" s="6" t="s">
        <v>2053</v>
      </c>
      <c r="C29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96" s="6">
        <v>195</v>
      </c>
      <c r="E296" s="6">
        <v>8</v>
      </c>
      <c r="F296" s="6">
        <v>16</v>
      </c>
      <c r="G296" s="6">
        <v>50</v>
      </c>
      <c r="H296" s="6"/>
      <c r="I296" s="6"/>
      <c r="J296" s="6" t="s">
        <v>2377</v>
      </c>
      <c r="K296" s="6" t="s">
        <v>2438</v>
      </c>
      <c r="L296" s="6">
        <v>25</v>
      </c>
      <c r="M296" s="6">
        <v>5200</v>
      </c>
      <c r="N296" s="6">
        <v>6.78</v>
      </c>
      <c r="O296" s="6">
        <v>289</v>
      </c>
      <c r="P296" s="6" t="s">
        <v>2368</v>
      </c>
      <c r="Q296" s="6">
        <f>Table2_1[[#This Row],[Specs Score]] / (Table2_1[[#This Row],[Launched Price (USA)]] ^ 0.85)</f>
        <v>0.22861935846528714</v>
      </c>
      <c r="R296" s="6">
        <f>IFERROR(Table2_1[[#This Row],[Launched Price (USA)]] / S296, "")</f>
        <v>10.233440638565536</v>
      </c>
      <c r="S29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28.240746216954683</v>
      </c>
      <c r="T296" s="6">
        <v>2024</v>
      </c>
    </row>
    <row r="297" spans="1:20" x14ac:dyDescent="0.25">
      <c r="A297" s="6" t="s">
        <v>2041</v>
      </c>
      <c r="B297" s="6" t="s">
        <v>2060</v>
      </c>
      <c r="C29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97" s="6">
        <v>198</v>
      </c>
      <c r="E297" s="6">
        <v>12</v>
      </c>
      <c r="F297" s="6">
        <v>32</v>
      </c>
      <c r="G297" s="6">
        <v>108</v>
      </c>
      <c r="H297" s="6"/>
      <c r="I297" s="6"/>
      <c r="J297" s="6" t="s">
        <v>2392</v>
      </c>
      <c r="K297" s="6" t="s">
        <v>2438</v>
      </c>
      <c r="L297" s="6">
        <v>70</v>
      </c>
      <c r="M297" s="6">
        <v>5500</v>
      </c>
      <c r="N297" s="6">
        <v>6.9</v>
      </c>
      <c r="O297" s="6">
        <v>449</v>
      </c>
      <c r="P297" s="6" t="s">
        <v>2368</v>
      </c>
      <c r="Q297" s="6">
        <f>Table2_1[[#This Row],[Specs Score]] / (Table2_1[[#This Row],[Launched Price (USA)]] ^ 0.85)</f>
        <v>0.27806036002651291</v>
      </c>
      <c r="R297" s="6">
        <f>IFERROR(Table2_1[[#This Row],[Launched Price (USA)]] / S297, "")</f>
        <v>8.9887203748222966</v>
      </c>
      <c r="S29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49.951492679387812</v>
      </c>
      <c r="T297" s="6">
        <v>2024</v>
      </c>
    </row>
    <row r="298" spans="1:20" x14ac:dyDescent="0.25">
      <c r="A298" s="6" t="s">
        <v>2041</v>
      </c>
      <c r="B298" s="6" t="s">
        <v>2061</v>
      </c>
      <c r="C29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98" s="6">
        <v>198</v>
      </c>
      <c r="E298" s="6">
        <v>8</v>
      </c>
      <c r="F298" s="6">
        <v>32</v>
      </c>
      <c r="G298" s="6">
        <v>108</v>
      </c>
      <c r="H298" s="6"/>
      <c r="I298" s="6"/>
      <c r="J298" s="6" t="s">
        <v>2393</v>
      </c>
      <c r="K298" s="6" t="s">
        <v>2438</v>
      </c>
      <c r="L298" s="6">
        <v>50</v>
      </c>
      <c r="M298" s="6">
        <v>5200</v>
      </c>
      <c r="N298" s="6">
        <v>6.8</v>
      </c>
      <c r="O298" s="6">
        <v>349</v>
      </c>
      <c r="P298" s="6" t="s">
        <v>2368</v>
      </c>
      <c r="Q298" s="6">
        <f>Table2_1[[#This Row],[Specs Score]] / (Table2_1[[#This Row],[Launched Price (USA)]] ^ 0.85)</f>
        <v>0.27796255984458274</v>
      </c>
      <c r="R298" s="6">
        <f>IFERROR(Table2_1[[#This Row],[Launched Price (USA)]] / S298, "")</f>
        <v>8.6583973289779532</v>
      </c>
      <c r="S29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40.307690527433479</v>
      </c>
      <c r="T298" s="6">
        <v>2024</v>
      </c>
    </row>
    <row r="299" spans="1:20" x14ac:dyDescent="0.25">
      <c r="A299" s="6" t="s">
        <v>2041</v>
      </c>
      <c r="B299" s="6" t="s">
        <v>2063</v>
      </c>
      <c r="C29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299" s="6">
        <v>195</v>
      </c>
      <c r="E299" s="6">
        <v>8</v>
      </c>
      <c r="F299" s="6">
        <v>32</v>
      </c>
      <c r="G299" s="6">
        <v>108</v>
      </c>
      <c r="H299" s="6"/>
      <c r="I299" s="6"/>
      <c r="J299" s="6" t="s">
        <v>1229</v>
      </c>
      <c r="K299" s="6" t="s">
        <v>2438</v>
      </c>
      <c r="L299" s="6">
        <v>65</v>
      </c>
      <c r="M299" s="6">
        <v>5200</v>
      </c>
      <c r="N299" s="6">
        <v>6.8</v>
      </c>
      <c r="O299" s="6">
        <v>319</v>
      </c>
      <c r="P299" s="6" t="s">
        <v>2368</v>
      </c>
      <c r="Q299" s="6">
        <f>Table2_1[[#This Row],[Specs Score]] / (Table2_1[[#This Row],[Launched Price (USA)]] ^ 0.85)</f>
        <v>0.3282259194119484</v>
      </c>
      <c r="R299" s="6">
        <f>IFERROR(Table2_1[[#This Row],[Launched Price (USA)]] / S299, "")</f>
        <v>7.23428691256803</v>
      </c>
      <c r="S29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44.095569315312275</v>
      </c>
      <c r="T299" s="6">
        <v>2024</v>
      </c>
    </row>
    <row r="300" spans="1:20" x14ac:dyDescent="0.25">
      <c r="A300" s="6" t="s">
        <v>2041</v>
      </c>
      <c r="B300" s="6" t="s">
        <v>2072</v>
      </c>
      <c r="C30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00" s="6">
        <v>195</v>
      </c>
      <c r="E300" s="6">
        <v>12</v>
      </c>
      <c r="F300" s="6">
        <v>50</v>
      </c>
      <c r="G300" s="6">
        <v>108</v>
      </c>
      <c r="H300" s="6"/>
      <c r="I300" s="6"/>
      <c r="J300" s="6" t="s">
        <v>2392</v>
      </c>
      <c r="K300" s="6" t="s">
        <v>2438</v>
      </c>
      <c r="L300" s="6">
        <v>70</v>
      </c>
      <c r="M300" s="6">
        <v>5000</v>
      </c>
      <c r="N300" s="6">
        <v>6.78</v>
      </c>
      <c r="O300" s="6">
        <v>349</v>
      </c>
      <c r="P300" s="6" t="s">
        <v>2368</v>
      </c>
      <c r="Q300" s="6">
        <f>Table2_1[[#This Row],[Specs Score]] / (Table2_1[[#This Row],[Launched Price (USA)]] ^ 0.85)</f>
        <v>0.35938407231662006</v>
      </c>
      <c r="R300" s="6">
        <f>IFERROR(Table2_1[[#This Row],[Launched Price (USA)]] / S300, "")</f>
        <v>6.696763911100323</v>
      </c>
      <c r="S30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52.114723563945525</v>
      </c>
      <c r="T300" s="6">
        <v>2024</v>
      </c>
    </row>
    <row r="301" spans="1:20" x14ac:dyDescent="0.25">
      <c r="A301" s="6" t="s">
        <v>2041</v>
      </c>
      <c r="B301" s="6" t="s">
        <v>2073</v>
      </c>
      <c r="C30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01" s="6">
        <v>195</v>
      </c>
      <c r="E301" s="6">
        <v>12</v>
      </c>
      <c r="F301" s="6">
        <v>50</v>
      </c>
      <c r="G301" s="6">
        <v>108</v>
      </c>
      <c r="H301" s="6"/>
      <c r="I301" s="6"/>
      <c r="J301" s="6" t="s">
        <v>2392</v>
      </c>
      <c r="K301" s="6" t="s">
        <v>2438</v>
      </c>
      <c r="L301" s="6">
        <v>70</v>
      </c>
      <c r="M301" s="6">
        <v>5000</v>
      </c>
      <c r="N301" s="6">
        <v>6.78</v>
      </c>
      <c r="O301" s="6">
        <v>379</v>
      </c>
      <c r="P301" s="6" t="s">
        <v>2368</v>
      </c>
      <c r="Q301" s="6">
        <f>Table2_1[[#This Row],[Specs Score]] / (Table2_1[[#This Row],[Launched Price (USA)]] ^ 0.85)</f>
        <v>0.33505577667127634</v>
      </c>
      <c r="R301" s="6">
        <f>IFERROR(Table2_1[[#This Row],[Launched Price (USA)]] / S301, "")</f>
        <v>7.2724169693610961</v>
      </c>
      <c r="S30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52.114723563945525</v>
      </c>
      <c r="T301" s="6">
        <v>2024</v>
      </c>
    </row>
    <row r="302" spans="1:20" x14ac:dyDescent="0.25">
      <c r="A302" s="6" t="s">
        <v>2041</v>
      </c>
      <c r="B302" s="6" t="s">
        <v>2074</v>
      </c>
      <c r="C30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02" s="6">
        <v>190</v>
      </c>
      <c r="E302" s="6">
        <v>8</v>
      </c>
      <c r="F302" s="6">
        <v>32</v>
      </c>
      <c r="G302" s="6">
        <v>108</v>
      </c>
      <c r="H302" s="6"/>
      <c r="I302" s="6"/>
      <c r="J302" s="6" t="s">
        <v>708</v>
      </c>
      <c r="K302" s="6" t="s">
        <v>2438</v>
      </c>
      <c r="L302" s="6">
        <v>60</v>
      </c>
      <c r="M302" s="6">
        <v>4500</v>
      </c>
      <c r="N302" s="6">
        <v>6.7</v>
      </c>
      <c r="O302" s="6">
        <v>399</v>
      </c>
      <c r="P302" s="6" t="s">
        <v>2368</v>
      </c>
      <c r="Q302" s="6">
        <f>Table2_1[[#This Row],[Specs Score]] / (Table2_1[[#This Row],[Launched Price (USA)]] ^ 0.85)</f>
        <v>0.25593846477406346</v>
      </c>
      <c r="R302" s="6">
        <f>IFERROR(Table2_1[[#This Row],[Launched Price (USA)]] / S302, "")</f>
        <v>9.5942354859551227</v>
      </c>
      <c r="S30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41.587472038193241</v>
      </c>
      <c r="T302" s="6">
        <v>2024</v>
      </c>
    </row>
    <row r="303" spans="1:20" x14ac:dyDescent="0.25">
      <c r="A303" s="6" t="s">
        <v>2041</v>
      </c>
      <c r="B303" s="6" t="s">
        <v>2077</v>
      </c>
      <c r="C30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03" s="6">
        <v>190</v>
      </c>
      <c r="E303" s="6">
        <v>12</v>
      </c>
      <c r="F303" s="6">
        <v>32</v>
      </c>
      <c r="G303" s="6">
        <v>108</v>
      </c>
      <c r="H303" s="6"/>
      <c r="I303" s="6"/>
      <c r="J303" s="6" t="s">
        <v>1229</v>
      </c>
      <c r="K303" s="6" t="s">
        <v>2438</v>
      </c>
      <c r="L303" s="6">
        <v>65</v>
      </c>
      <c r="M303" s="6">
        <v>5000</v>
      </c>
      <c r="N303" s="6">
        <v>6.78</v>
      </c>
      <c r="O303" s="6">
        <v>329</v>
      </c>
      <c r="P303" s="6" t="s">
        <v>2368</v>
      </c>
      <c r="Q303" s="6">
        <f>Table2_1[[#This Row],[Specs Score]] / (Table2_1[[#This Row],[Launched Price (USA)]] ^ 0.85)</f>
        <v>0.34621395974239066</v>
      </c>
      <c r="R303" s="6">
        <f>IFERROR(Table2_1[[#This Row],[Launched Price (USA)]] / S303, "")</f>
        <v>6.8902472994491131</v>
      </c>
      <c r="S30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47.748649025457198</v>
      </c>
      <c r="T303" s="6">
        <v>2024</v>
      </c>
    </row>
    <row r="304" spans="1:20" x14ac:dyDescent="0.25">
      <c r="A304" s="6" t="s">
        <v>2041</v>
      </c>
      <c r="B304" s="6" t="s">
        <v>2084</v>
      </c>
      <c r="C30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04" s="6">
        <v>202</v>
      </c>
      <c r="E304" s="6">
        <v>8</v>
      </c>
      <c r="F304" s="6">
        <v>8</v>
      </c>
      <c r="G304" s="6">
        <v>50</v>
      </c>
      <c r="H304" s="6"/>
      <c r="I304" s="6"/>
      <c r="J304" s="6" t="s">
        <v>2377</v>
      </c>
      <c r="K304" s="6" t="s">
        <v>2438</v>
      </c>
      <c r="L304" s="6">
        <v>25</v>
      </c>
      <c r="M304" s="6">
        <v>5000</v>
      </c>
      <c r="N304" s="6">
        <v>6.78</v>
      </c>
      <c r="O304" s="6">
        <v>239</v>
      </c>
      <c r="P304" s="6" t="s">
        <v>2368</v>
      </c>
      <c r="Q304" s="6">
        <f>Table2_1[[#This Row],[Specs Score]] / (Table2_1[[#This Row],[Launched Price (USA)]] ^ 0.85)</f>
        <v>0.25245651733042368</v>
      </c>
      <c r="R304" s="6">
        <f>IFERROR(Table2_1[[#This Row],[Launched Price (USA)]] / S304, "")</f>
        <v>9.0068534904187665</v>
      </c>
      <c r="S30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26.535348915605361</v>
      </c>
      <c r="T304" s="6">
        <v>2023</v>
      </c>
    </row>
    <row r="305" spans="1:20" x14ac:dyDescent="0.25">
      <c r="A305" s="6" t="s">
        <v>2041</v>
      </c>
      <c r="B305" s="6" t="s">
        <v>2086</v>
      </c>
      <c r="C30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05" s="6">
        <v>185</v>
      </c>
      <c r="E305" s="6">
        <v>8</v>
      </c>
      <c r="F305" s="6">
        <v>50</v>
      </c>
      <c r="G305" s="6">
        <v>108</v>
      </c>
      <c r="H305" s="6"/>
      <c r="I305" s="6"/>
      <c r="J305" s="6" t="s">
        <v>2389</v>
      </c>
      <c r="K305" s="6" t="s">
        <v>2438</v>
      </c>
      <c r="L305" s="6">
        <v>58</v>
      </c>
      <c r="M305" s="6">
        <v>5000</v>
      </c>
      <c r="N305" s="6">
        <v>6.78</v>
      </c>
      <c r="O305" s="6">
        <v>349</v>
      </c>
      <c r="P305" s="6" t="s">
        <v>2368</v>
      </c>
      <c r="Q305" s="6">
        <f>Table2_1[[#This Row],[Specs Score]] / (Table2_1[[#This Row],[Launched Price (USA)]] ^ 0.85)</f>
        <v>0.33759723926637925</v>
      </c>
      <c r="R305" s="6">
        <f>IFERROR(Table2_1[[#This Row],[Launched Price (USA)]] / S305, "")</f>
        <v>7.1289394751691324</v>
      </c>
      <c r="S30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48.955388275577981</v>
      </c>
      <c r="T305" s="6">
        <v>2023</v>
      </c>
    </row>
    <row r="306" spans="1:20" x14ac:dyDescent="0.25">
      <c r="A306" s="6" t="s">
        <v>2041</v>
      </c>
      <c r="B306" s="6" t="s">
        <v>2088</v>
      </c>
      <c r="C30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06" s="6">
        <v>185</v>
      </c>
      <c r="E306" s="6">
        <v>12</v>
      </c>
      <c r="F306" s="6">
        <v>50</v>
      </c>
      <c r="G306" s="6">
        <v>108</v>
      </c>
      <c r="H306" s="6"/>
      <c r="I306" s="6"/>
      <c r="J306" s="6" t="s">
        <v>2389</v>
      </c>
      <c r="K306" s="6" t="s">
        <v>2438</v>
      </c>
      <c r="L306" s="6">
        <v>58</v>
      </c>
      <c r="M306" s="6">
        <v>5000</v>
      </c>
      <c r="N306" s="6">
        <v>6.78</v>
      </c>
      <c r="O306" s="6">
        <v>379</v>
      </c>
      <c r="P306" s="6" t="s">
        <v>2368</v>
      </c>
      <c r="Q306" s="6">
        <f>Table2_1[[#This Row],[Specs Score]] / (Table2_1[[#This Row],[Launched Price (USA)]] ^ 0.85)</f>
        <v>0.34046057494350618</v>
      </c>
      <c r="R306" s="6">
        <f>IFERROR(Table2_1[[#This Row],[Launched Price (USA)]] / S306, "")</f>
        <v>7.1569676352422782</v>
      </c>
      <c r="S30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52.955388275577981</v>
      </c>
      <c r="T306" s="6">
        <v>2023</v>
      </c>
    </row>
    <row r="307" spans="1:20" x14ac:dyDescent="0.25">
      <c r="A307" s="6" t="s">
        <v>2041</v>
      </c>
      <c r="B307" s="6" t="s">
        <v>2089</v>
      </c>
      <c r="C30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07" s="6">
        <v>187</v>
      </c>
      <c r="E307" s="6">
        <v>8</v>
      </c>
      <c r="F307" s="6">
        <v>32</v>
      </c>
      <c r="G307" s="6">
        <v>108</v>
      </c>
      <c r="H307" s="6"/>
      <c r="I307" s="6"/>
      <c r="J307" s="6" t="s">
        <v>2395</v>
      </c>
      <c r="K307" s="6" t="s">
        <v>2438</v>
      </c>
      <c r="L307" s="6">
        <v>60</v>
      </c>
      <c r="M307" s="6">
        <v>5000</v>
      </c>
      <c r="N307" s="6">
        <v>6.67</v>
      </c>
      <c r="O307" s="6">
        <v>399</v>
      </c>
      <c r="P307" s="6" t="s">
        <v>2368</v>
      </c>
      <c r="Q307" s="6">
        <f>Table2_1[[#This Row],[Specs Score]] / (Table2_1[[#This Row],[Launched Price (USA)]] ^ 0.85)</f>
        <v>0.28458596108088674</v>
      </c>
      <c r="R307" s="6">
        <f>IFERROR(Table2_1[[#This Row],[Launched Price (USA)]] / S307, "")</f>
        <v>8.6284435522744154</v>
      </c>
      <c r="S30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46.242407171433086</v>
      </c>
      <c r="T307" s="6">
        <v>2023</v>
      </c>
    </row>
    <row r="308" spans="1:20" x14ac:dyDescent="0.25">
      <c r="A308" s="6" t="s">
        <v>2041</v>
      </c>
      <c r="B308" s="6" t="s">
        <v>2101</v>
      </c>
      <c r="C30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08" s="6">
        <v>204</v>
      </c>
      <c r="E308" s="6">
        <v>6</v>
      </c>
      <c r="F308" s="6">
        <v>8</v>
      </c>
      <c r="G308" s="6">
        <v>50</v>
      </c>
      <c r="H308" s="6"/>
      <c r="I308" s="6"/>
      <c r="J308" s="6" t="s">
        <v>2377</v>
      </c>
      <c r="K308" s="6" t="s">
        <v>2438</v>
      </c>
      <c r="L308" s="6">
        <v>25</v>
      </c>
      <c r="M308" s="6">
        <v>5000</v>
      </c>
      <c r="N308" s="6">
        <v>6.6</v>
      </c>
      <c r="O308" s="6">
        <v>239</v>
      </c>
      <c r="P308" s="6" t="s">
        <v>2368</v>
      </c>
      <c r="Q308" s="6">
        <f>Table2_1[[#This Row],[Specs Score]] / (Table2_1[[#This Row],[Launched Price (USA)]] ^ 0.85)</f>
        <v>0.23164470764151748</v>
      </c>
      <c r="R308" s="6">
        <f>IFERROR(Table2_1[[#This Row],[Launched Price (USA)]] / S308, "")</f>
        <v>9.8160622249802447</v>
      </c>
      <c r="S30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24.347848915605361</v>
      </c>
      <c r="T308" s="6">
        <v>2022</v>
      </c>
    </row>
    <row r="309" spans="1:20" x14ac:dyDescent="0.25">
      <c r="A309" s="6" t="s">
        <v>1112</v>
      </c>
      <c r="B309" s="6" t="s">
        <v>1094</v>
      </c>
      <c r="C30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09" s="6">
        <v>520</v>
      </c>
      <c r="E309" s="6">
        <v>6</v>
      </c>
      <c r="F309" s="6">
        <v>8</v>
      </c>
      <c r="G309" s="6">
        <v>13</v>
      </c>
      <c r="H309" s="6"/>
      <c r="I309" s="6"/>
      <c r="J309" s="6" t="s">
        <v>804</v>
      </c>
      <c r="K309" s="6" t="s">
        <v>2437</v>
      </c>
      <c r="L309" s="6">
        <v>82</v>
      </c>
      <c r="M309" s="6">
        <v>8040</v>
      </c>
      <c r="N309" s="6">
        <v>11</v>
      </c>
      <c r="O309" s="6">
        <v>349</v>
      </c>
      <c r="P309" s="6" t="s">
        <v>2369</v>
      </c>
      <c r="Q309" s="6">
        <f>Table2_1[[#This Row],[Specs Score]] / (Table2_1[[#This Row],[Launched Price (USA)]] ^ 0.85)</f>
        <v>0.31986633022298849</v>
      </c>
      <c r="R309" s="6">
        <f>IFERROR(Table2_1[[#This Row],[Launched Price (USA)]] / S309, "")</f>
        <v>7.5241126005241608</v>
      </c>
      <c r="S30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46.384207484572627</v>
      </c>
      <c r="T309" s="6">
        <v>2023</v>
      </c>
    </row>
    <row r="310" spans="1:20" x14ac:dyDescent="0.25">
      <c r="A310" s="6" t="s">
        <v>1112</v>
      </c>
      <c r="B310" s="6" t="s">
        <v>1096</v>
      </c>
      <c r="C31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10" s="6">
        <v>540</v>
      </c>
      <c r="E310" s="6">
        <v>8</v>
      </c>
      <c r="F310" s="6">
        <v>8</v>
      </c>
      <c r="G310" s="6">
        <v>50</v>
      </c>
      <c r="H310" s="6"/>
      <c r="I310" s="6"/>
      <c r="J310" s="6" t="s">
        <v>639</v>
      </c>
      <c r="K310" s="6" t="s">
        <v>2437</v>
      </c>
      <c r="L310" s="6">
        <v>85</v>
      </c>
      <c r="M310" s="6">
        <v>8040</v>
      </c>
      <c r="N310" s="6">
        <v>12.3</v>
      </c>
      <c r="O310" s="6">
        <v>399</v>
      </c>
      <c r="P310" s="6" t="s">
        <v>2369</v>
      </c>
      <c r="Q310" s="6">
        <f>Table2_1[[#This Row],[Specs Score]] / (Table2_1[[#This Row],[Launched Price (USA)]] ^ 0.85)</f>
        <v>0.3462632269497663</v>
      </c>
      <c r="R310" s="6">
        <f>IFERROR(Table2_1[[#This Row],[Launched Price (USA)]] / S310, "")</f>
        <v>7.0915237595022722</v>
      </c>
      <c r="S31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56.264353548186428</v>
      </c>
      <c r="T310" s="6">
        <v>2024</v>
      </c>
    </row>
    <row r="311" spans="1:20" x14ac:dyDescent="0.25">
      <c r="A311" s="6" t="s">
        <v>1112</v>
      </c>
      <c r="B311" s="6" t="s">
        <v>1116</v>
      </c>
      <c r="C31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11" s="6">
        <v>555</v>
      </c>
      <c r="E311" s="6">
        <v>8</v>
      </c>
      <c r="F311" s="6">
        <v>8</v>
      </c>
      <c r="G311" s="6">
        <v>50</v>
      </c>
      <c r="H311" s="6"/>
      <c r="I311" s="6"/>
      <c r="J311" s="6" t="s">
        <v>451</v>
      </c>
      <c r="K311" s="6" t="s">
        <v>2437</v>
      </c>
      <c r="L311" s="6">
        <v>90</v>
      </c>
      <c r="M311" s="6">
        <v>8040</v>
      </c>
      <c r="N311" s="6">
        <v>12.3</v>
      </c>
      <c r="O311" s="6">
        <v>449</v>
      </c>
      <c r="P311" s="6" t="s">
        <v>2369</v>
      </c>
      <c r="Q311" s="6">
        <f>Table2_1[[#This Row],[Specs Score]] / (Table2_1[[#This Row],[Launched Price (USA)]] ^ 0.85)</f>
        <v>0.32023012445498272</v>
      </c>
      <c r="R311" s="6">
        <f>IFERROR(Table2_1[[#This Row],[Launched Price (USA)]] / S311, "")</f>
        <v>7.8050334204335634</v>
      </c>
      <c r="S31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57.526979810812698</v>
      </c>
      <c r="T311" s="6">
        <v>2024</v>
      </c>
    </row>
    <row r="312" spans="1:20" x14ac:dyDescent="0.25">
      <c r="A312" s="6" t="s">
        <v>1614</v>
      </c>
      <c r="B312" s="6" t="s">
        <v>1618</v>
      </c>
      <c r="C312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312" s="6">
        <v>198</v>
      </c>
      <c r="E312" s="6">
        <v>4</v>
      </c>
      <c r="F312" s="6">
        <v>8</v>
      </c>
      <c r="G312" s="6">
        <v>48</v>
      </c>
      <c r="H312" s="6"/>
      <c r="I312" s="6"/>
      <c r="J312" s="6" t="s">
        <v>1619</v>
      </c>
      <c r="K312" s="6" t="s">
        <v>2439</v>
      </c>
      <c r="L312" s="6">
        <v>12</v>
      </c>
      <c r="M312" s="6">
        <v>5000</v>
      </c>
      <c r="N312" s="6">
        <v>6.5</v>
      </c>
      <c r="O312" s="6">
        <v>199</v>
      </c>
      <c r="P312" s="6" t="s">
        <v>2368</v>
      </c>
      <c r="Q312" s="6">
        <f>Table2_1[[#This Row],[Specs Score]] / (Table2_1[[#This Row],[Launched Price (USA)]] ^ 0.85)</f>
        <v>0.18812532389441433</v>
      </c>
      <c r="R312" s="6">
        <f>IFERROR(Table2_1[[#This Row],[Launched Price (USA)]] / S312, "")</f>
        <v>11.759279169617066</v>
      </c>
      <c r="S31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16.922805992578567</v>
      </c>
      <c r="T312" s="6">
        <v>2022</v>
      </c>
    </row>
    <row r="313" spans="1:20" x14ac:dyDescent="0.25">
      <c r="A313" s="6" t="s">
        <v>1614</v>
      </c>
      <c r="B313" s="6" t="s">
        <v>1620</v>
      </c>
      <c r="C31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13" s="6">
        <v>198</v>
      </c>
      <c r="E313" s="6">
        <v>6</v>
      </c>
      <c r="F313" s="6">
        <v>8</v>
      </c>
      <c r="G313" s="6">
        <v>48</v>
      </c>
      <c r="H313" s="6"/>
      <c r="I313" s="6"/>
      <c r="J313" s="6" t="s">
        <v>1619</v>
      </c>
      <c r="K313" s="6" t="s">
        <v>2439</v>
      </c>
      <c r="L313" s="6">
        <v>12</v>
      </c>
      <c r="M313" s="6">
        <v>5000</v>
      </c>
      <c r="N313" s="6">
        <v>6.5</v>
      </c>
      <c r="O313" s="6">
        <v>229</v>
      </c>
      <c r="P313" s="6" t="s">
        <v>2368</v>
      </c>
      <c r="Q313" s="6">
        <f>Table2_1[[#This Row],[Specs Score]] / (Table2_1[[#This Row],[Launched Price (USA)]] ^ 0.85)</f>
        <v>0.20578728548424421</v>
      </c>
      <c r="R313" s="6">
        <f>IFERROR(Table2_1[[#This Row],[Launched Price (USA)]] / S313, "")</f>
        <v>10.978848289965494</v>
      </c>
      <c r="S31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20.858289863546307</v>
      </c>
      <c r="T313" s="6">
        <v>2022</v>
      </c>
    </row>
    <row r="314" spans="1:20" x14ac:dyDescent="0.25">
      <c r="A314" s="6" t="s">
        <v>1614</v>
      </c>
      <c r="B314" s="6" t="s">
        <v>1622</v>
      </c>
      <c r="C31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14" s="6">
        <v>200</v>
      </c>
      <c r="E314" s="6">
        <v>6</v>
      </c>
      <c r="F314" s="6">
        <v>16</v>
      </c>
      <c r="G314" s="6">
        <v>64</v>
      </c>
      <c r="H314" s="6"/>
      <c r="I314" s="6"/>
      <c r="J314" s="6" t="s">
        <v>1623</v>
      </c>
      <c r="K314" s="6" t="s">
        <v>2439</v>
      </c>
      <c r="L314" s="6">
        <v>20</v>
      </c>
      <c r="M314" s="6">
        <v>5000</v>
      </c>
      <c r="N314" s="6">
        <v>6.8</v>
      </c>
      <c r="O314" s="6">
        <v>249</v>
      </c>
      <c r="P314" s="6" t="s">
        <v>2368</v>
      </c>
      <c r="Q314" s="6">
        <f>Table2_1[[#This Row],[Specs Score]] / (Table2_1[[#This Row],[Launched Price (USA)]] ^ 0.85)</f>
        <v>0.23329594862813871</v>
      </c>
      <c r="R314" s="6">
        <f>IFERROR(Table2_1[[#This Row],[Launched Price (USA)]] / S314, "")</f>
        <v>9.8066958275503051</v>
      </c>
      <c r="S31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25.390815049088737</v>
      </c>
      <c r="T314" s="6">
        <v>2021</v>
      </c>
    </row>
    <row r="315" spans="1:20" x14ac:dyDescent="0.25">
      <c r="A315" s="6" t="s">
        <v>1614</v>
      </c>
      <c r="B315" s="6" t="s">
        <v>1625</v>
      </c>
      <c r="C315" s="6">
        <f>IF(ISNUMBER(SEARCH("GB", Table2_1[[#This Row],[Model Name]])), IFERROR(VALUE(TRIM(RIGHT(SUBSTITUTE(LEFT(Table2_1[[#This Row],[Model Name]], SEARCH("GB", Table2_1[[#This Row],[Model Name]])-1), " ", REPT(" ", 100)), 100))), 128), 128)</f>
        <v>32</v>
      </c>
      <c r="D315" s="6">
        <v>190</v>
      </c>
      <c r="E315" s="6">
        <v>2</v>
      </c>
      <c r="F315" s="6">
        <v>5</v>
      </c>
      <c r="G315" s="6">
        <v>13</v>
      </c>
      <c r="H315" s="6"/>
      <c r="I315" s="6"/>
      <c r="J315" s="6" t="s">
        <v>1626</v>
      </c>
      <c r="K315" s="6" t="s">
        <v>2439</v>
      </c>
      <c r="L315" s="6">
        <v>3</v>
      </c>
      <c r="M315" s="6">
        <v>5000</v>
      </c>
      <c r="N315" s="6">
        <v>6.52</v>
      </c>
      <c r="O315" s="6">
        <v>149</v>
      </c>
      <c r="P315" s="6" t="s">
        <v>2368</v>
      </c>
      <c r="Q315" s="6">
        <f>Table2_1[[#This Row],[Specs Score]] / (Table2_1[[#This Row],[Launched Price (USA)]] ^ 0.85)</f>
        <v>0.13350764823636446</v>
      </c>
      <c r="R315" s="6">
        <f>IFERROR(Table2_1[[#This Row],[Launched Price (USA)]] / S315, "")</f>
        <v>15.866158718464026</v>
      </c>
      <c r="S31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9.3910569435186151</v>
      </c>
      <c r="T315" s="6">
        <v>2021</v>
      </c>
    </row>
    <row r="316" spans="1:20" x14ac:dyDescent="0.25">
      <c r="A316" s="6" t="s">
        <v>1614</v>
      </c>
      <c r="B316" s="6" t="s">
        <v>1628</v>
      </c>
      <c r="C316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316" s="6">
        <v>200</v>
      </c>
      <c r="E316" s="6">
        <v>4</v>
      </c>
      <c r="F316" s="6">
        <v>8</v>
      </c>
      <c r="G316" s="6">
        <v>48</v>
      </c>
      <c r="H316" s="6"/>
      <c r="I316" s="6"/>
      <c r="J316" s="6" t="s">
        <v>1629</v>
      </c>
      <c r="K316" s="6" t="s">
        <v>2439</v>
      </c>
      <c r="L316" s="6">
        <v>18</v>
      </c>
      <c r="M316" s="6">
        <v>5000</v>
      </c>
      <c r="N316" s="6">
        <v>6.5</v>
      </c>
      <c r="O316" s="6">
        <v>199</v>
      </c>
      <c r="P316" s="6" t="s">
        <v>2368</v>
      </c>
      <c r="Q316" s="6">
        <f>Table2_1[[#This Row],[Specs Score]] / (Table2_1[[#This Row],[Launched Price (USA)]] ^ 0.85)</f>
        <v>0.20496876993179097</v>
      </c>
      <c r="R316" s="6">
        <f>IFERROR(Table2_1[[#This Row],[Launched Price (USA)]] / S316, "")</f>
        <v>10.792952522890326</v>
      </c>
      <c r="S31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18.437957507730079</v>
      </c>
      <c r="T316" s="6">
        <v>2021</v>
      </c>
    </row>
    <row r="317" spans="1:20" x14ac:dyDescent="0.25">
      <c r="A317" s="6" t="s">
        <v>1614</v>
      </c>
      <c r="B317" s="6" t="s">
        <v>1630</v>
      </c>
      <c r="C317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317" s="6">
        <v>172</v>
      </c>
      <c r="E317" s="6">
        <v>4</v>
      </c>
      <c r="F317" s="6">
        <v>16</v>
      </c>
      <c r="G317" s="6">
        <v>13</v>
      </c>
      <c r="H317" s="6"/>
      <c r="I317" s="6"/>
      <c r="J317" s="6" t="s">
        <v>1631</v>
      </c>
      <c r="K317" s="6" t="s">
        <v>2439</v>
      </c>
      <c r="L317" s="6">
        <v>14</v>
      </c>
      <c r="M317" s="6">
        <v>4050</v>
      </c>
      <c r="N317" s="6">
        <v>6.22</v>
      </c>
      <c r="O317" s="6">
        <v>179</v>
      </c>
      <c r="P317" s="6" t="s">
        <v>2368</v>
      </c>
      <c r="Q317" s="6">
        <f>Table2_1[[#This Row],[Specs Score]] / (Table2_1[[#This Row],[Launched Price (USA)]] ^ 0.85)</f>
        <v>0.18454811313904926</v>
      </c>
      <c r="R317" s="6">
        <f>IFERROR(Table2_1[[#This Row],[Launched Price (USA)]] / S317, "")</f>
        <v>11.798270401124222</v>
      </c>
      <c r="S31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15.171715337439936</v>
      </c>
      <c r="T317" s="6">
        <v>2019</v>
      </c>
    </row>
    <row r="318" spans="1:20" x14ac:dyDescent="0.25">
      <c r="A318" s="6" t="s">
        <v>1614</v>
      </c>
      <c r="B318" s="6" t="s">
        <v>1633</v>
      </c>
      <c r="C318" s="6">
        <f>IF(ISNUMBER(SEARCH("GB", Table2_1[[#This Row],[Model Name]])), IFERROR(VALUE(TRIM(RIGHT(SUBSTITUTE(LEFT(Table2_1[[#This Row],[Model Name]], SEARCH("GB", Table2_1[[#This Row],[Model Name]])-1), " ", REPT(" ", 100)), 100))), 128), 128)</f>
        <v>32</v>
      </c>
      <c r="D318" s="6">
        <v>172</v>
      </c>
      <c r="E318" s="6">
        <v>3</v>
      </c>
      <c r="F318" s="6">
        <v>5</v>
      </c>
      <c r="G318" s="6">
        <v>13</v>
      </c>
      <c r="H318" s="6"/>
      <c r="I318" s="6"/>
      <c r="J318" s="6" t="s">
        <v>1634</v>
      </c>
      <c r="K318" s="6" t="s">
        <v>2439</v>
      </c>
      <c r="L318" s="6">
        <v>4</v>
      </c>
      <c r="M318" s="6">
        <v>4000</v>
      </c>
      <c r="N318" s="6">
        <v>6.09</v>
      </c>
      <c r="O318" s="6">
        <v>149</v>
      </c>
      <c r="P318" s="6" t="s">
        <v>2368</v>
      </c>
      <c r="Q318" s="6">
        <f>Table2_1[[#This Row],[Specs Score]] / (Table2_1[[#This Row],[Launched Price (USA)]] ^ 0.85)</f>
        <v>0.12176731761722348</v>
      </c>
      <c r="R318" s="6">
        <f>IFERROR(Table2_1[[#This Row],[Launched Price (USA)]] / S318, "")</f>
        <v>17.395911961416193</v>
      </c>
      <c r="S31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8.5652307467685063</v>
      </c>
      <c r="T318" s="6">
        <v>2019</v>
      </c>
    </row>
    <row r="319" spans="1:20" x14ac:dyDescent="0.25">
      <c r="A319" s="6" t="s">
        <v>1614</v>
      </c>
      <c r="B319" s="6" t="s">
        <v>1636</v>
      </c>
      <c r="C319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319" s="6">
        <v>164</v>
      </c>
      <c r="E319" s="6">
        <v>4</v>
      </c>
      <c r="F319" s="6">
        <v>16</v>
      </c>
      <c r="G319" s="6">
        <v>16</v>
      </c>
      <c r="H319" s="6"/>
      <c r="I319" s="6"/>
      <c r="J319" s="6" t="s">
        <v>924</v>
      </c>
      <c r="K319" s="6" t="s">
        <v>2439</v>
      </c>
      <c r="L319" s="6">
        <v>28</v>
      </c>
      <c r="M319" s="6">
        <v>4050</v>
      </c>
      <c r="N319" s="6">
        <v>6.3</v>
      </c>
      <c r="O319" s="6">
        <v>219</v>
      </c>
      <c r="P319" s="6" t="s">
        <v>2368</v>
      </c>
      <c r="Q319" s="6">
        <f>Table2_1[[#This Row],[Specs Score]] / (Table2_1[[#This Row],[Launched Price (USA)]] ^ 0.85)</f>
        <v>0.19413323029856339</v>
      </c>
      <c r="R319" s="6">
        <f>IFERROR(Table2_1[[#This Row],[Launched Price (USA)]] / S319, "")</f>
        <v>11.560236956284957</v>
      </c>
      <c r="S31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18.944248359972953</v>
      </c>
      <c r="T319" s="6">
        <v>2019</v>
      </c>
    </row>
    <row r="320" spans="1:20" x14ac:dyDescent="0.25">
      <c r="A320" s="6" t="s">
        <v>1614</v>
      </c>
      <c r="B320" s="6" t="s">
        <v>1637</v>
      </c>
      <c r="C32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20" s="6">
        <v>164</v>
      </c>
      <c r="E320" s="6">
        <v>6</v>
      </c>
      <c r="F320" s="6">
        <v>16</v>
      </c>
      <c r="G320" s="6">
        <v>16</v>
      </c>
      <c r="H320" s="6"/>
      <c r="I320" s="6"/>
      <c r="J320" s="6" t="s">
        <v>924</v>
      </c>
      <c r="K320" s="6" t="s">
        <v>2439</v>
      </c>
      <c r="L320" s="6">
        <v>28</v>
      </c>
      <c r="M320" s="6">
        <v>4050</v>
      </c>
      <c r="N320" s="6">
        <v>6.3</v>
      </c>
      <c r="O320" s="6">
        <v>249</v>
      </c>
      <c r="P320" s="6" t="s">
        <v>2368</v>
      </c>
      <c r="Q320" s="6">
        <f>Table2_1[[#This Row],[Specs Score]] / (Table2_1[[#This Row],[Launched Price (USA)]] ^ 0.85)</f>
        <v>0.21022361136716172</v>
      </c>
      <c r="R320" s="6">
        <f>IFERROR(Table2_1[[#This Row],[Launched Price (USA)]] / S320, "")</f>
        <v>10.882994498653813</v>
      </c>
      <c r="S32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22.879732230940704</v>
      </c>
      <c r="T320" s="6">
        <v>2019</v>
      </c>
    </row>
    <row r="321" spans="1:20" x14ac:dyDescent="0.25">
      <c r="A321" s="6" t="s">
        <v>1614</v>
      </c>
      <c r="B321" s="6" t="s">
        <v>1642</v>
      </c>
      <c r="C321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321" s="6">
        <v>210</v>
      </c>
      <c r="E321" s="6">
        <v>6</v>
      </c>
      <c r="F321" s="6">
        <v>16</v>
      </c>
      <c r="G321" s="6">
        <v>16</v>
      </c>
      <c r="H321" s="6"/>
      <c r="I321" s="6"/>
      <c r="J321" s="6" t="s">
        <v>924</v>
      </c>
      <c r="K321" s="6" t="s">
        <v>2439</v>
      </c>
      <c r="L321" s="6">
        <v>28</v>
      </c>
      <c r="M321" s="6">
        <v>3350</v>
      </c>
      <c r="N321" s="6">
        <v>6.39</v>
      </c>
      <c r="O321" s="6">
        <v>299</v>
      </c>
      <c r="P321" s="6" t="s">
        <v>2368</v>
      </c>
      <c r="Q321" s="6">
        <f>Table2_1[[#This Row],[Specs Score]] / (Table2_1[[#This Row],[Launched Price (USA)]] ^ 0.85)</f>
        <v>0.15648056695936272</v>
      </c>
      <c r="R321" s="6">
        <f>IFERROR(Table2_1[[#This Row],[Launched Price (USA)]] / S321, "")</f>
        <v>15.027622167655661</v>
      </c>
      <c r="S32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19.896694012146874</v>
      </c>
      <c r="T321" s="6">
        <v>2018</v>
      </c>
    </row>
    <row r="322" spans="1:20" x14ac:dyDescent="0.25">
      <c r="A322" s="6" t="s">
        <v>1614</v>
      </c>
      <c r="B322" s="6" t="s">
        <v>1615</v>
      </c>
      <c r="C32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22" s="6">
        <v>209</v>
      </c>
      <c r="E322" s="6">
        <v>8</v>
      </c>
      <c r="F322" s="6">
        <v>16</v>
      </c>
      <c r="G322" s="6">
        <v>50</v>
      </c>
      <c r="H322" s="6"/>
      <c r="I322" s="6"/>
      <c r="J322" s="6" t="s">
        <v>767</v>
      </c>
      <c r="K322" s="6" t="s">
        <v>2437</v>
      </c>
      <c r="L322" s="6">
        <v>92</v>
      </c>
      <c r="M322" s="6">
        <v>5100</v>
      </c>
      <c r="N322" s="6">
        <v>6.67</v>
      </c>
      <c r="O322" s="6">
        <v>499</v>
      </c>
      <c r="P322" s="6" t="s">
        <v>2368</v>
      </c>
      <c r="Q322" s="6">
        <f>Table2_1[[#This Row],[Specs Score]] / (Table2_1[[#This Row],[Launched Price (USA)]] ^ 0.85)</f>
        <v>0.228396660771023</v>
      </c>
      <c r="R322" s="6">
        <f>IFERROR(Table2_1[[#This Row],[Launched Price (USA)]] / S322, "")</f>
        <v>11.117965748056902</v>
      </c>
      <c r="S32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44.882311324552404</v>
      </c>
      <c r="T322" s="6">
        <v>2022</v>
      </c>
    </row>
    <row r="323" spans="1:20" x14ac:dyDescent="0.25">
      <c r="A323" s="6" t="s">
        <v>1614</v>
      </c>
      <c r="B323" s="6" t="s">
        <v>1616</v>
      </c>
      <c r="C32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23" s="6">
        <v>209</v>
      </c>
      <c r="E323" s="6">
        <v>12</v>
      </c>
      <c r="F323" s="6">
        <v>16</v>
      </c>
      <c r="G323" s="6">
        <v>50</v>
      </c>
      <c r="H323" s="6"/>
      <c r="I323" s="6"/>
      <c r="J323" s="6" t="s">
        <v>767</v>
      </c>
      <c r="K323" s="6" t="s">
        <v>2437</v>
      </c>
      <c r="L323" s="6">
        <v>92</v>
      </c>
      <c r="M323" s="6">
        <v>5100</v>
      </c>
      <c r="N323" s="6">
        <v>6.67</v>
      </c>
      <c r="O323" s="6">
        <v>549</v>
      </c>
      <c r="P323" s="6" t="s">
        <v>2368</v>
      </c>
      <c r="Q323" s="6">
        <f>Table2_1[[#This Row],[Specs Score]] / (Table2_1[[#This Row],[Launched Price (USA)]] ^ 0.85)</f>
        <v>0.24752152217751572</v>
      </c>
      <c r="R323" s="6">
        <f>IFERROR(Table2_1[[#This Row],[Launched Price (USA)]] / S323, "")</f>
        <v>10.406936018291201</v>
      </c>
      <c r="S32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52.753279066487885</v>
      </c>
      <c r="T323" s="6">
        <v>2022</v>
      </c>
    </row>
    <row r="324" spans="1:20" x14ac:dyDescent="0.25">
      <c r="A324" s="6" t="s">
        <v>1614</v>
      </c>
      <c r="B324" s="6" t="s">
        <v>1617</v>
      </c>
      <c r="C324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324" s="6">
        <v>209</v>
      </c>
      <c r="E324" s="6">
        <v>16</v>
      </c>
      <c r="F324" s="6">
        <v>16</v>
      </c>
      <c r="G324" s="6">
        <v>50</v>
      </c>
      <c r="H324" s="6"/>
      <c r="I324" s="6"/>
      <c r="J324" s="6" t="s">
        <v>767</v>
      </c>
      <c r="K324" s="6" t="s">
        <v>2437</v>
      </c>
      <c r="L324" s="6">
        <v>92</v>
      </c>
      <c r="M324" s="6">
        <v>5100</v>
      </c>
      <c r="N324" s="6">
        <v>6.67</v>
      </c>
      <c r="O324" s="6">
        <v>599</v>
      </c>
      <c r="P324" s="6" t="s">
        <v>2368</v>
      </c>
      <c r="Q324" s="6">
        <f>Table2_1[[#This Row],[Specs Score]] / (Table2_1[[#This Row],[Launched Price (USA)]] ^ 0.85)</f>
        <v>0.28100541753042435</v>
      </c>
      <c r="R324" s="6">
        <f>IFERROR(Table2_1[[#This Row],[Launched Price (USA)]] / S324, "")</f>
        <v>9.2875107738775196</v>
      </c>
      <c r="S32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64.495214550358853</v>
      </c>
      <c r="T324" s="6">
        <v>2022</v>
      </c>
    </row>
    <row r="325" spans="1:20" x14ac:dyDescent="0.25">
      <c r="A325" s="6" t="s">
        <v>1614</v>
      </c>
      <c r="B325" s="6" t="s">
        <v>1638</v>
      </c>
      <c r="C32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25" s="6">
        <v>185</v>
      </c>
      <c r="E325" s="6">
        <v>6</v>
      </c>
      <c r="F325" s="6">
        <v>32</v>
      </c>
      <c r="G325" s="6">
        <v>48</v>
      </c>
      <c r="H325" s="6"/>
      <c r="I325" s="6"/>
      <c r="J325" s="6" t="s">
        <v>834</v>
      </c>
      <c r="K325" s="6" t="s">
        <v>2437</v>
      </c>
      <c r="L325" s="6">
        <v>75</v>
      </c>
      <c r="M325" s="6">
        <v>4000</v>
      </c>
      <c r="N325" s="6">
        <v>6.39</v>
      </c>
      <c r="O325" s="6">
        <v>429</v>
      </c>
      <c r="P325" s="6" t="s">
        <v>2368</v>
      </c>
      <c r="Q325" s="6">
        <f>Table2_1[[#This Row],[Specs Score]] / (Table2_1[[#This Row],[Launched Price (USA)]] ^ 0.85)</f>
        <v>0.22659861020036759</v>
      </c>
      <c r="R325" s="6">
        <f>IFERROR(Table2_1[[#This Row],[Launched Price (USA)]] / S325, "")</f>
        <v>10.95497401993809</v>
      </c>
      <c r="S32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39.160293691177955</v>
      </c>
      <c r="T325" s="6">
        <v>2019</v>
      </c>
    </row>
    <row r="326" spans="1:20" x14ac:dyDescent="0.25">
      <c r="A326" s="6" t="s">
        <v>1614</v>
      </c>
      <c r="B326" s="6" t="s">
        <v>1640</v>
      </c>
      <c r="C32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26" s="6">
        <v>185</v>
      </c>
      <c r="E326" s="6">
        <v>8</v>
      </c>
      <c r="F326" s="6">
        <v>32</v>
      </c>
      <c r="G326" s="6">
        <v>48</v>
      </c>
      <c r="H326" s="6"/>
      <c r="I326" s="6"/>
      <c r="J326" s="6" t="s">
        <v>834</v>
      </c>
      <c r="K326" s="6" t="s">
        <v>2437</v>
      </c>
      <c r="L326" s="6">
        <v>75</v>
      </c>
      <c r="M326" s="6">
        <v>4000</v>
      </c>
      <c r="N326" s="6">
        <v>6.39</v>
      </c>
      <c r="O326" s="6">
        <v>479</v>
      </c>
      <c r="P326" s="6" t="s">
        <v>2368</v>
      </c>
      <c r="Q326" s="6">
        <f>Table2_1[[#This Row],[Specs Score]] / (Table2_1[[#This Row],[Launched Price (USA)]] ^ 0.85)</f>
        <v>0.23726240394059114</v>
      </c>
      <c r="R326" s="6">
        <f>IFERROR(Table2_1[[#This Row],[Launched Price (USA)]] / S326, "")</f>
        <v>10.637054898217233</v>
      </c>
      <c r="S32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45.031261433113428</v>
      </c>
      <c r="T326" s="6">
        <v>2019</v>
      </c>
    </row>
    <row r="327" spans="1:20" x14ac:dyDescent="0.25">
      <c r="A327" s="6" t="s">
        <v>1646</v>
      </c>
      <c r="B327" s="6" t="s">
        <v>1659</v>
      </c>
      <c r="C327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327" s="6">
        <v>195</v>
      </c>
      <c r="E327" s="6">
        <v>4</v>
      </c>
      <c r="F327" s="6">
        <v>16</v>
      </c>
      <c r="G327" s="6">
        <v>50</v>
      </c>
      <c r="H327" s="6"/>
      <c r="I327" s="6"/>
      <c r="J327" s="6" t="s">
        <v>2394</v>
      </c>
      <c r="K327" s="6" t="s">
        <v>2439</v>
      </c>
      <c r="L327" s="6">
        <v>14</v>
      </c>
      <c r="M327" s="6">
        <v>5000</v>
      </c>
      <c r="N327" s="6">
        <v>6.8</v>
      </c>
      <c r="O327" s="6">
        <v>199</v>
      </c>
      <c r="P327" s="6" t="s">
        <v>2368</v>
      </c>
      <c r="Q327" s="6">
        <f>Table2_1[[#This Row],[Specs Score]] / (Table2_1[[#This Row],[Launched Price (USA)]] ^ 0.85)</f>
        <v>0.2136872823626963</v>
      </c>
      <c r="R327" s="6">
        <f>IFERROR(Table2_1[[#This Row],[Launched Price (USA)]] / S327, "")</f>
        <v>10.352596458193529</v>
      </c>
      <c r="S32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19.222230945020762</v>
      </c>
      <c r="T327" s="6">
        <v>2023</v>
      </c>
    </row>
    <row r="328" spans="1:20" x14ac:dyDescent="0.25">
      <c r="A328" s="6" t="s">
        <v>1646</v>
      </c>
      <c r="B328" s="6" t="s">
        <v>1660</v>
      </c>
      <c r="C32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28" s="6">
        <v>195</v>
      </c>
      <c r="E328" s="6">
        <v>6</v>
      </c>
      <c r="F328" s="6">
        <v>16</v>
      </c>
      <c r="G328" s="6">
        <v>50</v>
      </c>
      <c r="H328" s="6"/>
      <c r="I328" s="6"/>
      <c r="J328" s="6" t="s">
        <v>2394</v>
      </c>
      <c r="K328" s="6" t="s">
        <v>2439</v>
      </c>
      <c r="L328" s="6">
        <v>14</v>
      </c>
      <c r="M328" s="6">
        <v>5000</v>
      </c>
      <c r="N328" s="6">
        <v>6.8</v>
      </c>
      <c r="O328" s="6">
        <v>249</v>
      </c>
      <c r="P328" s="6" t="s">
        <v>2368</v>
      </c>
      <c r="Q328" s="6">
        <f>Table2_1[[#This Row],[Specs Score]] / (Table2_1[[#This Row],[Launched Price (USA)]] ^ 0.85)</f>
        <v>0.21277777163162928</v>
      </c>
      <c r="R328" s="6">
        <f>IFERROR(Table2_1[[#This Row],[Launched Price (USA)]] / S328, "")</f>
        <v>10.752356265657351</v>
      </c>
      <c r="S32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23.157714815988498</v>
      </c>
      <c r="T328" s="6">
        <v>2023</v>
      </c>
    </row>
    <row r="329" spans="1:20" x14ac:dyDescent="0.25">
      <c r="A329" s="6" t="s">
        <v>1646</v>
      </c>
      <c r="B329" s="6" t="s">
        <v>1667</v>
      </c>
      <c r="C329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329" s="6">
        <v>198</v>
      </c>
      <c r="E329" s="6">
        <v>4</v>
      </c>
      <c r="F329" s="6">
        <v>8</v>
      </c>
      <c r="G329" s="6">
        <v>48</v>
      </c>
      <c r="H329" s="6"/>
      <c r="I329" s="6"/>
      <c r="J329" s="6" t="s">
        <v>1619</v>
      </c>
      <c r="K329" s="6" t="s">
        <v>2439</v>
      </c>
      <c r="L329" s="6">
        <v>12</v>
      </c>
      <c r="M329" s="6">
        <v>5000</v>
      </c>
      <c r="N329" s="6">
        <v>6.5</v>
      </c>
      <c r="O329" s="6">
        <v>199</v>
      </c>
      <c r="P329" s="6" t="s">
        <v>2368</v>
      </c>
      <c r="Q329" s="6">
        <f>Table2_1[[#This Row],[Specs Score]] / (Table2_1[[#This Row],[Launched Price (USA)]] ^ 0.85)</f>
        <v>0.18812532389441433</v>
      </c>
      <c r="R329" s="6">
        <f>IFERROR(Table2_1[[#This Row],[Launched Price (USA)]] / S329, "")</f>
        <v>11.759279169617066</v>
      </c>
      <c r="S32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16.922805992578567</v>
      </c>
      <c r="T329" s="6">
        <v>2023</v>
      </c>
    </row>
    <row r="330" spans="1:20" x14ac:dyDescent="0.25">
      <c r="A330" s="6" t="s">
        <v>1646</v>
      </c>
      <c r="B330" s="6" t="s">
        <v>1668</v>
      </c>
      <c r="C33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30" s="6">
        <v>198</v>
      </c>
      <c r="E330" s="6">
        <v>6</v>
      </c>
      <c r="F330" s="6">
        <v>8</v>
      </c>
      <c r="G330" s="6">
        <v>48</v>
      </c>
      <c r="H330" s="6"/>
      <c r="I330" s="6"/>
      <c r="J330" s="6" t="s">
        <v>1619</v>
      </c>
      <c r="K330" s="6" t="s">
        <v>2439</v>
      </c>
      <c r="L330" s="6">
        <v>12</v>
      </c>
      <c r="M330" s="6">
        <v>5000</v>
      </c>
      <c r="N330" s="6">
        <v>6.5</v>
      </c>
      <c r="O330" s="6">
        <v>229</v>
      </c>
      <c r="P330" s="6" t="s">
        <v>2368</v>
      </c>
      <c r="Q330" s="6">
        <f>Table2_1[[#This Row],[Specs Score]] / (Table2_1[[#This Row],[Launched Price (USA)]] ^ 0.85)</f>
        <v>0.20578728548424421</v>
      </c>
      <c r="R330" s="6">
        <f>IFERROR(Table2_1[[#This Row],[Launched Price (USA)]] / S330, "")</f>
        <v>10.978848289965494</v>
      </c>
      <c r="S33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20.858289863546307</v>
      </c>
      <c r="T330" s="6">
        <v>2023</v>
      </c>
    </row>
    <row r="331" spans="1:20" x14ac:dyDescent="0.25">
      <c r="A331" s="6" t="s">
        <v>1646</v>
      </c>
      <c r="B331" s="6" t="s">
        <v>1669</v>
      </c>
      <c r="C331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331" s="6">
        <v>206</v>
      </c>
      <c r="E331" s="6">
        <v>4</v>
      </c>
      <c r="F331" s="6">
        <v>16</v>
      </c>
      <c r="G331" s="6">
        <v>50</v>
      </c>
      <c r="H331" s="6"/>
      <c r="I331" s="6"/>
      <c r="J331" s="6" t="s">
        <v>1623</v>
      </c>
      <c r="K331" s="6" t="s">
        <v>2439</v>
      </c>
      <c r="L331" s="6">
        <v>20</v>
      </c>
      <c r="M331" s="6">
        <v>5000</v>
      </c>
      <c r="N331" s="6">
        <v>6.6</v>
      </c>
      <c r="O331" s="6">
        <v>249</v>
      </c>
      <c r="P331" s="6" t="s">
        <v>2368</v>
      </c>
      <c r="Q331" s="6">
        <f>Table2_1[[#This Row],[Specs Score]] / (Table2_1[[#This Row],[Launched Price (USA)]] ^ 0.85)</f>
        <v>0.18862505914915245</v>
      </c>
      <c r="R331" s="6">
        <f>IFERROR(Table2_1[[#This Row],[Launched Price (USA)]] / S331, "")</f>
        <v>12.129154081202248</v>
      </c>
      <c r="S33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20.529049126838942</v>
      </c>
      <c r="T331" s="6">
        <v>2022</v>
      </c>
    </row>
    <row r="332" spans="1:20" x14ac:dyDescent="0.25">
      <c r="A332" s="6" t="s">
        <v>1646</v>
      </c>
      <c r="B332" s="6" t="s">
        <v>1670</v>
      </c>
      <c r="C33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32" s="6">
        <v>206</v>
      </c>
      <c r="E332" s="6">
        <v>6</v>
      </c>
      <c r="F332" s="6">
        <v>16</v>
      </c>
      <c r="G332" s="6">
        <v>50</v>
      </c>
      <c r="H332" s="6"/>
      <c r="I332" s="6"/>
      <c r="J332" s="6" t="s">
        <v>1623</v>
      </c>
      <c r="K332" s="6" t="s">
        <v>2439</v>
      </c>
      <c r="L332" s="6">
        <v>20</v>
      </c>
      <c r="M332" s="6">
        <v>5000</v>
      </c>
      <c r="N332" s="6">
        <v>6.6</v>
      </c>
      <c r="O332" s="6">
        <v>279</v>
      </c>
      <c r="P332" s="6" t="s">
        <v>2368</v>
      </c>
      <c r="Q332" s="6">
        <f>Table2_1[[#This Row],[Specs Score]] / (Table2_1[[#This Row],[Launched Price (USA)]] ^ 0.85)</f>
        <v>0.20406727122858234</v>
      </c>
      <c r="R332" s="6">
        <f>IFERROR(Table2_1[[#This Row],[Launched Price (USA)]] / S332, "")</f>
        <v>11.404264288429832</v>
      </c>
      <c r="S33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24.464532997806685</v>
      </c>
      <c r="T332" s="6">
        <v>2022</v>
      </c>
    </row>
    <row r="333" spans="1:20" x14ac:dyDescent="0.25">
      <c r="A333" s="6" t="s">
        <v>1646</v>
      </c>
      <c r="B333" s="6" t="s">
        <v>1672</v>
      </c>
      <c r="C333" s="6">
        <f>IF(ISNUMBER(SEARCH("GB", Table2_1[[#This Row],[Model Name]])), IFERROR(VALUE(TRIM(RIGHT(SUBSTITUTE(LEFT(Table2_1[[#This Row],[Model Name]], SEARCH("GB", Table2_1[[#This Row],[Model Name]])-1), " ", REPT(" ", 100)), 100))), 128), 128)</f>
        <v>32</v>
      </c>
      <c r="D333" s="6">
        <v>203</v>
      </c>
      <c r="E333" s="6">
        <v>3</v>
      </c>
      <c r="F333" s="6">
        <v>5</v>
      </c>
      <c r="G333" s="6">
        <v>13</v>
      </c>
      <c r="H333" s="6"/>
      <c r="I333" s="6"/>
      <c r="J333" s="6" t="s">
        <v>2398</v>
      </c>
      <c r="K333" s="6" t="s">
        <v>2439</v>
      </c>
      <c r="L333" s="6">
        <v>3</v>
      </c>
      <c r="M333" s="6">
        <v>5000</v>
      </c>
      <c r="N333" s="6">
        <v>6.5</v>
      </c>
      <c r="O333" s="6">
        <v>149</v>
      </c>
      <c r="P333" s="6" t="s">
        <v>2368</v>
      </c>
      <c r="Q333" s="6">
        <f>Table2_1[[#This Row],[Specs Score]] / (Table2_1[[#This Row],[Launched Price (USA)]] ^ 0.85)</f>
        <v>0.1474279385385471</v>
      </c>
      <c r="R333" s="6">
        <f>IFERROR(Table2_1[[#This Row],[Launched Price (USA)]] / S333, "")</f>
        <v>14.368060477852882</v>
      </c>
      <c r="S33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10.370223610185283</v>
      </c>
      <c r="T333" s="6">
        <v>2022</v>
      </c>
    </row>
    <row r="334" spans="1:20" x14ac:dyDescent="0.25">
      <c r="A334" s="6" t="s">
        <v>1646</v>
      </c>
      <c r="B334" s="6" t="s">
        <v>1674</v>
      </c>
      <c r="C334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334" s="6">
        <v>203</v>
      </c>
      <c r="E334" s="6">
        <v>4</v>
      </c>
      <c r="F334" s="6">
        <v>5</v>
      </c>
      <c r="G334" s="6">
        <v>13</v>
      </c>
      <c r="H334" s="6"/>
      <c r="I334" s="6"/>
      <c r="J334" s="6" t="s">
        <v>2398</v>
      </c>
      <c r="K334" s="6" t="s">
        <v>2439</v>
      </c>
      <c r="L334" s="6">
        <v>3</v>
      </c>
      <c r="M334" s="6">
        <v>5000</v>
      </c>
      <c r="N334" s="6">
        <v>6.5</v>
      </c>
      <c r="O334" s="6">
        <v>179</v>
      </c>
      <c r="P334" s="6" t="s">
        <v>2368</v>
      </c>
      <c r="Q334" s="6">
        <f>Table2_1[[#This Row],[Specs Score]] / (Table2_1[[#This Row],[Launched Price (USA)]] ^ 0.85)</f>
        <v>0.15007849875807472</v>
      </c>
      <c r="R334" s="6">
        <f>IFERROR(Table2_1[[#This Row],[Launched Price (USA)]] / S334, "")</f>
        <v>14.508064505240265</v>
      </c>
      <c r="S33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12.337965545669155</v>
      </c>
      <c r="T334" s="6">
        <v>2022</v>
      </c>
    </row>
    <row r="335" spans="1:20" x14ac:dyDescent="0.25">
      <c r="A335" s="6" t="s">
        <v>1646</v>
      </c>
      <c r="B335" s="6" t="s">
        <v>1675</v>
      </c>
      <c r="C33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35" s="6">
        <v>205</v>
      </c>
      <c r="E335" s="6">
        <v>8</v>
      </c>
      <c r="F335" s="6">
        <v>16</v>
      </c>
      <c r="G335" s="6">
        <v>50</v>
      </c>
      <c r="H335" s="6"/>
      <c r="I335" s="6"/>
      <c r="J335" s="6" t="s">
        <v>1676</v>
      </c>
      <c r="K335" s="6" t="s">
        <v>2439</v>
      </c>
      <c r="L335" s="6">
        <v>35</v>
      </c>
      <c r="M335" s="6">
        <v>5000</v>
      </c>
      <c r="N335" s="6">
        <v>6.78</v>
      </c>
      <c r="O335" s="6">
        <v>320</v>
      </c>
      <c r="P335" s="6" t="s">
        <v>2368</v>
      </c>
      <c r="Q335" s="6">
        <f>Table2_1[[#This Row],[Specs Score]] / (Table2_1[[#This Row],[Launched Price (USA)]] ^ 0.85)</f>
        <v>0.22597786851970597</v>
      </c>
      <c r="R335" s="6">
        <f>IFERROR(Table2_1[[#This Row],[Launched Price (USA)]] / S335, "")</f>
        <v>10.512514039231931</v>
      </c>
      <c r="S33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30.439911785685467</v>
      </c>
      <c r="T335" s="6">
        <v>2024</v>
      </c>
    </row>
    <row r="336" spans="1:20" x14ac:dyDescent="0.25">
      <c r="A336" s="6" t="s">
        <v>1646</v>
      </c>
      <c r="B336" s="6" t="s">
        <v>1678</v>
      </c>
      <c r="C33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36" s="6">
        <v>205</v>
      </c>
      <c r="E336" s="6">
        <v>8</v>
      </c>
      <c r="F336" s="6">
        <v>16</v>
      </c>
      <c r="G336" s="6">
        <v>50</v>
      </c>
      <c r="H336" s="6"/>
      <c r="I336" s="6"/>
      <c r="J336" s="6" t="s">
        <v>1676</v>
      </c>
      <c r="K336" s="6" t="s">
        <v>2439</v>
      </c>
      <c r="L336" s="6">
        <v>35</v>
      </c>
      <c r="M336" s="6">
        <v>5000</v>
      </c>
      <c r="N336" s="6">
        <v>6.78</v>
      </c>
      <c r="O336" s="6">
        <v>370</v>
      </c>
      <c r="P336" s="6" t="s">
        <v>2368</v>
      </c>
      <c r="Q336" s="6">
        <f>Table2_1[[#This Row],[Specs Score]] / (Table2_1[[#This Row],[Launched Price (USA)]] ^ 0.85)</f>
        <v>0.22514400404598467</v>
      </c>
      <c r="R336" s="6">
        <f>IFERROR(Table2_1[[#This Row],[Launched Price (USA)]] / S336, "")</f>
        <v>10.783751541610657</v>
      </c>
      <c r="S33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34.310879527620955</v>
      </c>
      <c r="T336" s="6">
        <v>2024</v>
      </c>
    </row>
    <row r="337" spans="1:20" x14ac:dyDescent="0.25">
      <c r="A337" s="6" t="s">
        <v>1646</v>
      </c>
      <c r="B337" s="6" t="s">
        <v>1693</v>
      </c>
      <c r="C33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37" s="6">
        <v>188</v>
      </c>
      <c r="E337" s="6">
        <v>4</v>
      </c>
      <c r="F337" s="6">
        <v>16</v>
      </c>
      <c r="G337" s="6">
        <v>50</v>
      </c>
      <c r="H337" s="6"/>
      <c r="I337" s="6"/>
      <c r="J337" s="6" t="s">
        <v>1694</v>
      </c>
      <c r="K337" s="6" t="s">
        <v>2439</v>
      </c>
      <c r="L337" s="6">
        <v>15</v>
      </c>
      <c r="M337" s="6">
        <v>5000</v>
      </c>
      <c r="N337" s="6">
        <v>6.72</v>
      </c>
      <c r="O337" s="6">
        <v>200</v>
      </c>
      <c r="P337" s="6" t="s">
        <v>2368</v>
      </c>
      <c r="Q337" s="6">
        <f>Table2_1[[#This Row],[Specs Score]] / (Table2_1[[#This Row],[Launched Price (USA)]] ^ 0.85)</f>
        <v>0.23607629104727718</v>
      </c>
      <c r="R337" s="6">
        <f>IFERROR(Table2_1[[#This Row],[Launched Price (USA)]] / S337, "")</f>
        <v>9.377825039675546</v>
      </c>
      <c r="S33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21.326906735180422</v>
      </c>
      <c r="T337" s="6">
        <v>2024</v>
      </c>
    </row>
    <row r="338" spans="1:20" x14ac:dyDescent="0.25">
      <c r="A338" s="6" t="s">
        <v>1646</v>
      </c>
      <c r="B338" s="6" t="s">
        <v>1695</v>
      </c>
      <c r="C33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38" s="6">
        <v>188</v>
      </c>
      <c r="E338" s="6">
        <v>8</v>
      </c>
      <c r="F338" s="6">
        <v>16</v>
      </c>
      <c r="G338" s="6">
        <v>50</v>
      </c>
      <c r="H338" s="6"/>
      <c r="I338" s="6"/>
      <c r="J338" s="6" t="s">
        <v>1694</v>
      </c>
      <c r="K338" s="6" t="s">
        <v>2439</v>
      </c>
      <c r="L338" s="6">
        <v>15</v>
      </c>
      <c r="M338" s="6">
        <v>5000</v>
      </c>
      <c r="N338" s="6">
        <v>6.72</v>
      </c>
      <c r="O338" s="6">
        <v>250</v>
      </c>
      <c r="P338" s="6" t="s">
        <v>2368</v>
      </c>
      <c r="Q338" s="6">
        <f>Table2_1[[#This Row],[Specs Score]] / (Table2_1[[#This Row],[Launched Price (USA)]] ^ 0.85)</f>
        <v>0.26736356893153862</v>
      </c>
      <c r="R338" s="6">
        <f>IFERROR(Table2_1[[#This Row],[Launched Price (USA)]] / S338, "")</f>
        <v>8.5622670991321552</v>
      </c>
      <c r="S33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29.197874477115903</v>
      </c>
      <c r="T338" s="6">
        <v>2024</v>
      </c>
    </row>
    <row r="339" spans="1:20" x14ac:dyDescent="0.25">
      <c r="A339" s="6" t="s">
        <v>1646</v>
      </c>
      <c r="B339" s="6" t="s">
        <v>1697</v>
      </c>
      <c r="C33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39" s="6">
        <v>183</v>
      </c>
      <c r="E339" s="6">
        <v>6</v>
      </c>
      <c r="F339" s="6">
        <v>16</v>
      </c>
      <c r="G339" s="6">
        <v>50</v>
      </c>
      <c r="H339" s="6"/>
      <c r="I339" s="6"/>
      <c r="J339" s="6" t="s">
        <v>1698</v>
      </c>
      <c r="K339" s="6" t="s">
        <v>2439</v>
      </c>
      <c r="L339" s="6">
        <v>28</v>
      </c>
      <c r="M339" s="6">
        <v>5000</v>
      </c>
      <c r="N339" s="6">
        <v>6.5</v>
      </c>
      <c r="O339" s="6">
        <v>250</v>
      </c>
      <c r="P339" s="6" t="s">
        <v>2368</v>
      </c>
      <c r="Q339" s="6">
        <f>Table2_1[[#This Row],[Specs Score]] / (Table2_1[[#This Row],[Launched Price (USA)]] ^ 0.85)</f>
        <v>0.24156562870304868</v>
      </c>
      <c r="R339" s="6">
        <f>IFERROR(Table2_1[[#This Row],[Launched Price (USA)]] / S339, "")</f>
        <v>9.4766722486963388</v>
      </c>
      <c r="S33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26.380568351342035</v>
      </c>
      <c r="T339" s="6">
        <v>2024</v>
      </c>
    </row>
    <row r="340" spans="1:20" x14ac:dyDescent="0.25">
      <c r="A340" s="6" t="s">
        <v>1646</v>
      </c>
      <c r="B340" s="6" t="s">
        <v>1699</v>
      </c>
      <c r="C34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40" s="6">
        <v>183</v>
      </c>
      <c r="E340" s="6">
        <v>8</v>
      </c>
      <c r="F340" s="6">
        <v>16</v>
      </c>
      <c r="G340" s="6">
        <v>50</v>
      </c>
      <c r="H340" s="6"/>
      <c r="I340" s="6"/>
      <c r="J340" s="6" t="s">
        <v>1698</v>
      </c>
      <c r="K340" s="6" t="s">
        <v>2439</v>
      </c>
      <c r="L340" s="6">
        <v>28</v>
      </c>
      <c r="M340" s="6">
        <v>5000</v>
      </c>
      <c r="N340" s="6">
        <v>6.5</v>
      </c>
      <c r="O340" s="6">
        <v>300</v>
      </c>
      <c r="P340" s="6" t="s">
        <v>2368</v>
      </c>
      <c r="Q340" s="6">
        <f>Table2_1[[#This Row],[Specs Score]] / (Table2_1[[#This Row],[Launched Price (USA)]] ^ 0.85)</f>
        <v>0.25292824918120854</v>
      </c>
      <c r="R340" s="6">
        <f>IFERROR(Table2_1[[#This Row],[Launched Price (USA)]] / S340, "")</f>
        <v>9.3018825252956479</v>
      </c>
      <c r="S34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32.251536093277515</v>
      </c>
      <c r="T340" s="6">
        <v>2024</v>
      </c>
    </row>
    <row r="341" spans="1:20" x14ac:dyDescent="0.25">
      <c r="A341" s="6" t="s">
        <v>1646</v>
      </c>
      <c r="B341" s="6" t="s">
        <v>1709</v>
      </c>
      <c r="C34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41" s="6">
        <v>173</v>
      </c>
      <c r="E341" s="6">
        <v>8</v>
      </c>
      <c r="F341" s="6">
        <v>32</v>
      </c>
      <c r="G341" s="6">
        <v>50</v>
      </c>
      <c r="H341" s="6"/>
      <c r="I341" s="6"/>
      <c r="J341" s="6" t="s">
        <v>1698</v>
      </c>
      <c r="K341" s="6" t="s">
        <v>2439</v>
      </c>
      <c r="L341" s="6">
        <v>28</v>
      </c>
      <c r="M341" s="6">
        <v>5000</v>
      </c>
      <c r="N341" s="6">
        <v>6.67</v>
      </c>
      <c r="O341" s="6">
        <v>320</v>
      </c>
      <c r="P341" s="6" t="s">
        <v>2368</v>
      </c>
      <c r="Q341" s="6">
        <f>Table2_1[[#This Row],[Specs Score]] / (Table2_1[[#This Row],[Launched Price (USA)]] ^ 0.85)</f>
        <v>0.2324837381579293</v>
      </c>
      <c r="R341" s="6">
        <f>IFERROR(Table2_1[[#This Row],[Launched Price (USA)]] / S341, "")</f>
        <v>10.218329824666458</v>
      </c>
      <c r="S34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31.316272374330538</v>
      </c>
      <c r="T341" s="6">
        <v>2024</v>
      </c>
    </row>
    <row r="342" spans="1:20" x14ac:dyDescent="0.25">
      <c r="A342" s="6" t="s">
        <v>1646</v>
      </c>
      <c r="B342" s="6" t="s">
        <v>1710</v>
      </c>
      <c r="C34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42" s="6">
        <v>173</v>
      </c>
      <c r="E342" s="6">
        <v>12</v>
      </c>
      <c r="F342" s="6">
        <v>32</v>
      </c>
      <c r="G342" s="6">
        <v>50</v>
      </c>
      <c r="H342" s="6"/>
      <c r="I342" s="6"/>
      <c r="J342" s="6" t="s">
        <v>1698</v>
      </c>
      <c r="K342" s="6" t="s">
        <v>2439</v>
      </c>
      <c r="L342" s="6">
        <v>28</v>
      </c>
      <c r="M342" s="6">
        <v>5000</v>
      </c>
      <c r="N342" s="6">
        <v>6.67</v>
      </c>
      <c r="O342" s="6">
        <v>370</v>
      </c>
      <c r="P342" s="6" t="s">
        <v>2368</v>
      </c>
      <c r="Q342" s="6">
        <f>Table2_1[[#This Row],[Specs Score]] / (Table2_1[[#This Row],[Launched Price (USA)]] ^ 0.85)</f>
        <v>0.25714211552592403</v>
      </c>
      <c r="R342" s="6">
        <f>IFERROR(Table2_1[[#This Row],[Launched Price (USA)]] / S342, "")</f>
        <v>9.4418489003623058</v>
      </c>
      <c r="S34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39.187240116266025</v>
      </c>
      <c r="T342" s="6">
        <v>2024</v>
      </c>
    </row>
    <row r="343" spans="1:20" x14ac:dyDescent="0.25">
      <c r="A343" s="6" t="s">
        <v>1646</v>
      </c>
      <c r="B343" s="6" t="s">
        <v>1713</v>
      </c>
      <c r="C343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343" s="6">
        <v>180</v>
      </c>
      <c r="E343" s="6">
        <v>4</v>
      </c>
      <c r="F343" s="6">
        <v>8</v>
      </c>
      <c r="G343" s="6">
        <v>13</v>
      </c>
      <c r="H343" s="6"/>
      <c r="I343" s="6"/>
      <c r="J343" s="6" t="s">
        <v>1714</v>
      </c>
      <c r="K343" s="6" t="s">
        <v>2439</v>
      </c>
      <c r="L343" s="6">
        <v>4</v>
      </c>
      <c r="M343" s="6">
        <v>5000</v>
      </c>
      <c r="N343" s="6">
        <v>6.5</v>
      </c>
      <c r="O343" s="6">
        <v>150</v>
      </c>
      <c r="P343" s="6" t="s">
        <v>2368</v>
      </c>
      <c r="Q343" s="6">
        <f>Table2_1[[#This Row],[Specs Score]] / (Table2_1[[#This Row],[Launched Price (USA)]] ^ 0.85)</f>
        <v>0.1852891499555574</v>
      </c>
      <c r="R343" s="6">
        <f>IFERROR(Table2_1[[#This Row],[Launched Price (USA)]] / S343, "")</f>
        <v>11.443627163623866</v>
      </c>
      <c r="S34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13.107732177504753</v>
      </c>
      <c r="T343" s="6">
        <v>2024</v>
      </c>
    </row>
    <row r="344" spans="1:20" x14ac:dyDescent="0.25">
      <c r="A344" s="6" t="s">
        <v>1646</v>
      </c>
      <c r="B344" s="6" t="s">
        <v>1716</v>
      </c>
      <c r="C34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44" s="6">
        <v>180</v>
      </c>
      <c r="E344" s="6">
        <v>4</v>
      </c>
      <c r="F344" s="6">
        <v>8</v>
      </c>
      <c r="G344" s="6">
        <v>13</v>
      </c>
      <c r="H344" s="6"/>
      <c r="I344" s="6"/>
      <c r="J344" s="6" t="s">
        <v>1714</v>
      </c>
      <c r="K344" s="6" t="s">
        <v>2439</v>
      </c>
      <c r="L344" s="6">
        <v>4</v>
      </c>
      <c r="M344" s="6">
        <v>5000</v>
      </c>
      <c r="N344" s="6">
        <v>6.5</v>
      </c>
      <c r="O344" s="6">
        <v>180</v>
      </c>
      <c r="P344" s="6" t="s">
        <v>2368</v>
      </c>
      <c r="Q344" s="6">
        <f>Table2_1[[#This Row],[Specs Score]] / (Table2_1[[#This Row],[Launched Price (USA)]] ^ 0.85)</f>
        <v>0.18212059624941546</v>
      </c>
      <c r="R344" s="6">
        <f>IFERROR(Table2_1[[#This Row],[Launched Price (USA)]] / S344, "")</f>
        <v>11.965526481837468</v>
      </c>
      <c r="S34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15.043216048472493</v>
      </c>
      <c r="T344" s="6">
        <v>2024</v>
      </c>
    </row>
    <row r="345" spans="1:20" x14ac:dyDescent="0.25">
      <c r="A345" s="6" t="s">
        <v>1646</v>
      </c>
      <c r="B345" s="6" t="s">
        <v>1722</v>
      </c>
      <c r="C34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45" s="6">
        <v>195</v>
      </c>
      <c r="E345" s="6">
        <v>6</v>
      </c>
      <c r="F345" s="6">
        <v>16</v>
      </c>
      <c r="G345" s="6">
        <v>50</v>
      </c>
      <c r="H345" s="6"/>
      <c r="I345" s="6"/>
      <c r="J345" s="6" t="s">
        <v>1723</v>
      </c>
      <c r="K345" s="6" t="s">
        <v>2439</v>
      </c>
      <c r="L345" s="6">
        <v>30</v>
      </c>
      <c r="M345" s="6">
        <v>5000</v>
      </c>
      <c r="N345" s="6">
        <v>6.8</v>
      </c>
      <c r="O345" s="6">
        <v>300</v>
      </c>
      <c r="P345" s="6" t="s">
        <v>2368</v>
      </c>
      <c r="Q345" s="6">
        <f>Table2_1[[#This Row],[Specs Score]] / (Table2_1[[#This Row],[Launched Price (USA)]] ^ 0.85)</f>
        <v>0.24365505116552963</v>
      </c>
      <c r="R345" s="6">
        <f>IFERROR(Table2_1[[#This Row],[Launched Price (USA)]] / S345, "")</f>
        <v>9.6559002161378125</v>
      </c>
      <c r="S34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31.069086598328028</v>
      </c>
      <c r="T345" s="6">
        <v>2024</v>
      </c>
    </row>
    <row r="346" spans="1:20" x14ac:dyDescent="0.25">
      <c r="A346" s="6" t="s">
        <v>1646</v>
      </c>
      <c r="B346" s="6" t="s">
        <v>1724</v>
      </c>
      <c r="C346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346" s="6">
        <v>195</v>
      </c>
      <c r="E346" s="6">
        <v>8</v>
      </c>
      <c r="F346" s="6">
        <v>16</v>
      </c>
      <c r="G346" s="6">
        <v>50</v>
      </c>
      <c r="H346" s="6"/>
      <c r="I346" s="6"/>
      <c r="J346" s="6" t="s">
        <v>1723</v>
      </c>
      <c r="K346" s="6" t="s">
        <v>2439</v>
      </c>
      <c r="L346" s="6">
        <v>30</v>
      </c>
      <c r="M346" s="6">
        <v>5000</v>
      </c>
      <c r="N346" s="6">
        <v>6.8</v>
      </c>
      <c r="O346" s="6">
        <v>350</v>
      </c>
      <c r="P346" s="6" t="s">
        <v>2368</v>
      </c>
      <c r="Q346" s="6">
        <f>Table2_1[[#This Row],[Specs Score]] / (Table2_1[[#This Row],[Launched Price (USA)]] ^ 0.85)</f>
        <v>0.28074991522827325</v>
      </c>
      <c r="R346" s="6">
        <f>IFERROR(Table2_1[[#This Row],[Launched Price (USA)]] / S346, "")</f>
        <v>8.5761145431509167</v>
      </c>
      <c r="S34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40.811022082198996</v>
      </c>
      <c r="T346" s="6">
        <v>2024</v>
      </c>
    </row>
    <row r="347" spans="1:20" x14ac:dyDescent="0.25">
      <c r="A347" s="6" t="s">
        <v>1646</v>
      </c>
      <c r="B347" s="6" t="s">
        <v>1735</v>
      </c>
      <c r="C34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47" s="6">
        <v>184</v>
      </c>
      <c r="E347" s="6">
        <v>4</v>
      </c>
      <c r="F347" s="6">
        <v>16</v>
      </c>
      <c r="G347" s="6">
        <v>50</v>
      </c>
      <c r="H347" s="6"/>
      <c r="I347" s="6"/>
      <c r="J347" s="6" t="s">
        <v>1736</v>
      </c>
      <c r="K347" s="6" t="s">
        <v>2439</v>
      </c>
      <c r="L347" s="6">
        <v>22</v>
      </c>
      <c r="M347" s="6">
        <v>5000</v>
      </c>
      <c r="N347" s="6">
        <v>6.5</v>
      </c>
      <c r="O347" s="6">
        <v>349</v>
      </c>
      <c r="P347" s="6" t="s">
        <v>2368</v>
      </c>
      <c r="Q347" s="6">
        <f>Table2_1[[#This Row],[Specs Score]] / (Table2_1[[#This Row],[Launched Price (USA)]] ^ 0.85)</f>
        <v>0.15768032632321657</v>
      </c>
      <c r="R347" s="6">
        <f>IFERROR(Table2_1[[#This Row],[Launched Price (USA)]] / S347, "")</f>
        <v>15.263224917361487</v>
      </c>
      <c r="S34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22.865416836190519</v>
      </c>
      <c r="T347" s="6">
        <v>2022</v>
      </c>
    </row>
    <row r="348" spans="1:20" x14ac:dyDescent="0.25">
      <c r="A348" s="6" t="s">
        <v>1646</v>
      </c>
      <c r="B348" s="6" t="s">
        <v>1737</v>
      </c>
      <c r="C34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48" s="6">
        <v>184</v>
      </c>
      <c r="E348" s="6">
        <v>6</v>
      </c>
      <c r="F348" s="6">
        <v>16</v>
      </c>
      <c r="G348" s="6">
        <v>50</v>
      </c>
      <c r="H348" s="6"/>
      <c r="I348" s="6"/>
      <c r="J348" s="6" t="s">
        <v>1736</v>
      </c>
      <c r="K348" s="6" t="s">
        <v>2439</v>
      </c>
      <c r="L348" s="6">
        <v>22</v>
      </c>
      <c r="M348" s="6">
        <v>5000</v>
      </c>
      <c r="N348" s="6">
        <v>6.5</v>
      </c>
      <c r="O348" s="6">
        <v>399</v>
      </c>
      <c r="P348" s="6" t="s">
        <v>2368</v>
      </c>
      <c r="Q348" s="6">
        <f>Table2_1[[#This Row],[Specs Score]] / (Table2_1[[#This Row],[Launched Price (USA)]] ^ 0.85)</f>
        <v>0.17685004140978244</v>
      </c>
      <c r="R348" s="6">
        <f>IFERROR(Table2_1[[#This Row],[Launched Price (USA)]] / S348, "")</f>
        <v>13.88483644890098</v>
      </c>
      <c r="S34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28.736384578126007</v>
      </c>
      <c r="T348" s="6">
        <v>2022</v>
      </c>
    </row>
    <row r="349" spans="1:20" x14ac:dyDescent="0.25">
      <c r="A349" s="6" t="s">
        <v>1646</v>
      </c>
      <c r="B349" s="6" t="s">
        <v>1740</v>
      </c>
      <c r="C349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349" s="6">
        <v>185</v>
      </c>
      <c r="E349" s="6">
        <v>3</v>
      </c>
      <c r="F349" s="6">
        <v>8</v>
      </c>
      <c r="G349" s="6">
        <v>16</v>
      </c>
      <c r="H349" s="6"/>
      <c r="I349" s="6"/>
      <c r="J349" s="6" t="s">
        <v>2380</v>
      </c>
      <c r="K349" s="6" t="s">
        <v>2439</v>
      </c>
      <c r="L349" s="6">
        <v>6</v>
      </c>
      <c r="M349" s="6">
        <v>5000</v>
      </c>
      <c r="N349" s="6">
        <v>6.5</v>
      </c>
      <c r="O349" s="6">
        <v>199</v>
      </c>
      <c r="P349" s="6" t="s">
        <v>2368</v>
      </c>
      <c r="Q349" s="6">
        <f>Table2_1[[#This Row],[Specs Score]] / (Table2_1[[#This Row],[Launched Price (USA)]] ^ 0.85)</f>
        <v>0.14192245576419499</v>
      </c>
      <c r="R349" s="6">
        <f>IFERROR(Table2_1[[#This Row],[Launched Price (USA)]] / S349, "")</f>
        <v>15.587513551940393</v>
      </c>
      <c r="S34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12.766628836401411</v>
      </c>
      <c r="T349" s="6">
        <v>2022</v>
      </c>
    </row>
    <row r="350" spans="1:20" x14ac:dyDescent="0.25">
      <c r="A350" s="6" t="s">
        <v>1646</v>
      </c>
      <c r="B350" s="6" t="s">
        <v>1742</v>
      </c>
      <c r="C350" s="6">
        <f>IF(ISNUMBER(SEARCH("GB", Table2_1[[#This Row],[Model Name]])), IFERROR(VALUE(TRIM(RIGHT(SUBSTITUTE(LEFT(Table2_1[[#This Row],[Model Name]], SEARCH("GB", Table2_1[[#This Row],[Model Name]])-1), " ", REPT(" ", 100)), 100))), 128), 128)</f>
        <v>32</v>
      </c>
      <c r="D350" s="6">
        <v>169</v>
      </c>
      <c r="E350" s="6">
        <v>2</v>
      </c>
      <c r="F350" s="6">
        <v>5</v>
      </c>
      <c r="G350" s="6">
        <v>16</v>
      </c>
      <c r="H350" s="6"/>
      <c r="I350" s="6"/>
      <c r="J350" s="6" t="s">
        <v>2380</v>
      </c>
      <c r="K350" s="6" t="s">
        <v>2439</v>
      </c>
      <c r="L350" s="6">
        <v>6</v>
      </c>
      <c r="M350" s="6">
        <v>4020</v>
      </c>
      <c r="N350" s="6">
        <v>6.5</v>
      </c>
      <c r="O350" s="6">
        <v>179</v>
      </c>
      <c r="P350" s="6" t="s">
        <v>2368</v>
      </c>
      <c r="Q350" s="6">
        <f>Table2_1[[#This Row],[Specs Score]] / (Table2_1[[#This Row],[Launched Price (USA)]] ^ 0.85)</f>
        <v>0.10562961773677765</v>
      </c>
      <c r="R350" s="6">
        <f>IFERROR(Table2_1[[#This Row],[Launched Price (USA)]] / S350, "")</f>
        <v>20.613049516638263</v>
      </c>
      <c r="S35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8.6838194346506725</v>
      </c>
      <c r="T350" s="6">
        <v>2022</v>
      </c>
    </row>
    <row r="351" spans="1:20" x14ac:dyDescent="0.25">
      <c r="A351" s="6" t="s">
        <v>1646</v>
      </c>
      <c r="B351" s="6" t="s">
        <v>1744</v>
      </c>
      <c r="C351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351" s="6">
        <v>169</v>
      </c>
      <c r="E351" s="6">
        <v>4</v>
      </c>
      <c r="F351" s="6">
        <v>5</v>
      </c>
      <c r="G351" s="6">
        <v>16</v>
      </c>
      <c r="H351" s="6"/>
      <c r="I351" s="6"/>
      <c r="J351" s="6" t="s">
        <v>2380</v>
      </c>
      <c r="K351" s="6" t="s">
        <v>2439</v>
      </c>
      <c r="L351" s="6">
        <v>6</v>
      </c>
      <c r="M351" s="6">
        <v>4020</v>
      </c>
      <c r="N351" s="6">
        <v>6.5</v>
      </c>
      <c r="O351" s="6">
        <v>199</v>
      </c>
      <c r="P351" s="6" t="s">
        <v>2368</v>
      </c>
      <c r="Q351" s="6">
        <f>Table2_1[[#This Row],[Specs Score]] / (Table2_1[[#This Row],[Launched Price (USA)]] ^ 0.85)</f>
        <v>0.12952661382476877</v>
      </c>
      <c r="R351" s="6">
        <f>IFERROR(Table2_1[[#This Row],[Launched Price (USA)]] / S351, "")</f>
        <v>17.079256048041749</v>
      </c>
      <c r="S35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11.651561370134543</v>
      </c>
      <c r="T351" s="6">
        <v>2022</v>
      </c>
    </row>
    <row r="352" spans="1:20" x14ac:dyDescent="0.25">
      <c r="A352" s="6" t="s">
        <v>1646</v>
      </c>
      <c r="B352" s="6" t="s">
        <v>1745</v>
      </c>
      <c r="C352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352" s="6">
        <v>185</v>
      </c>
      <c r="E352" s="6">
        <v>4</v>
      </c>
      <c r="F352" s="6">
        <v>16</v>
      </c>
      <c r="G352" s="6">
        <v>50</v>
      </c>
      <c r="H352" s="6"/>
      <c r="I352" s="6"/>
      <c r="J352" s="6" t="s">
        <v>2380</v>
      </c>
      <c r="K352" s="6" t="s">
        <v>2439</v>
      </c>
      <c r="L352" s="6">
        <v>6</v>
      </c>
      <c r="M352" s="6">
        <v>5000</v>
      </c>
      <c r="N352" s="6">
        <v>6.5</v>
      </c>
      <c r="O352" s="6">
        <v>249</v>
      </c>
      <c r="P352" s="6" t="s">
        <v>2368</v>
      </c>
      <c r="Q352" s="6">
        <f>Table2_1[[#This Row],[Specs Score]] / (Table2_1[[#This Row],[Launched Price (USA)]] ^ 0.85)</f>
        <v>0.15518441077138206</v>
      </c>
      <c r="R352" s="6">
        <f>IFERROR(Table2_1[[#This Row],[Launched Price (USA)]] / S352, "")</f>
        <v>14.742862344378398</v>
      </c>
      <c r="S35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16.889528924818741</v>
      </c>
      <c r="T352" s="6">
        <v>2022</v>
      </c>
    </row>
    <row r="353" spans="1:20" x14ac:dyDescent="0.25">
      <c r="A353" s="6" t="s">
        <v>1646</v>
      </c>
      <c r="B353" s="6" t="s">
        <v>1652</v>
      </c>
      <c r="C35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53" s="6">
        <v>192</v>
      </c>
      <c r="E353" s="6">
        <v>8</v>
      </c>
      <c r="F353" s="6">
        <v>32</v>
      </c>
      <c r="G353" s="6">
        <v>50</v>
      </c>
      <c r="H353" s="6"/>
      <c r="I353" s="6"/>
      <c r="J353" s="6" t="s">
        <v>767</v>
      </c>
      <c r="K353" s="6" t="s">
        <v>2437</v>
      </c>
      <c r="L353" s="6">
        <v>92</v>
      </c>
      <c r="M353" s="6">
        <v>3500</v>
      </c>
      <c r="N353" s="6">
        <v>6.7</v>
      </c>
      <c r="O353" s="6">
        <v>999</v>
      </c>
      <c r="P353" s="6" t="s">
        <v>2369</v>
      </c>
      <c r="Q353" s="6">
        <f>Table2_1[[#This Row],[Specs Score]] / (Table2_1[[#This Row],[Launched Price (USA)]] ^ 0.85)</f>
        <v>0.12711421597624323</v>
      </c>
      <c r="R353" s="6">
        <f>IFERROR(Table2_1[[#This Row],[Launched Price (USA)]] / S353, "")</f>
        <v>22.168724185567342</v>
      </c>
      <c r="S35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45.063486362033672</v>
      </c>
      <c r="T353" s="6">
        <v>2023</v>
      </c>
    </row>
    <row r="354" spans="1:20" x14ac:dyDescent="0.25">
      <c r="A354" s="6" t="s">
        <v>1646</v>
      </c>
      <c r="B354" s="6" t="s">
        <v>1655</v>
      </c>
      <c r="C35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54" s="6">
        <v>192</v>
      </c>
      <c r="E354" s="6">
        <v>12</v>
      </c>
      <c r="F354" s="6">
        <v>32</v>
      </c>
      <c r="G354" s="6">
        <v>50</v>
      </c>
      <c r="H354" s="6"/>
      <c r="I354" s="6"/>
      <c r="J354" s="6" t="s">
        <v>767</v>
      </c>
      <c r="K354" s="6" t="s">
        <v>2437</v>
      </c>
      <c r="L354" s="6">
        <v>92</v>
      </c>
      <c r="M354" s="6">
        <v>3500</v>
      </c>
      <c r="N354" s="6">
        <v>6.7</v>
      </c>
      <c r="O354" s="6">
        <v>1099</v>
      </c>
      <c r="P354" s="6" t="s">
        <v>2369</v>
      </c>
      <c r="Q354" s="6">
        <f>Table2_1[[#This Row],[Specs Score]] / (Table2_1[[#This Row],[Launched Price (USA)]] ^ 0.85)</f>
        <v>0.13768619560245182</v>
      </c>
      <c r="R354" s="6">
        <f>IFERROR(Table2_1[[#This Row],[Launched Price (USA)]] / S354, "")</f>
        <v>20.761525146579238</v>
      </c>
      <c r="S35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52.934454103969145</v>
      </c>
      <c r="T354" s="6">
        <v>2023</v>
      </c>
    </row>
    <row r="355" spans="1:20" x14ac:dyDescent="0.25">
      <c r="A355" s="6" t="s">
        <v>1646</v>
      </c>
      <c r="B355" s="6" t="s">
        <v>1704</v>
      </c>
      <c r="C355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355" s="6">
        <v>189</v>
      </c>
      <c r="E355" s="6">
        <v>12</v>
      </c>
      <c r="F355" s="6">
        <v>32</v>
      </c>
      <c r="G355" s="6">
        <v>50</v>
      </c>
      <c r="H355" s="6"/>
      <c r="I355" s="6"/>
      <c r="J355" s="6" t="s">
        <v>767</v>
      </c>
      <c r="K355" s="6" t="s">
        <v>2437</v>
      </c>
      <c r="L355" s="6">
        <v>92</v>
      </c>
      <c r="M355" s="6">
        <v>4000</v>
      </c>
      <c r="N355" s="6">
        <v>6.9</v>
      </c>
      <c r="O355" s="6">
        <v>1199</v>
      </c>
      <c r="P355" s="6" t="s">
        <v>2369</v>
      </c>
      <c r="Q355" s="6">
        <f>Table2_1[[#This Row],[Specs Score]] / (Table2_1[[#This Row],[Launched Price (USA)]] ^ 0.85)</f>
        <v>0.14903505708741727</v>
      </c>
      <c r="R355" s="6">
        <f>IFERROR(Table2_1[[#This Row],[Launched Price (USA)]] / S355, "")</f>
        <v>19.432757858884379</v>
      </c>
      <c r="S35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61.699940312477793</v>
      </c>
      <c r="T355" s="6">
        <v>2024</v>
      </c>
    </row>
    <row r="356" spans="1:20" x14ac:dyDescent="0.25">
      <c r="A356" s="6" t="s">
        <v>1646</v>
      </c>
      <c r="B356" s="6" t="s">
        <v>1720</v>
      </c>
      <c r="C356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356" s="6">
        <v>198</v>
      </c>
      <c r="E356" s="6">
        <v>12</v>
      </c>
      <c r="F356" s="6">
        <v>60</v>
      </c>
      <c r="G356" s="6">
        <v>200</v>
      </c>
      <c r="H356" s="6"/>
      <c r="I356" s="6"/>
      <c r="J356" s="6" t="s">
        <v>737</v>
      </c>
      <c r="K356" s="6" t="s">
        <v>2437</v>
      </c>
      <c r="L356" s="6">
        <v>100</v>
      </c>
      <c r="M356" s="6">
        <v>5000</v>
      </c>
      <c r="N356" s="6">
        <v>6.9</v>
      </c>
      <c r="O356" s="6">
        <v>1499</v>
      </c>
      <c r="P356" s="6" t="s">
        <v>2368</v>
      </c>
      <c r="Q356" s="6">
        <f>Table2_1[[#This Row],[Specs Score]] / (Table2_1[[#This Row],[Launched Price (USA)]] ^ 0.85)</f>
        <v>0.15557557460780339</v>
      </c>
      <c r="R356" s="6">
        <f>IFERROR(Table2_1[[#This Row],[Launched Price (USA)]] / S356, "")</f>
        <v>19.249915667275413</v>
      </c>
      <c r="S35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77.87047101449275</v>
      </c>
      <c r="T356" s="6">
        <v>2024</v>
      </c>
    </row>
    <row r="357" spans="1:20" x14ac:dyDescent="0.25">
      <c r="A357" s="6" t="s">
        <v>1646</v>
      </c>
      <c r="B357" s="6" t="s">
        <v>1725</v>
      </c>
      <c r="C357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357" s="6">
        <v>198</v>
      </c>
      <c r="E357" s="6">
        <v>12</v>
      </c>
      <c r="F357" s="6">
        <v>60</v>
      </c>
      <c r="G357" s="6">
        <v>200</v>
      </c>
      <c r="H357" s="6"/>
      <c r="I357" s="6"/>
      <c r="J357" s="6" t="s">
        <v>737</v>
      </c>
      <c r="K357" s="6" t="s">
        <v>2437</v>
      </c>
      <c r="L357" s="6">
        <v>100</v>
      </c>
      <c r="M357" s="6">
        <v>5000</v>
      </c>
      <c r="N357" s="6">
        <v>6.9</v>
      </c>
      <c r="O357" s="6">
        <v>1499</v>
      </c>
      <c r="P357" s="6" t="s">
        <v>2368</v>
      </c>
      <c r="Q357" s="6">
        <f>Table2_1[[#This Row],[Specs Score]] / (Table2_1[[#This Row],[Launched Price (USA)]] ^ 0.85)</f>
        <v>0.15557557460780339</v>
      </c>
      <c r="R357" s="6">
        <f>IFERROR(Table2_1[[#This Row],[Launched Price (USA)]] / S357, "")</f>
        <v>19.249915667275413</v>
      </c>
      <c r="S35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77.87047101449275</v>
      </c>
      <c r="T357" s="6">
        <v>2024</v>
      </c>
    </row>
    <row r="358" spans="1:20" x14ac:dyDescent="0.25">
      <c r="A358" s="6" t="s">
        <v>1646</v>
      </c>
      <c r="B358" s="6" t="s">
        <v>1726</v>
      </c>
      <c r="C35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58" s="6">
        <v>168</v>
      </c>
      <c r="E358" s="6">
        <v>8</v>
      </c>
      <c r="F358" s="6">
        <v>32</v>
      </c>
      <c r="G358" s="6">
        <v>50</v>
      </c>
      <c r="H358" s="6"/>
      <c r="I358" s="6"/>
      <c r="J358" s="6" t="s">
        <v>1727</v>
      </c>
      <c r="K358" s="6" t="s">
        <v>2437</v>
      </c>
      <c r="L358" s="6">
        <v>88</v>
      </c>
      <c r="M358" s="6">
        <v>4400</v>
      </c>
      <c r="N358" s="6">
        <v>6.55</v>
      </c>
      <c r="O358" s="6">
        <v>699</v>
      </c>
      <c r="P358" s="6" t="s">
        <v>2368</v>
      </c>
      <c r="Q358" s="6">
        <f>Table2_1[[#This Row],[Specs Score]] / (Table2_1[[#This Row],[Launched Price (USA)]] ^ 0.85)</f>
        <v>0.17334478647357074</v>
      </c>
      <c r="R358" s="6">
        <f>IFERROR(Table2_1[[#This Row],[Launched Price (USA)]] / S358, "")</f>
        <v>15.408515232534167</v>
      </c>
      <c r="S35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45.364526656280475</v>
      </c>
      <c r="T358" s="6">
        <v>2022</v>
      </c>
    </row>
    <row r="359" spans="1:20" x14ac:dyDescent="0.25">
      <c r="A359" s="6" t="s">
        <v>1646</v>
      </c>
      <c r="B359" s="6" t="s">
        <v>1728</v>
      </c>
      <c r="C35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59" s="6">
        <v>168</v>
      </c>
      <c r="E359" s="6">
        <v>12</v>
      </c>
      <c r="F359" s="6">
        <v>32</v>
      </c>
      <c r="G359" s="6">
        <v>50</v>
      </c>
      <c r="H359" s="6"/>
      <c r="I359" s="6"/>
      <c r="J359" s="6" t="s">
        <v>1727</v>
      </c>
      <c r="K359" s="6" t="s">
        <v>2437</v>
      </c>
      <c r="L359" s="6">
        <v>88</v>
      </c>
      <c r="M359" s="6">
        <v>4400</v>
      </c>
      <c r="N359" s="6">
        <v>6.55</v>
      </c>
      <c r="O359" s="6">
        <v>749</v>
      </c>
      <c r="P359" s="6" t="s">
        <v>2368</v>
      </c>
      <c r="Q359" s="6">
        <f>Table2_1[[#This Row],[Specs Score]] / (Table2_1[[#This Row],[Launched Price (USA)]] ^ 0.85)</f>
        <v>0.19181905481038378</v>
      </c>
      <c r="R359" s="6">
        <f>IFERROR(Table2_1[[#This Row],[Launched Price (USA)]] / S359, "")</f>
        <v>14.069560327500229</v>
      </c>
      <c r="S35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53.235494398215963</v>
      </c>
      <c r="T359" s="6">
        <v>2022</v>
      </c>
    </row>
    <row r="360" spans="1:20" x14ac:dyDescent="0.25">
      <c r="A360" s="6" t="s">
        <v>1646</v>
      </c>
      <c r="B360" s="6" t="s">
        <v>1647</v>
      </c>
      <c r="C36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60" s="6">
        <v>168</v>
      </c>
      <c r="E360" s="6">
        <v>8</v>
      </c>
      <c r="F360" s="6">
        <v>32</v>
      </c>
      <c r="G360" s="6">
        <v>50</v>
      </c>
      <c r="H360" s="6"/>
      <c r="I360" s="6"/>
      <c r="J360" s="6" t="s">
        <v>1648</v>
      </c>
      <c r="K360" s="6" t="s">
        <v>2438</v>
      </c>
      <c r="L360" s="6">
        <v>55</v>
      </c>
      <c r="M360" s="6">
        <v>5000</v>
      </c>
      <c r="N360" s="6">
        <v>6.7</v>
      </c>
      <c r="O360" s="6">
        <v>499</v>
      </c>
      <c r="P360" s="6" t="s">
        <v>2368</v>
      </c>
      <c r="Q360" s="6">
        <f>Table2_1[[#This Row],[Specs Score]] / (Table2_1[[#This Row],[Launched Price (USA)]] ^ 0.85)</f>
        <v>0.19421725700601236</v>
      </c>
      <c r="R360" s="6">
        <f>IFERROR(Table2_1[[#This Row],[Launched Price (USA)]] / S360, "")</f>
        <v>13.074565517853008</v>
      </c>
      <c r="S36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38.165704192512351</v>
      </c>
      <c r="T360" s="6">
        <v>2024</v>
      </c>
    </row>
    <row r="361" spans="1:20" x14ac:dyDescent="0.25">
      <c r="A361" s="6" t="s">
        <v>1646</v>
      </c>
      <c r="B361" s="6" t="s">
        <v>1649</v>
      </c>
      <c r="C36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61" s="6">
        <v>168</v>
      </c>
      <c r="E361" s="6">
        <v>12</v>
      </c>
      <c r="F361" s="6">
        <v>32</v>
      </c>
      <c r="G361" s="6">
        <v>50</v>
      </c>
      <c r="H361" s="6"/>
      <c r="I361" s="6"/>
      <c r="J361" s="6" t="s">
        <v>1648</v>
      </c>
      <c r="K361" s="6" t="s">
        <v>2438</v>
      </c>
      <c r="L361" s="6">
        <v>55</v>
      </c>
      <c r="M361" s="6">
        <v>5000</v>
      </c>
      <c r="N361" s="6">
        <v>6.7</v>
      </c>
      <c r="O361" s="6">
        <v>549</v>
      </c>
      <c r="P361" s="6" t="s">
        <v>2368</v>
      </c>
      <c r="Q361" s="6">
        <f>Table2_1[[#This Row],[Specs Score]] / (Table2_1[[#This Row],[Launched Price (USA)]] ^ 0.85)</f>
        <v>0.21600680213337281</v>
      </c>
      <c r="R361" s="6">
        <f>IFERROR(Table2_1[[#This Row],[Launched Price (USA)]] / S361, "")</f>
        <v>11.925275588594406</v>
      </c>
      <c r="S36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46.036671934447838</v>
      </c>
      <c r="T361" s="6">
        <v>2024</v>
      </c>
    </row>
    <row r="362" spans="1:20" x14ac:dyDescent="0.25">
      <c r="A362" s="6" t="s">
        <v>1646</v>
      </c>
      <c r="B362" s="6" t="s">
        <v>1650</v>
      </c>
      <c r="C36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62" s="6">
        <v>186</v>
      </c>
      <c r="E362" s="6">
        <v>8</v>
      </c>
      <c r="F362" s="6">
        <v>50</v>
      </c>
      <c r="G362" s="6">
        <v>50</v>
      </c>
      <c r="H362" s="6"/>
      <c r="I362" s="6"/>
      <c r="J362" s="6" t="s">
        <v>1172</v>
      </c>
      <c r="K362" s="6" t="s">
        <v>2438</v>
      </c>
      <c r="L362" s="6">
        <v>60</v>
      </c>
      <c r="M362" s="6">
        <v>4500</v>
      </c>
      <c r="N362" s="6">
        <v>6.7</v>
      </c>
      <c r="O362" s="6">
        <v>549</v>
      </c>
      <c r="P362" s="6" t="s">
        <v>2368</v>
      </c>
      <c r="Q362" s="6">
        <f>Table2_1[[#This Row],[Specs Score]] / (Table2_1[[#This Row],[Launched Price (USA)]] ^ 0.85)</f>
        <v>0.19573658634185054</v>
      </c>
      <c r="R362" s="6">
        <f>IFERROR(Table2_1[[#This Row],[Launched Price (USA)]] / S362, "")</f>
        <v>13.160240977905977</v>
      </c>
      <c r="S36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41.716561339696341</v>
      </c>
      <c r="T362" s="6">
        <v>2024</v>
      </c>
    </row>
    <row r="363" spans="1:20" x14ac:dyDescent="0.25">
      <c r="A363" s="6" t="s">
        <v>1646</v>
      </c>
      <c r="B363" s="6" t="s">
        <v>1651</v>
      </c>
      <c r="C36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63" s="6">
        <v>186</v>
      </c>
      <c r="E363" s="6">
        <v>12</v>
      </c>
      <c r="F363" s="6">
        <v>50</v>
      </c>
      <c r="G363" s="6">
        <v>50</v>
      </c>
      <c r="H363" s="6"/>
      <c r="I363" s="6"/>
      <c r="J363" s="6" t="s">
        <v>1172</v>
      </c>
      <c r="K363" s="6" t="s">
        <v>2438</v>
      </c>
      <c r="L363" s="6">
        <v>60</v>
      </c>
      <c r="M363" s="6">
        <v>4500</v>
      </c>
      <c r="N363" s="6">
        <v>6.7</v>
      </c>
      <c r="O363" s="6">
        <v>599</v>
      </c>
      <c r="P363" s="6" t="s">
        <v>2368</v>
      </c>
      <c r="Q363" s="6">
        <f>Table2_1[[#This Row],[Specs Score]] / (Table2_1[[#This Row],[Launched Price (USA)]] ^ 0.85)</f>
        <v>0.21605268562996788</v>
      </c>
      <c r="R363" s="6">
        <f>IFERROR(Table2_1[[#This Row],[Launched Price (USA)]] / S363, "")</f>
        <v>12.079650087301509</v>
      </c>
      <c r="S36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49.587529081631828</v>
      </c>
      <c r="T363" s="6">
        <v>2024</v>
      </c>
    </row>
    <row r="364" spans="1:20" x14ac:dyDescent="0.25">
      <c r="A364" s="6" t="s">
        <v>1646</v>
      </c>
      <c r="B364" s="6" t="s">
        <v>1656</v>
      </c>
      <c r="C36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64" s="6">
        <v>166</v>
      </c>
      <c r="E364" s="6">
        <v>8</v>
      </c>
      <c r="F364" s="6">
        <v>16</v>
      </c>
      <c r="G364" s="6">
        <v>50</v>
      </c>
      <c r="H364" s="6"/>
      <c r="I364" s="6"/>
      <c r="J364" s="6" t="s">
        <v>680</v>
      </c>
      <c r="K364" s="6" t="s">
        <v>2438</v>
      </c>
      <c r="L364" s="6">
        <v>40</v>
      </c>
      <c r="M364" s="6">
        <v>5000</v>
      </c>
      <c r="N364" s="6">
        <v>6.5</v>
      </c>
      <c r="O364" s="6">
        <v>299</v>
      </c>
      <c r="P364" s="6" t="s">
        <v>2368</v>
      </c>
      <c r="Q364" s="6">
        <f>Table2_1[[#This Row],[Specs Score]] / (Table2_1[[#This Row],[Launched Price (USA)]] ^ 0.85)</f>
        <v>0.24703556075631114</v>
      </c>
      <c r="R364" s="6">
        <f>IFERROR(Table2_1[[#This Row],[Launched Price (USA)]] / S364, "")</f>
        <v>9.5189973040582565</v>
      </c>
      <c r="S36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31.410871381645066</v>
      </c>
      <c r="T364" s="6">
        <v>2023</v>
      </c>
    </row>
    <row r="365" spans="1:20" x14ac:dyDescent="0.25">
      <c r="A365" s="6" t="s">
        <v>1646</v>
      </c>
      <c r="B365" s="6" t="s">
        <v>1658</v>
      </c>
      <c r="C36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65" s="6">
        <v>166</v>
      </c>
      <c r="E365" s="6">
        <v>12</v>
      </c>
      <c r="F365" s="6">
        <v>16</v>
      </c>
      <c r="G365" s="6">
        <v>50</v>
      </c>
      <c r="H365" s="6"/>
      <c r="I365" s="6"/>
      <c r="J365" s="6" t="s">
        <v>680</v>
      </c>
      <c r="K365" s="6" t="s">
        <v>2438</v>
      </c>
      <c r="L365" s="6">
        <v>40</v>
      </c>
      <c r="M365" s="6">
        <v>5000</v>
      </c>
      <c r="N365" s="6">
        <v>6.5</v>
      </c>
      <c r="O365" s="6">
        <v>349</v>
      </c>
      <c r="P365" s="6" t="s">
        <v>2368</v>
      </c>
      <c r="Q365" s="6">
        <f>Table2_1[[#This Row],[Specs Score]] / (Table2_1[[#This Row],[Launched Price (USA)]] ^ 0.85)</f>
        <v>0.27088827008737015</v>
      </c>
      <c r="R365" s="6">
        <f>IFERROR(Table2_1[[#This Row],[Launched Price (USA)]] / S365, "")</f>
        <v>8.8845127363321001</v>
      </c>
      <c r="S36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39.281839123580554</v>
      </c>
      <c r="T365" s="6">
        <v>2023</v>
      </c>
    </row>
    <row r="366" spans="1:20" x14ac:dyDescent="0.25">
      <c r="A366" s="6" t="s">
        <v>1646</v>
      </c>
      <c r="B366" s="6" t="s">
        <v>1661</v>
      </c>
      <c r="C36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66" s="6">
        <v>180</v>
      </c>
      <c r="E366" s="6">
        <v>6</v>
      </c>
      <c r="F366" s="6">
        <v>25</v>
      </c>
      <c r="G366" s="6">
        <v>48</v>
      </c>
      <c r="H366" s="6"/>
      <c r="I366" s="6"/>
      <c r="J366" s="6" t="s">
        <v>1663</v>
      </c>
      <c r="K366" s="6" t="s">
        <v>2438</v>
      </c>
      <c r="L366" s="6">
        <v>35</v>
      </c>
      <c r="M366" s="6">
        <v>3500</v>
      </c>
      <c r="N366" s="6">
        <v>6.3</v>
      </c>
      <c r="O366" s="6">
        <v>299</v>
      </c>
      <c r="P366" s="6" t="s">
        <v>2368</v>
      </c>
      <c r="Q366" s="6">
        <f>Table2_1[[#This Row],[Specs Score]] / (Table2_1[[#This Row],[Launched Price (USA)]] ^ 0.85)</f>
        <v>0.21190060919841605</v>
      </c>
      <c r="R366" s="6">
        <f>IFERROR(Table2_1[[#This Row],[Launched Price (USA)]] / S366, "")</f>
        <v>11.097329289147805</v>
      </c>
      <c r="S36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26.943419647139358</v>
      </c>
      <c r="T366" s="6">
        <v>2024</v>
      </c>
    </row>
    <row r="367" spans="1:20" x14ac:dyDescent="0.25">
      <c r="A367" s="6" t="s">
        <v>1646</v>
      </c>
      <c r="B367" s="6" t="s">
        <v>1664</v>
      </c>
      <c r="C36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67" s="6">
        <v>180</v>
      </c>
      <c r="E367" s="6">
        <v>8</v>
      </c>
      <c r="F367" s="6">
        <v>25</v>
      </c>
      <c r="G367" s="6">
        <v>48</v>
      </c>
      <c r="H367" s="6"/>
      <c r="I367" s="6"/>
      <c r="J367" s="6" t="s">
        <v>1663</v>
      </c>
      <c r="K367" s="6" t="s">
        <v>2438</v>
      </c>
      <c r="L367" s="6">
        <v>35</v>
      </c>
      <c r="M367" s="6">
        <v>3500</v>
      </c>
      <c r="N367" s="6">
        <v>6.3</v>
      </c>
      <c r="O367" s="6">
        <v>349</v>
      </c>
      <c r="P367" s="6" t="s">
        <v>2368</v>
      </c>
      <c r="Q367" s="6">
        <f>Table2_1[[#This Row],[Specs Score]] / (Table2_1[[#This Row],[Launched Price (USA)]] ^ 0.85)</f>
        <v>0.22628860644325813</v>
      </c>
      <c r="R367" s="6">
        <f>IFERROR(Table2_1[[#This Row],[Launched Price (USA)]] / S367, "")</f>
        <v>10.63557871314079</v>
      </c>
      <c r="S36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32.814387389074845</v>
      </c>
      <c r="T367" s="6">
        <v>2024</v>
      </c>
    </row>
    <row r="368" spans="1:20" x14ac:dyDescent="0.25">
      <c r="A368" s="6" t="s">
        <v>1646</v>
      </c>
      <c r="B368" s="6" t="s">
        <v>1665</v>
      </c>
      <c r="C36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68" s="6">
        <v>170</v>
      </c>
      <c r="E368" s="6">
        <v>6</v>
      </c>
      <c r="F368" s="6">
        <v>32</v>
      </c>
      <c r="G368" s="6">
        <v>64</v>
      </c>
      <c r="H368" s="6"/>
      <c r="I368" s="6"/>
      <c r="J368" s="6" t="s">
        <v>680</v>
      </c>
      <c r="K368" s="6" t="s">
        <v>2438</v>
      </c>
      <c r="L368" s="6">
        <v>40</v>
      </c>
      <c r="M368" s="6">
        <v>5000</v>
      </c>
      <c r="N368" s="6">
        <v>6.7</v>
      </c>
      <c r="O368" s="6">
        <v>399</v>
      </c>
      <c r="P368" s="6" t="s">
        <v>2368</v>
      </c>
      <c r="Q368" s="6">
        <f>Table2_1[[#This Row],[Specs Score]] / (Table2_1[[#This Row],[Launched Price (USA)]] ^ 0.85)</f>
        <v>0.20367868505360792</v>
      </c>
      <c r="R368" s="6">
        <f>IFERROR(Table2_1[[#This Row],[Launched Price (USA)]] / S368, "")</f>
        <v>12.055919844091207</v>
      </c>
      <c r="S36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33.095774122582284</v>
      </c>
      <c r="T368" s="6">
        <v>2024</v>
      </c>
    </row>
    <row r="369" spans="1:20" x14ac:dyDescent="0.25">
      <c r="A369" s="6" t="s">
        <v>1646</v>
      </c>
      <c r="B369" s="6" t="s">
        <v>1666</v>
      </c>
      <c r="C36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69" s="6">
        <v>170</v>
      </c>
      <c r="E369" s="6">
        <v>8</v>
      </c>
      <c r="F369" s="6">
        <v>32</v>
      </c>
      <c r="G369" s="6">
        <v>64</v>
      </c>
      <c r="H369" s="6"/>
      <c r="I369" s="6"/>
      <c r="J369" s="6" t="s">
        <v>680</v>
      </c>
      <c r="K369" s="6" t="s">
        <v>2438</v>
      </c>
      <c r="L369" s="6">
        <v>40</v>
      </c>
      <c r="M369" s="6">
        <v>5000</v>
      </c>
      <c r="N369" s="6">
        <v>6.7</v>
      </c>
      <c r="O369" s="6">
        <v>449</v>
      </c>
      <c r="P369" s="6" t="s">
        <v>2368</v>
      </c>
      <c r="Q369" s="6">
        <f>Table2_1[[#This Row],[Specs Score]] / (Table2_1[[#This Row],[Launched Price (USA)]] ^ 0.85)</f>
        <v>0.2169125623823259</v>
      </c>
      <c r="R369" s="6">
        <f>IFERROR(Table2_1[[#This Row],[Launched Price (USA)]] / S369, "")</f>
        <v>11.522646711421597</v>
      </c>
      <c r="S36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38.966741864517772</v>
      </c>
      <c r="T369" s="6">
        <v>2024</v>
      </c>
    </row>
    <row r="370" spans="1:20" x14ac:dyDescent="0.25">
      <c r="A370" s="6" t="s">
        <v>1646</v>
      </c>
      <c r="B370" s="6" t="s">
        <v>1681</v>
      </c>
      <c r="C37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70" s="6">
        <v>190</v>
      </c>
      <c r="E370" s="6">
        <v>8</v>
      </c>
      <c r="F370" s="6">
        <v>32</v>
      </c>
      <c r="G370" s="6">
        <v>64</v>
      </c>
      <c r="H370" s="6"/>
      <c r="I370" s="6"/>
      <c r="J370" s="6" t="s">
        <v>1229</v>
      </c>
      <c r="K370" s="6" t="s">
        <v>2438</v>
      </c>
      <c r="L370" s="6">
        <v>65</v>
      </c>
      <c r="M370" s="6">
        <v>4500</v>
      </c>
      <c r="N370" s="6">
        <v>6.7</v>
      </c>
      <c r="O370" s="6">
        <v>300</v>
      </c>
      <c r="P370" s="6" t="s">
        <v>2368</v>
      </c>
      <c r="Q370" s="6">
        <f>Table2_1[[#This Row],[Specs Score]] / (Table2_1[[#This Row],[Launched Price (USA)]] ^ 0.85)</f>
        <v>0.31835043190456574</v>
      </c>
      <c r="R370" s="6">
        <f>IFERROR(Table2_1[[#This Row],[Launched Price (USA)]] / S370, "")</f>
        <v>7.3903115102969164</v>
      </c>
      <c r="S37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40.593688044409248</v>
      </c>
      <c r="T370" s="6">
        <v>2024</v>
      </c>
    </row>
    <row r="371" spans="1:20" x14ac:dyDescent="0.25">
      <c r="A371" s="6" t="s">
        <v>1646</v>
      </c>
      <c r="B371" s="6" t="s">
        <v>1682</v>
      </c>
      <c r="C37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71" s="6">
        <v>190</v>
      </c>
      <c r="E371" s="6">
        <v>12</v>
      </c>
      <c r="F371" s="6">
        <v>32</v>
      </c>
      <c r="G371" s="6">
        <v>64</v>
      </c>
      <c r="H371" s="6"/>
      <c r="I371" s="6"/>
      <c r="J371" s="6" t="s">
        <v>1229</v>
      </c>
      <c r="K371" s="6" t="s">
        <v>2438</v>
      </c>
      <c r="L371" s="6">
        <v>65</v>
      </c>
      <c r="M371" s="6">
        <v>4500</v>
      </c>
      <c r="N371" s="6">
        <v>6.7</v>
      </c>
      <c r="O371" s="6">
        <v>350</v>
      </c>
      <c r="P371" s="6" t="s">
        <v>2368</v>
      </c>
      <c r="Q371" s="6">
        <f>Table2_1[[#This Row],[Specs Score]] / (Table2_1[[#This Row],[Launched Price (USA)]] ^ 0.85)</f>
        <v>0.33340130458331757</v>
      </c>
      <c r="R371" s="6">
        <f>IFERROR(Table2_1[[#This Row],[Launched Price (USA)]] / S371, "")</f>
        <v>7.2217576772435264</v>
      </c>
      <c r="S37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48.464655786344736</v>
      </c>
      <c r="T371" s="6">
        <v>2024</v>
      </c>
    </row>
    <row r="372" spans="1:20" x14ac:dyDescent="0.25">
      <c r="A372" s="6" t="s">
        <v>1646</v>
      </c>
      <c r="B372" s="6" t="s">
        <v>1684</v>
      </c>
      <c r="C37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72" s="6">
        <v>171</v>
      </c>
      <c r="E372" s="6">
        <v>8</v>
      </c>
      <c r="F372" s="6">
        <v>32</v>
      </c>
      <c r="G372" s="6">
        <v>50</v>
      </c>
      <c r="H372" s="6"/>
      <c r="I372" s="6"/>
      <c r="J372" s="6" t="s">
        <v>1155</v>
      </c>
      <c r="K372" s="6" t="s">
        <v>2438</v>
      </c>
      <c r="L372" s="6">
        <v>55</v>
      </c>
      <c r="M372" s="6">
        <v>4310</v>
      </c>
      <c r="N372" s="6">
        <v>6.4</v>
      </c>
      <c r="O372" s="6">
        <v>400</v>
      </c>
      <c r="P372" s="6" t="s">
        <v>2368</v>
      </c>
      <c r="Q372" s="6">
        <f>Table2_1[[#This Row],[Specs Score]] / (Table2_1[[#This Row],[Launched Price (USA)]] ^ 0.85)</f>
        <v>0.24932520403491235</v>
      </c>
      <c r="R372" s="6">
        <f>IFERROR(Table2_1[[#This Row],[Launched Price (USA)]] / S372, "")</f>
        <v>9.8524176957561416</v>
      </c>
      <c r="S37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40.599171934447838</v>
      </c>
      <c r="T372" s="6">
        <v>2024</v>
      </c>
    </row>
    <row r="373" spans="1:20" x14ac:dyDescent="0.25">
      <c r="A373" s="6" t="s">
        <v>1646</v>
      </c>
      <c r="B373" s="6" t="s">
        <v>1687</v>
      </c>
      <c r="C373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373" s="6">
        <v>171</v>
      </c>
      <c r="E373" s="6">
        <v>12</v>
      </c>
      <c r="F373" s="6">
        <v>32</v>
      </c>
      <c r="G373" s="6">
        <v>50</v>
      </c>
      <c r="H373" s="6"/>
      <c r="I373" s="6"/>
      <c r="J373" s="6" t="s">
        <v>1155</v>
      </c>
      <c r="K373" s="6" t="s">
        <v>2438</v>
      </c>
      <c r="L373" s="6">
        <v>55</v>
      </c>
      <c r="M373" s="6">
        <v>4310</v>
      </c>
      <c r="N373" s="6">
        <v>6.4</v>
      </c>
      <c r="O373" s="6">
        <v>450</v>
      </c>
      <c r="P373" s="6" t="s">
        <v>2368</v>
      </c>
      <c r="Q373" s="6">
        <f>Table2_1[[#This Row],[Specs Score]] / (Table2_1[[#This Row],[Launched Price (USA)]] ^ 0.85)</f>
        <v>0.29081196463504178</v>
      </c>
      <c r="R373" s="6">
        <f>IFERROR(Table2_1[[#This Row],[Launched Price (USA)]] / S373, "")</f>
        <v>8.5974489688100277</v>
      </c>
      <c r="S37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52.341107418318813</v>
      </c>
      <c r="T373" s="6">
        <v>2024</v>
      </c>
    </row>
    <row r="374" spans="1:20" x14ac:dyDescent="0.25">
      <c r="A374" s="6" t="s">
        <v>1646</v>
      </c>
      <c r="B374" s="6" t="s">
        <v>1690</v>
      </c>
      <c r="C37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74" s="6">
        <v>182</v>
      </c>
      <c r="E374" s="6">
        <v>8</v>
      </c>
      <c r="F374" s="6">
        <v>16</v>
      </c>
      <c r="G374" s="6">
        <v>50</v>
      </c>
      <c r="H374" s="6"/>
      <c r="I374" s="6"/>
      <c r="J374" s="6" t="s">
        <v>2404</v>
      </c>
      <c r="K374" s="6" t="s">
        <v>2438</v>
      </c>
      <c r="L374" s="6">
        <v>45</v>
      </c>
      <c r="M374" s="6">
        <v>5000</v>
      </c>
      <c r="N374" s="6">
        <v>6.49</v>
      </c>
      <c r="O374" s="6">
        <v>270</v>
      </c>
      <c r="P374" s="6" t="s">
        <v>2368</v>
      </c>
      <c r="Q374" s="6">
        <f>Table2_1[[#This Row],[Specs Score]] / (Table2_1[[#This Row],[Launched Price (USA)]] ^ 0.85)</f>
        <v>0.2801547227547932</v>
      </c>
      <c r="R374" s="6">
        <f>IFERROR(Table2_1[[#This Row],[Launched Price (USA)]] / S374, "")</f>
        <v>8.2662134715682427</v>
      </c>
      <c r="S37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32.663080977604658</v>
      </c>
      <c r="T374" s="6">
        <v>2024</v>
      </c>
    </row>
    <row r="375" spans="1:20" x14ac:dyDescent="0.25">
      <c r="A375" s="6" t="s">
        <v>1646</v>
      </c>
      <c r="B375" s="6" t="s">
        <v>1692</v>
      </c>
      <c r="C37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75" s="6">
        <v>182</v>
      </c>
      <c r="E375" s="6">
        <v>8</v>
      </c>
      <c r="F375" s="6">
        <v>16</v>
      </c>
      <c r="G375" s="6">
        <v>50</v>
      </c>
      <c r="H375" s="6"/>
      <c r="I375" s="6"/>
      <c r="J375" s="6" t="s">
        <v>2404</v>
      </c>
      <c r="K375" s="6" t="s">
        <v>2438</v>
      </c>
      <c r="L375" s="6">
        <v>45</v>
      </c>
      <c r="M375" s="6">
        <v>5000</v>
      </c>
      <c r="N375" s="6">
        <v>6.49</v>
      </c>
      <c r="O375" s="6">
        <v>320</v>
      </c>
      <c r="P375" s="6" t="s">
        <v>2368</v>
      </c>
      <c r="Q375" s="6">
        <f>Table2_1[[#This Row],[Specs Score]] / (Table2_1[[#This Row],[Launched Price (USA)]] ^ 0.85)</f>
        <v>0.27121913217630117</v>
      </c>
      <c r="R375" s="6">
        <f>IFERROR(Table2_1[[#This Row],[Launched Price (USA)]] / S375, "")</f>
        <v>8.7589525720659811</v>
      </c>
      <c r="S37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36.534048719540145</v>
      </c>
      <c r="T375" s="6">
        <v>2024</v>
      </c>
    </row>
    <row r="376" spans="1:20" x14ac:dyDescent="0.25">
      <c r="A376" s="6" t="s">
        <v>1646</v>
      </c>
      <c r="B376" s="6" t="s">
        <v>1700</v>
      </c>
      <c r="C37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76" s="6">
        <v>180</v>
      </c>
      <c r="E376" s="6">
        <v>8</v>
      </c>
      <c r="F376" s="6">
        <v>32</v>
      </c>
      <c r="G376" s="6">
        <v>50</v>
      </c>
      <c r="H376" s="6"/>
      <c r="I376" s="6"/>
      <c r="J376" s="6" t="s">
        <v>1701</v>
      </c>
      <c r="K376" s="6" t="s">
        <v>2438</v>
      </c>
      <c r="L376" s="6">
        <v>50</v>
      </c>
      <c r="M376" s="6">
        <v>4700</v>
      </c>
      <c r="N376" s="6">
        <v>6.7</v>
      </c>
      <c r="O376" s="6">
        <v>450</v>
      </c>
      <c r="P376" s="6" t="s">
        <v>2368</v>
      </c>
      <c r="Q376" s="6">
        <f>Table2_1[[#This Row],[Specs Score]] / (Table2_1[[#This Row],[Launched Price (USA)]] ^ 0.85)</f>
        <v>0.22382666174042767</v>
      </c>
      <c r="R376" s="6">
        <f>IFERROR(Table2_1[[#This Row],[Launched Price (USA)]] / S376, "")</f>
        <v>11.170434326401624</v>
      </c>
      <c r="S37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40.284915237038973</v>
      </c>
      <c r="T376" s="6">
        <v>2024</v>
      </c>
    </row>
    <row r="377" spans="1:20" x14ac:dyDescent="0.25">
      <c r="A377" s="6" t="s">
        <v>1646</v>
      </c>
      <c r="B377" s="6" t="s">
        <v>1702</v>
      </c>
      <c r="C377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377" s="6">
        <v>180</v>
      </c>
      <c r="E377" s="6">
        <v>12</v>
      </c>
      <c r="F377" s="6">
        <v>32</v>
      </c>
      <c r="G377" s="6">
        <v>50</v>
      </c>
      <c r="H377" s="6"/>
      <c r="I377" s="6"/>
      <c r="J377" s="6" t="s">
        <v>1701</v>
      </c>
      <c r="K377" s="6" t="s">
        <v>2438</v>
      </c>
      <c r="L377" s="6">
        <v>50</v>
      </c>
      <c r="M377" s="6">
        <v>4700</v>
      </c>
      <c r="N377" s="6">
        <v>6.7</v>
      </c>
      <c r="O377" s="6">
        <v>500</v>
      </c>
      <c r="P377" s="6" t="s">
        <v>2368</v>
      </c>
      <c r="Q377" s="6">
        <f>Table2_1[[#This Row],[Specs Score]] / (Table2_1[[#This Row],[Launched Price (USA)]] ^ 0.85)</f>
        <v>0.26430357310748082</v>
      </c>
      <c r="R377" s="6">
        <f>IFERROR(Table2_1[[#This Row],[Launched Price (USA)]] / S377, "")</f>
        <v>9.6104221776208085</v>
      </c>
      <c r="S37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52.026850720909934</v>
      </c>
      <c r="T377" s="6">
        <v>2024</v>
      </c>
    </row>
    <row r="378" spans="1:20" x14ac:dyDescent="0.25">
      <c r="A378" s="6" t="s">
        <v>1646</v>
      </c>
      <c r="B378" s="6" t="s">
        <v>1706</v>
      </c>
      <c r="C37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78" s="6">
        <v>188</v>
      </c>
      <c r="E378" s="6">
        <v>8</v>
      </c>
      <c r="F378" s="6">
        <v>32</v>
      </c>
      <c r="G378" s="6">
        <v>50</v>
      </c>
      <c r="H378" s="6"/>
      <c r="I378" s="6"/>
      <c r="J378" s="6" t="s">
        <v>1648</v>
      </c>
      <c r="K378" s="6" t="s">
        <v>2438</v>
      </c>
      <c r="L378" s="6">
        <v>55</v>
      </c>
      <c r="M378" s="6">
        <v>3800</v>
      </c>
      <c r="N378" s="6">
        <v>6.7</v>
      </c>
      <c r="O378" s="6">
        <v>999</v>
      </c>
      <c r="P378" s="6" t="s">
        <v>2369</v>
      </c>
      <c r="Q378" s="6">
        <f>Table2_1[[#This Row],[Specs Score]] / (Table2_1[[#This Row],[Launched Price (USA)]] ^ 0.85)</f>
        <v>0.11305731712272078</v>
      </c>
      <c r="R378" s="6">
        <f>IFERROR(Table2_1[[#This Row],[Launched Price (USA)]] / S378, "")</f>
        <v>24.925056296737981</v>
      </c>
      <c r="S37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40.080150195317401</v>
      </c>
      <c r="T378" s="6">
        <v>2024</v>
      </c>
    </row>
    <row r="379" spans="1:20" x14ac:dyDescent="0.25">
      <c r="A379" s="6" t="s">
        <v>1646</v>
      </c>
      <c r="B379" s="6" t="s">
        <v>1711</v>
      </c>
      <c r="C37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79" s="6">
        <v>170</v>
      </c>
      <c r="E379" s="6">
        <v>8</v>
      </c>
      <c r="F379" s="6">
        <v>32</v>
      </c>
      <c r="G379" s="6">
        <v>50</v>
      </c>
      <c r="H379" s="6"/>
      <c r="I379" s="6"/>
      <c r="J379" s="6" t="s">
        <v>2393</v>
      </c>
      <c r="K379" s="6" t="s">
        <v>2438</v>
      </c>
      <c r="L379" s="6">
        <v>50</v>
      </c>
      <c r="M379" s="6">
        <v>4300</v>
      </c>
      <c r="N379" s="6">
        <v>6.5</v>
      </c>
      <c r="O379" s="6">
        <v>300</v>
      </c>
      <c r="P379" s="6" t="s">
        <v>2368</v>
      </c>
      <c r="Q379" s="6">
        <f>Table2_1[[#This Row],[Specs Score]] / (Table2_1[[#This Row],[Launched Price (USA)]] ^ 0.85)</f>
        <v>0.30918051342560054</v>
      </c>
      <c r="R379" s="6">
        <f>IFERROR(Table2_1[[#This Row],[Launched Price (USA)]] / S379, "")</f>
        <v>7.6094991729756929</v>
      </c>
      <c r="S37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39.424407990662161</v>
      </c>
      <c r="T379" s="6">
        <v>2024</v>
      </c>
    </row>
    <row r="380" spans="1:20" x14ac:dyDescent="0.25">
      <c r="A380" s="6" t="s">
        <v>1646</v>
      </c>
      <c r="B380" s="6" t="s">
        <v>1712</v>
      </c>
      <c r="C380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380" s="6">
        <v>170</v>
      </c>
      <c r="E380" s="6">
        <v>12</v>
      </c>
      <c r="F380" s="6">
        <v>32</v>
      </c>
      <c r="G380" s="6">
        <v>50</v>
      </c>
      <c r="H380" s="6"/>
      <c r="I380" s="6"/>
      <c r="J380" s="6" t="s">
        <v>2393</v>
      </c>
      <c r="K380" s="6" t="s">
        <v>2438</v>
      </c>
      <c r="L380" s="6">
        <v>50</v>
      </c>
      <c r="M380" s="6">
        <v>4300</v>
      </c>
      <c r="N380" s="6">
        <v>6.5</v>
      </c>
      <c r="O380" s="6">
        <v>350</v>
      </c>
      <c r="P380" s="6" t="s">
        <v>2368</v>
      </c>
      <c r="Q380" s="6">
        <f>Table2_1[[#This Row],[Specs Score]] / (Table2_1[[#This Row],[Launched Price (USA)]] ^ 0.85)</f>
        <v>0.35198693539414216</v>
      </c>
      <c r="R380" s="6">
        <f>IFERROR(Table2_1[[#This Row],[Launched Price (USA)]] / S380, "")</f>
        <v>6.8404340867977895</v>
      </c>
      <c r="S38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51.166343474533122</v>
      </c>
      <c r="T380" s="6">
        <v>2024</v>
      </c>
    </row>
    <row r="381" spans="1:20" x14ac:dyDescent="0.25">
      <c r="A381" s="6" t="s">
        <v>1646</v>
      </c>
      <c r="B381" s="6" t="s">
        <v>1718</v>
      </c>
      <c r="C38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81" s="6">
        <v>174</v>
      </c>
      <c r="E381" s="6">
        <v>8</v>
      </c>
      <c r="F381" s="6">
        <v>32</v>
      </c>
      <c r="G381" s="6">
        <v>50</v>
      </c>
      <c r="H381" s="6"/>
      <c r="I381" s="6"/>
      <c r="J381" s="6" t="s">
        <v>1701</v>
      </c>
      <c r="K381" s="6" t="s">
        <v>2438</v>
      </c>
      <c r="L381" s="6">
        <v>50</v>
      </c>
      <c r="M381" s="6">
        <v>4700</v>
      </c>
      <c r="N381" s="6">
        <v>6.7</v>
      </c>
      <c r="O381" s="6">
        <v>450</v>
      </c>
      <c r="P381" s="6" t="s">
        <v>2368</v>
      </c>
      <c r="Q381" s="6">
        <f>Table2_1[[#This Row],[Specs Score]] / (Table2_1[[#This Row],[Launched Price (USA)]] ^ 0.85)</f>
        <v>0.22382666174042767</v>
      </c>
      <c r="R381" s="6">
        <f>IFERROR(Table2_1[[#This Row],[Launched Price (USA)]] / S381, "")</f>
        <v>11.170434326401624</v>
      </c>
      <c r="S38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40.284915237038973</v>
      </c>
      <c r="T381" s="6">
        <v>2024</v>
      </c>
    </row>
    <row r="382" spans="1:20" x14ac:dyDescent="0.25">
      <c r="A382" s="6" t="s">
        <v>1646</v>
      </c>
      <c r="B382" s="6" t="s">
        <v>1719</v>
      </c>
      <c r="C382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382" s="6">
        <v>174</v>
      </c>
      <c r="E382" s="6">
        <v>12</v>
      </c>
      <c r="F382" s="6">
        <v>32</v>
      </c>
      <c r="G382" s="6">
        <v>50</v>
      </c>
      <c r="H382" s="6"/>
      <c r="I382" s="6"/>
      <c r="J382" s="6" t="s">
        <v>1701</v>
      </c>
      <c r="K382" s="6" t="s">
        <v>2438</v>
      </c>
      <c r="L382" s="6">
        <v>50</v>
      </c>
      <c r="M382" s="6">
        <v>4700</v>
      </c>
      <c r="N382" s="6">
        <v>6.7</v>
      </c>
      <c r="O382" s="6">
        <v>500</v>
      </c>
      <c r="P382" s="6" t="s">
        <v>2368</v>
      </c>
      <c r="Q382" s="6">
        <f>Table2_1[[#This Row],[Specs Score]] / (Table2_1[[#This Row],[Launched Price (USA)]] ^ 0.85)</f>
        <v>0.26430357310748082</v>
      </c>
      <c r="R382" s="6">
        <f>IFERROR(Table2_1[[#This Row],[Launched Price (USA)]] / S382, "")</f>
        <v>9.6104221776208085</v>
      </c>
      <c r="S38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52.026850720909934</v>
      </c>
      <c r="T382" s="6">
        <v>2024</v>
      </c>
    </row>
    <row r="383" spans="1:20" x14ac:dyDescent="0.25">
      <c r="A383" s="6" t="s">
        <v>1646</v>
      </c>
      <c r="B383" s="6" t="s">
        <v>1729</v>
      </c>
      <c r="C38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83" s="6">
        <v>155</v>
      </c>
      <c r="E383" s="6">
        <v>6</v>
      </c>
      <c r="F383" s="6">
        <v>32</v>
      </c>
      <c r="G383" s="6">
        <v>64</v>
      </c>
      <c r="H383" s="6"/>
      <c r="I383" s="6"/>
      <c r="J383" s="6" t="s">
        <v>1730</v>
      </c>
      <c r="K383" s="6" t="s">
        <v>2438</v>
      </c>
      <c r="L383" s="6">
        <v>40</v>
      </c>
      <c r="M383" s="6">
        <v>4020</v>
      </c>
      <c r="N383" s="6">
        <v>6.28</v>
      </c>
      <c r="O383" s="6">
        <v>499</v>
      </c>
      <c r="P383" s="6" t="s">
        <v>2368</v>
      </c>
      <c r="Q383" s="6">
        <f>Table2_1[[#This Row],[Specs Score]] / (Table2_1[[#This Row],[Launched Price (USA)]] ^ 0.85)</f>
        <v>0.15806009993759057</v>
      </c>
      <c r="R383" s="6">
        <f>IFERROR(Table2_1[[#This Row],[Launched Price (USA)]] / S383, "")</f>
        <v>16.065447588768073</v>
      </c>
      <c r="S38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31.060448035625768</v>
      </c>
      <c r="T383" s="6">
        <v>2022</v>
      </c>
    </row>
    <row r="384" spans="1:20" x14ac:dyDescent="0.25">
      <c r="A384" s="6" t="s">
        <v>1646</v>
      </c>
      <c r="B384" s="6" t="s">
        <v>1732</v>
      </c>
      <c r="C38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84" s="6">
        <v>155</v>
      </c>
      <c r="E384" s="6">
        <v>8</v>
      </c>
      <c r="F384" s="6">
        <v>32</v>
      </c>
      <c r="G384" s="6">
        <v>64</v>
      </c>
      <c r="H384" s="6"/>
      <c r="I384" s="6"/>
      <c r="J384" s="6" t="s">
        <v>1730</v>
      </c>
      <c r="K384" s="6" t="s">
        <v>2438</v>
      </c>
      <c r="L384" s="6">
        <v>40</v>
      </c>
      <c r="M384" s="6">
        <v>4020</v>
      </c>
      <c r="N384" s="6">
        <v>6.28</v>
      </c>
      <c r="O384" s="6">
        <v>549</v>
      </c>
      <c r="P384" s="6" t="s">
        <v>2368</v>
      </c>
      <c r="Q384" s="6">
        <f>Table2_1[[#This Row],[Specs Score]] / (Table2_1[[#This Row],[Launched Price (USA)]] ^ 0.85)</f>
        <v>0.17328439883161328</v>
      </c>
      <c r="R384" s="6">
        <f>IFERROR(Table2_1[[#This Row],[Launched Price (USA)]] / S384, "")</f>
        <v>14.865392740604349</v>
      </c>
      <c r="S38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36.931415777561256</v>
      </c>
      <c r="T384" s="6">
        <v>2022</v>
      </c>
    </row>
    <row r="385" spans="1:20" x14ac:dyDescent="0.25">
      <c r="A385" s="6" t="s">
        <v>1646</v>
      </c>
      <c r="B385" s="6" t="s">
        <v>1733</v>
      </c>
      <c r="C38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85" s="6">
        <v>173</v>
      </c>
      <c r="E385" s="6">
        <v>6</v>
      </c>
      <c r="F385" s="6">
        <v>16</v>
      </c>
      <c r="G385" s="6">
        <v>50</v>
      </c>
      <c r="H385" s="6"/>
      <c r="I385" s="6"/>
      <c r="J385" s="6" t="s">
        <v>1730</v>
      </c>
      <c r="K385" s="6" t="s">
        <v>2438</v>
      </c>
      <c r="L385" s="6">
        <v>40</v>
      </c>
      <c r="M385" s="6">
        <v>5000</v>
      </c>
      <c r="N385" s="6">
        <v>6.6</v>
      </c>
      <c r="O385" s="6">
        <v>399</v>
      </c>
      <c r="P385" s="6" t="s">
        <v>2368</v>
      </c>
      <c r="Q385" s="6">
        <f>Table2_1[[#This Row],[Specs Score]] / (Table2_1[[#This Row],[Launched Price (USA)]] ^ 0.85)</f>
        <v>0.18164204640511633</v>
      </c>
      <c r="R385" s="6">
        <f>IFERROR(Table2_1[[#This Row],[Launched Price (USA)]] / S385, "")</f>
        <v>13.518532462905734</v>
      </c>
      <c r="S38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29.51503804831173</v>
      </c>
      <c r="T385" s="6">
        <v>2022</v>
      </c>
    </row>
    <row r="386" spans="1:20" x14ac:dyDescent="0.25">
      <c r="A386" s="6" t="s">
        <v>1646</v>
      </c>
      <c r="B386" s="6" t="s">
        <v>1734</v>
      </c>
      <c r="C38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386" s="6">
        <v>173</v>
      </c>
      <c r="E386" s="6">
        <v>8</v>
      </c>
      <c r="F386" s="6">
        <v>16</v>
      </c>
      <c r="G386" s="6">
        <v>50</v>
      </c>
      <c r="H386" s="6"/>
      <c r="I386" s="6"/>
      <c r="J386" s="6" t="s">
        <v>1730</v>
      </c>
      <c r="K386" s="6" t="s">
        <v>2438</v>
      </c>
      <c r="L386" s="6">
        <v>40</v>
      </c>
      <c r="M386" s="6">
        <v>5000</v>
      </c>
      <c r="N386" s="6">
        <v>6.6</v>
      </c>
      <c r="O386" s="6">
        <v>449</v>
      </c>
      <c r="P386" s="6" t="s">
        <v>2368</v>
      </c>
      <c r="Q386" s="6">
        <f>Table2_1[[#This Row],[Specs Score]] / (Table2_1[[#This Row],[Launched Price (USA)]] ^ 0.85)</f>
        <v>0.19698000964837234</v>
      </c>
      <c r="R386" s="6">
        <f>IFERROR(Table2_1[[#This Row],[Launched Price (USA)]] / S386, "")</f>
        <v>12.688631846766652</v>
      </c>
      <c r="S38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35.386005790247218</v>
      </c>
      <c r="T386" s="6">
        <v>2022</v>
      </c>
    </row>
    <row r="387" spans="1:20" x14ac:dyDescent="0.25">
      <c r="A387" s="6" t="s">
        <v>1646</v>
      </c>
      <c r="B387" s="6" t="s">
        <v>1738</v>
      </c>
      <c r="C38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87" s="6">
        <v>175</v>
      </c>
      <c r="E387" s="6">
        <v>4</v>
      </c>
      <c r="F387" s="6">
        <v>16</v>
      </c>
      <c r="G387" s="6">
        <v>50</v>
      </c>
      <c r="H387" s="6"/>
      <c r="I387" s="6"/>
      <c r="J387" s="6" t="s">
        <v>1169</v>
      </c>
      <c r="K387" s="6" t="s">
        <v>2438</v>
      </c>
      <c r="L387" s="6">
        <v>32</v>
      </c>
      <c r="M387" s="6">
        <v>5000</v>
      </c>
      <c r="N387" s="6">
        <v>6.4</v>
      </c>
      <c r="O387" s="6">
        <v>299</v>
      </c>
      <c r="P387" s="6" t="s">
        <v>2368</v>
      </c>
      <c r="Q387" s="6">
        <f>Table2_1[[#This Row],[Specs Score]] / (Table2_1[[#This Row],[Launched Price (USA)]] ^ 0.85)</f>
        <v>0.19886953459114456</v>
      </c>
      <c r="R387" s="6">
        <f>IFERROR(Table2_1[[#This Row],[Launched Price (USA)]] / S387, "")</f>
        <v>11.824490069232334</v>
      </c>
      <c r="S38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25.286502694776381</v>
      </c>
      <c r="T387" s="6">
        <v>2022</v>
      </c>
    </row>
    <row r="388" spans="1:20" x14ac:dyDescent="0.25">
      <c r="A388" s="6" t="s">
        <v>1646</v>
      </c>
      <c r="B388" s="6" t="s">
        <v>1739</v>
      </c>
      <c r="C38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88" s="6">
        <v>184</v>
      </c>
      <c r="E388" s="6">
        <v>4</v>
      </c>
      <c r="F388" s="6">
        <v>16</v>
      </c>
      <c r="G388" s="6">
        <v>50</v>
      </c>
      <c r="H388" s="6"/>
      <c r="I388" s="6"/>
      <c r="J388" s="6" t="s">
        <v>1169</v>
      </c>
      <c r="K388" s="6" t="s">
        <v>2438</v>
      </c>
      <c r="L388" s="6">
        <v>32</v>
      </c>
      <c r="M388" s="6">
        <v>5000</v>
      </c>
      <c r="N388" s="6">
        <v>6.5</v>
      </c>
      <c r="O388" s="6">
        <v>279</v>
      </c>
      <c r="P388" s="6" t="s">
        <v>2368</v>
      </c>
      <c r="Q388" s="6">
        <f>Table2_1[[#This Row],[Specs Score]] / (Table2_1[[#This Row],[Launched Price (USA)]] ^ 0.85)</f>
        <v>0.21179250025828741</v>
      </c>
      <c r="R388" s="6">
        <f>IFERROR(Table2_1[[#This Row],[Launched Price (USA)]] / S388, "")</f>
        <v>10.988288494027453</v>
      </c>
      <c r="S38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25.390669361443045</v>
      </c>
      <c r="T388" s="6">
        <v>2022</v>
      </c>
    </row>
    <row r="389" spans="1:20" x14ac:dyDescent="0.25">
      <c r="A389" s="6" t="s">
        <v>1865</v>
      </c>
      <c r="B389" s="6" t="s">
        <v>1866</v>
      </c>
      <c r="C38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89" s="6">
        <v>193</v>
      </c>
      <c r="E389" s="6">
        <v>4</v>
      </c>
      <c r="F389" s="6">
        <v>8</v>
      </c>
      <c r="G389" s="6">
        <v>50</v>
      </c>
      <c r="H389" s="6"/>
      <c r="I389" s="6"/>
      <c r="J389" s="6" t="s">
        <v>1867</v>
      </c>
      <c r="K389" s="6" t="s">
        <v>2439</v>
      </c>
      <c r="L389" s="6">
        <v>22</v>
      </c>
      <c r="M389" s="6">
        <v>5000</v>
      </c>
      <c r="N389" s="6">
        <v>6.56</v>
      </c>
      <c r="O389" s="6">
        <v>229</v>
      </c>
      <c r="P389" s="6" t="s">
        <v>2368</v>
      </c>
      <c r="Q389" s="6">
        <f>Table2_1[[#This Row],[Specs Score]] / (Table2_1[[#This Row],[Launched Price (USA)]] ^ 0.85)</f>
        <v>0.21259792940051725</v>
      </c>
      <c r="R389" s="6">
        <f>IFERROR(Table2_1[[#This Row],[Launched Price (USA)]] / S389, "")</f>
        <v>10.62713730893862</v>
      </c>
      <c r="S38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21.548606491362936</v>
      </c>
      <c r="T389" s="6">
        <v>2023</v>
      </c>
    </row>
    <row r="390" spans="1:20" x14ac:dyDescent="0.25">
      <c r="A390" s="6" t="s">
        <v>1865</v>
      </c>
      <c r="B390" s="6" t="s">
        <v>1868</v>
      </c>
      <c r="C390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390" s="6">
        <v>197</v>
      </c>
      <c r="E390" s="6">
        <v>4</v>
      </c>
      <c r="F390" s="6">
        <v>8</v>
      </c>
      <c r="G390" s="6">
        <v>48</v>
      </c>
      <c r="H390" s="6"/>
      <c r="I390" s="6"/>
      <c r="J390" s="6" t="s">
        <v>2401</v>
      </c>
      <c r="K390" s="6" t="s">
        <v>2439</v>
      </c>
      <c r="L390" s="6">
        <v>4</v>
      </c>
      <c r="M390" s="6">
        <v>5050</v>
      </c>
      <c r="N390" s="6">
        <v>6.52</v>
      </c>
      <c r="O390" s="6">
        <v>169</v>
      </c>
      <c r="P390" s="6" t="s">
        <v>2368</v>
      </c>
      <c r="Q390" s="6">
        <f>Table2_1[[#This Row],[Specs Score]] / (Table2_1[[#This Row],[Launched Price (USA)]] ^ 0.85)</f>
        <v>0.19165983744102311</v>
      </c>
      <c r="R390" s="6">
        <f>IFERROR(Table2_1[[#This Row],[Launched Price (USA)]] / S390, "")</f>
        <v>11.262943104007556</v>
      </c>
      <c r="S39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15.004959044840312</v>
      </c>
      <c r="T390" s="6">
        <v>2021</v>
      </c>
    </row>
    <row r="391" spans="1:20" x14ac:dyDescent="0.25">
      <c r="A391" s="6" t="s">
        <v>1865</v>
      </c>
      <c r="B391" s="6" t="s">
        <v>1873</v>
      </c>
      <c r="C39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91" s="6">
        <v>197</v>
      </c>
      <c r="E391" s="6">
        <v>4</v>
      </c>
      <c r="F391" s="6">
        <v>8</v>
      </c>
      <c r="G391" s="6">
        <v>48</v>
      </c>
      <c r="H391" s="6"/>
      <c r="I391" s="6"/>
      <c r="J391" s="6" t="s">
        <v>2401</v>
      </c>
      <c r="K391" s="6" t="s">
        <v>2439</v>
      </c>
      <c r="L391" s="6">
        <v>4</v>
      </c>
      <c r="M391" s="6">
        <v>5050</v>
      </c>
      <c r="N391" s="6">
        <v>6.52</v>
      </c>
      <c r="O391" s="6">
        <v>189</v>
      </c>
      <c r="P391" s="6" t="s">
        <v>2368</v>
      </c>
      <c r="Q391" s="6">
        <f>Table2_1[[#This Row],[Specs Score]] / (Table2_1[[#This Row],[Launched Price (USA)]] ^ 0.85)</f>
        <v>0.19675792208527954</v>
      </c>
      <c r="R391" s="6">
        <f>IFERROR(Table2_1[[#This Row],[Launched Price (USA)]] / S391, "")</f>
        <v>11.156733087753787</v>
      </c>
      <c r="S39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16.940442915808056</v>
      </c>
      <c r="T391" s="6">
        <v>2021</v>
      </c>
    </row>
    <row r="392" spans="1:20" x14ac:dyDescent="0.25">
      <c r="A392" s="6" t="s">
        <v>1865</v>
      </c>
      <c r="B392" s="6" t="s">
        <v>1874</v>
      </c>
      <c r="C392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392" s="6">
        <v>199</v>
      </c>
      <c r="E392" s="6">
        <v>3</v>
      </c>
      <c r="F392" s="6">
        <v>8</v>
      </c>
      <c r="G392" s="6">
        <v>50</v>
      </c>
      <c r="H392" s="6"/>
      <c r="I392" s="6"/>
      <c r="J392" s="6" t="s">
        <v>1626</v>
      </c>
      <c r="K392" s="6" t="s">
        <v>2439</v>
      </c>
      <c r="L392" s="6">
        <v>3</v>
      </c>
      <c r="M392" s="6">
        <v>5000</v>
      </c>
      <c r="N392" s="6">
        <v>6.52</v>
      </c>
      <c r="O392" s="6">
        <v>139</v>
      </c>
      <c r="P392" s="6" t="s">
        <v>2368</v>
      </c>
      <c r="Q392" s="6">
        <f>Table2_1[[#This Row],[Specs Score]] / (Table2_1[[#This Row],[Launched Price (USA)]] ^ 0.85)</f>
        <v>0.20772127579160576</v>
      </c>
      <c r="R392" s="6">
        <f>IFERROR(Table2_1[[#This Row],[Launched Price (USA)]] / S392, "")</f>
        <v>10.091860502621527</v>
      </c>
      <c r="S39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13.77347615574873</v>
      </c>
      <c r="T392" s="6">
        <v>2023</v>
      </c>
    </row>
    <row r="393" spans="1:20" x14ac:dyDescent="0.25">
      <c r="A393" s="6" t="s">
        <v>1865</v>
      </c>
      <c r="B393" s="6" t="s">
        <v>1875</v>
      </c>
      <c r="C39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93" s="6">
        <v>199</v>
      </c>
      <c r="E393" s="6">
        <v>4</v>
      </c>
      <c r="F393" s="6">
        <v>8</v>
      </c>
      <c r="G393" s="6">
        <v>50</v>
      </c>
      <c r="H393" s="6"/>
      <c r="I393" s="6"/>
      <c r="J393" s="6" t="s">
        <v>1626</v>
      </c>
      <c r="K393" s="6" t="s">
        <v>2439</v>
      </c>
      <c r="L393" s="6">
        <v>3</v>
      </c>
      <c r="M393" s="6">
        <v>5000</v>
      </c>
      <c r="N393" s="6">
        <v>6.52</v>
      </c>
      <c r="O393" s="6">
        <v>159</v>
      </c>
      <c r="P393" s="6" t="s">
        <v>2368</v>
      </c>
      <c r="Q393" s="6">
        <f>Table2_1[[#This Row],[Specs Score]] / (Table2_1[[#This Row],[Launched Price (USA)]] ^ 0.85)</f>
        <v>0.22478217253020374</v>
      </c>
      <c r="R393" s="6">
        <f>IFERROR(Table2_1[[#This Row],[Launched Price (USA)]] / S393, "")</f>
        <v>9.5158525572968049</v>
      </c>
      <c r="S39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16.708960026716468</v>
      </c>
      <c r="T393" s="6">
        <v>2023</v>
      </c>
    </row>
    <row r="394" spans="1:20" x14ac:dyDescent="0.25">
      <c r="A394" s="6" t="s">
        <v>1865</v>
      </c>
      <c r="B394" s="6" t="s">
        <v>1876</v>
      </c>
      <c r="C394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394" s="6">
        <v>190</v>
      </c>
      <c r="E394" s="6">
        <v>4</v>
      </c>
      <c r="F394" s="6">
        <v>8</v>
      </c>
      <c r="G394" s="6">
        <v>50</v>
      </c>
      <c r="H394" s="6"/>
      <c r="I394" s="6"/>
      <c r="J394" s="6" t="s">
        <v>1714</v>
      </c>
      <c r="K394" s="6" t="s">
        <v>2439</v>
      </c>
      <c r="L394" s="6">
        <v>4</v>
      </c>
      <c r="M394" s="6">
        <v>5050</v>
      </c>
      <c r="N394" s="6">
        <v>6.5</v>
      </c>
      <c r="O394" s="6">
        <v>169</v>
      </c>
      <c r="P394" s="6" t="s">
        <v>2368</v>
      </c>
      <c r="Q394" s="6">
        <f>Table2_1[[#This Row],[Specs Score]] / (Table2_1[[#This Row],[Launched Price (USA)]] ^ 0.85)</f>
        <v>0.19270379270260618</v>
      </c>
      <c r="R394" s="6">
        <f>IFERROR(Table2_1[[#This Row],[Launched Price (USA)]] / S394, "")</f>
        <v>11.201927134630735</v>
      </c>
      <c r="S39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15.086689814071084</v>
      </c>
      <c r="T394" s="6">
        <v>2022</v>
      </c>
    </row>
    <row r="395" spans="1:20" x14ac:dyDescent="0.25">
      <c r="A395" s="6" t="s">
        <v>1865</v>
      </c>
      <c r="B395" s="6" t="s">
        <v>1879</v>
      </c>
      <c r="C39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95" s="6">
        <v>190</v>
      </c>
      <c r="E395" s="6">
        <v>6</v>
      </c>
      <c r="F395" s="6">
        <v>8</v>
      </c>
      <c r="G395" s="6">
        <v>50</v>
      </c>
      <c r="H395" s="6"/>
      <c r="I395" s="6"/>
      <c r="J395" s="6" t="s">
        <v>1714</v>
      </c>
      <c r="K395" s="6" t="s">
        <v>2439</v>
      </c>
      <c r="L395" s="6">
        <v>4</v>
      </c>
      <c r="M395" s="6">
        <v>5050</v>
      </c>
      <c r="N395" s="6">
        <v>6.5</v>
      </c>
      <c r="O395" s="6">
        <v>189</v>
      </c>
      <c r="P395" s="6" t="s">
        <v>2368</v>
      </c>
      <c r="Q395" s="6">
        <f>Table2_1[[#This Row],[Specs Score]] / (Table2_1[[#This Row],[Launched Price (USA)]] ^ 0.85)</f>
        <v>0.22093657092760818</v>
      </c>
      <c r="R395" s="6">
        <f>IFERROR(Table2_1[[#This Row],[Launched Price (USA)]] / S395, "")</f>
        <v>9.9357730157122273</v>
      </c>
      <c r="S39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19.022173685038826</v>
      </c>
      <c r="T395" s="6">
        <v>2022</v>
      </c>
    </row>
    <row r="396" spans="1:20" x14ac:dyDescent="0.25">
      <c r="A396" s="6" t="s">
        <v>1865</v>
      </c>
      <c r="B396" s="6" t="s">
        <v>1880</v>
      </c>
      <c r="C396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396" s="6">
        <v>190</v>
      </c>
      <c r="E396" s="6">
        <v>2</v>
      </c>
      <c r="F396" s="6">
        <v>8</v>
      </c>
      <c r="G396" s="6">
        <v>13</v>
      </c>
      <c r="H396" s="6"/>
      <c r="I396" s="6"/>
      <c r="J396" s="6" t="s">
        <v>1626</v>
      </c>
      <c r="K396" s="6" t="s">
        <v>2439</v>
      </c>
      <c r="L396" s="6">
        <v>3</v>
      </c>
      <c r="M396" s="6">
        <v>5000</v>
      </c>
      <c r="N396" s="6">
        <v>6.5</v>
      </c>
      <c r="O396" s="6">
        <v>119</v>
      </c>
      <c r="P396" s="6" t="s">
        <v>2368</v>
      </c>
      <c r="Q396" s="6">
        <f>Table2_1[[#This Row],[Specs Score]] / (Table2_1[[#This Row],[Launched Price (USA)]] ^ 0.85)</f>
        <v>0.18681992325123126</v>
      </c>
      <c r="R396" s="6">
        <f>IFERROR(Table2_1[[#This Row],[Launched Price (USA)]] / S396, "")</f>
        <v>10.962481030754255</v>
      </c>
      <c r="S39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10.8552069249795</v>
      </c>
      <c r="T396" s="6">
        <v>2023</v>
      </c>
    </row>
    <row r="397" spans="1:20" x14ac:dyDescent="0.25">
      <c r="A397" s="6" t="s">
        <v>1865</v>
      </c>
      <c r="B397" s="6" t="s">
        <v>1883</v>
      </c>
      <c r="C39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97" s="6">
        <v>190</v>
      </c>
      <c r="E397" s="6">
        <v>3</v>
      </c>
      <c r="F397" s="6">
        <v>8</v>
      </c>
      <c r="G397" s="6">
        <v>13</v>
      </c>
      <c r="H397" s="6"/>
      <c r="I397" s="6"/>
      <c r="J397" s="6" t="s">
        <v>1626</v>
      </c>
      <c r="K397" s="6" t="s">
        <v>2439</v>
      </c>
      <c r="L397" s="6">
        <v>3</v>
      </c>
      <c r="M397" s="6">
        <v>5000</v>
      </c>
      <c r="N397" s="6">
        <v>6.5</v>
      </c>
      <c r="O397" s="6">
        <v>139</v>
      </c>
      <c r="P397" s="6" t="s">
        <v>2368</v>
      </c>
      <c r="Q397" s="6">
        <f>Table2_1[[#This Row],[Specs Score]] / (Table2_1[[#This Row],[Launched Price (USA)]] ^ 0.85)</f>
        <v>0.20798089413224052</v>
      </c>
      <c r="R397" s="6">
        <f>IFERROR(Table2_1[[#This Row],[Launched Price (USA)]] / S397, "")</f>
        <v>10.079263037414256</v>
      </c>
      <c r="S39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13.79069079594724</v>
      </c>
      <c r="T397" s="6">
        <v>2023</v>
      </c>
    </row>
    <row r="398" spans="1:20" x14ac:dyDescent="0.25">
      <c r="A398" s="6" t="s">
        <v>1865</v>
      </c>
      <c r="B398" s="6" t="s">
        <v>1886</v>
      </c>
      <c r="C39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98" s="6">
        <v>198</v>
      </c>
      <c r="E398" s="6">
        <v>6</v>
      </c>
      <c r="F398" s="6">
        <v>16</v>
      </c>
      <c r="G398" s="6">
        <v>48</v>
      </c>
      <c r="H398" s="6"/>
      <c r="I398" s="6"/>
      <c r="J398" s="6" t="s">
        <v>785</v>
      </c>
      <c r="K398" s="6" t="s">
        <v>2439</v>
      </c>
      <c r="L398" s="6">
        <v>20</v>
      </c>
      <c r="M398" s="6">
        <v>5000</v>
      </c>
      <c r="N398" s="6">
        <v>6.58</v>
      </c>
      <c r="O398" s="6">
        <v>239</v>
      </c>
      <c r="P398" s="6" t="s">
        <v>2368</v>
      </c>
      <c r="Q398" s="6">
        <f>Table2_1[[#This Row],[Specs Score]] / (Table2_1[[#This Row],[Launched Price (USA)]] ^ 0.85)</f>
        <v>0.2315808369948899</v>
      </c>
      <c r="R398" s="6">
        <f>IFERROR(Table2_1[[#This Row],[Launched Price (USA)]] / S398, "")</f>
        <v>9.8187695225692071</v>
      </c>
      <c r="S39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24.341135561909248</v>
      </c>
      <c r="T398" s="6">
        <v>2022</v>
      </c>
    </row>
    <row r="399" spans="1:20" x14ac:dyDescent="0.25">
      <c r="A399" s="6" t="s">
        <v>1865</v>
      </c>
      <c r="B399" s="6" t="s">
        <v>1906</v>
      </c>
      <c r="C39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399" s="6">
        <v>466</v>
      </c>
      <c r="E399" s="6">
        <v>4</v>
      </c>
      <c r="F399" s="6">
        <v>8</v>
      </c>
      <c r="G399" s="6">
        <v>8</v>
      </c>
      <c r="H399" s="6"/>
      <c r="I399" s="6"/>
      <c r="J399" s="6" t="s">
        <v>1469</v>
      </c>
      <c r="K399" s="6" t="s">
        <v>2439</v>
      </c>
      <c r="L399" s="6">
        <v>6</v>
      </c>
      <c r="M399" s="6">
        <v>8200</v>
      </c>
      <c r="N399" s="6">
        <v>10.4</v>
      </c>
      <c r="O399" s="6">
        <v>396</v>
      </c>
      <c r="P399" s="6" t="s">
        <v>2369</v>
      </c>
      <c r="Q399" s="6">
        <f>Table2_1[[#This Row],[Specs Score]] / (Table2_1[[#This Row],[Launched Price (USA)]] ^ 0.85)</f>
        <v>0.15219316111399564</v>
      </c>
      <c r="R399" s="6">
        <f>IFERROR(Table2_1[[#This Row],[Launched Price (USA)]] / S399, "")</f>
        <v>16.116069822256414</v>
      </c>
      <c r="S39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24.571747601460565</v>
      </c>
      <c r="T399" s="6">
        <v>2022</v>
      </c>
    </row>
    <row r="400" spans="1:20" x14ac:dyDescent="0.25">
      <c r="A400" s="6" t="s">
        <v>733</v>
      </c>
      <c r="B400" s="6" t="s">
        <v>754</v>
      </c>
      <c r="C40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00" s="6">
        <v>192</v>
      </c>
      <c r="E400" s="6">
        <v>8</v>
      </c>
      <c r="F400" s="6">
        <v>16</v>
      </c>
      <c r="G400" s="6">
        <v>64</v>
      </c>
      <c r="H400" s="6">
        <v>2</v>
      </c>
      <c r="I400" s="6"/>
      <c r="J400" s="6" t="s">
        <v>2381</v>
      </c>
      <c r="K400" s="6" t="s">
        <v>2439</v>
      </c>
      <c r="L400" s="6">
        <v>20</v>
      </c>
      <c r="M400" s="6">
        <v>5000</v>
      </c>
      <c r="N400" s="6">
        <v>6.72</v>
      </c>
      <c r="O400" s="6">
        <v>249</v>
      </c>
      <c r="P400" s="6" t="s">
        <v>2368</v>
      </c>
      <c r="Q400" s="6">
        <f>Table2_1[[#This Row],[Specs Score]] / (Table2_1[[#This Row],[Launched Price (USA)]] ^ 0.85)</f>
        <v>0.25090666995943284</v>
      </c>
      <c r="R400" s="6">
        <f>IFERROR(Table2_1[[#This Row],[Launched Price (USA)]] / S400, "")</f>
        <v>9.1183801784379206</v>
      </c>
      <c r="S40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27.307481715755401</v>
      </c>
      <c r="T400" s="6">
        <v>2023</v>
      </c>
    </row>
    <row r="401" spans="1:20" x14ac:dyDescent="0.25">
      <c r="A401" s="6" t="s">
        <v>733</v>
      </c>
      <c r="B401" s="6" t="s">
        <v>784</v>
      </c>
      <c r="C401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401" s="6">
        <v>189</v>
      </c>
      <c r="E401" s="6">
        <v>4</v>
      </c>
      <c r="F401" s="6">
        <v>16</v>
      </c>
      <c r="G401" s="6">
        <v>13</v>
      </c>
      <c r="H401" s="6">
        <v>2</v>
      </c>
      <c r="I401" s="6"/>
      <c r="J401" s="6" t="s">
        <v>785</v>
      </c>
      <c r="K401" s="6" t="s">
        <v>2439</v>
      </c>
      <c r="L401" s="6">
        <v>20</v>
      </c>
      <c r="M401" s="6">
        <v>5000</v>
      </c>
      <c r="N401" s="6">
        <v>6.49</v>
      </c>
      <c r="O401" s="6">
        <v>199</v>
      </c>
      <c r="P401" s="6" t="s">
        <v>2368</v>
      </c>
      <c r="Q401" s="6">
        <f>Table2_1[[#This Row],[Specs Score]] / (Table2_1[[#This Row],[Launched Price (USA)]] ^ 0.85)</f>
        <v>0.20584779192578068</v>
      </c>
      <c r="R401" s="6">
        <f>IFERROR(Table2_1[[#This Row],[Launched Price (USA)]] / S401, "")</f>
        <v>10.746863893233671</v>
      </c>
      <c r="S40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18.517029896069708</v>
      </c>
      <c r="T401" s="6">
        <v>2021</v>
      </c>
    </row>
    <row r="402" spans="1:20" x14ac:dyDescent="0.25">
      <c r="A402" s="6" t="s">
        <v>733</v>
      </c>
      <c r="B402" s="6" t="s">
        <v>788</v>
      </c>
      <c r="C402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402" s="6">
        <v>185</v>
      </c>
      <c r="E402" s="6">
        <v>4</v>
      </c>
      <c r="F402" s="6">
        <v>8</v>
      </c>
      <c r="G402" s="6">
        <v>13</v>
      </c>
      <c r="H402" s="6">
        <v>2</v>
      </c>
      <c r="I402" s="6"/>
      <c r="J402" s="6" t="s">
        <v>1629</v>
      </c>
      <c r="K402" s="6" t="s">
        <v>2439</v>
      </c>
      <c r="L402" s="6">
        <v>18</v>
      </c>
      <c r="M402" s="6">
        <v>5000</v>
      </c>
      <c r="N402" s="6">
        <v>6.52</v>
      </c>
      <c r="O402" s="6">
        <v>179</v>
      </c>
      <c r="P402" s="6" t="s">
        <v>2368</v>
      </c>
      <c r="Q402" s="6">
        <f>Table2_1[[#This Row],[Specs Score]] / (Table2_1[[#This Row],[Launched Price (USA)]] ^ 0.85)</f>
        <v>0.20269921687019016</v>
      </c>
      <c r="R402" s="6">
        <f>IFERROR(Table2_1[[#This Row],[Launched Price (USA)]] / S402, "")</f>
        <v>10.741770858572959</v>
      </c>
      <c r="S40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16.663919046191616</v>
      </c>
      <c r="T402" s="6">
        <v>2020</v>
      </c>
    </row>
    <row r="403" spans="1:20" x14ac:dyDescent="0.25">
      <c r="A403" s="6" t="s">
        <v>733</v>
      </c>
      <c r="B403" s="6" t="s">
        <v>829</v>
      </c>
      <c r="C403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403" s="6">
        <v>185</v>
      </c>
      <c r="E403" s="6">
        <v>4</v>
      </c>
      <c r="F403" s="6">
        <v>8</v>
      </c>
      <c r="G403" s="6">
        <v>13</v>
      </c>
      <c r="H403" s="6">
        <v>2</v>
      </c>
      <c r="I403" s="6"/>
      <c r="J403" s="6" t="s">
        <v>1629</v>
      </c>
      <c r="K403" s="6" t="s">
        <v>2439</v>
      </c>
      <c r="L403" s="6">
        <v>18</v>
      </c>
      <c r="M403" s="6">
        <v>5000</v>
      </c>
      <c r="N403" s="6">
        <v>6.52</v>
      </c>
      <c r="O403" s="6">
        <v>179</v>
      </c>
      <c r="P403" s="6" t="s">
        <v>2368</v>
      </c>
      <c r="Q403" s="6">
        <f>Table2_1[[#This Row],[Specs Score]] / (Table2_1[[#This Row],[Launched Price (USA)]] ^ 0.85)</f>
        <v>0.20269921687019016</v>
      </c>
      <c r="R403" s="6">
        <f>IFERROR(Table2_1[[#This Row],[Launched Price (USA)]] / S403, "")</f>
        <v>10.741770858572959</v>
      </c>
      <c r="S40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16.663919046191616</v>
      </c>
      <c r="T403" s="6">
        <v>2020</v>
      </c>
    </row>
    <row r="404" spans="1:20" x14ac:dyDescent="0.25">
      <c r="A404" s="6" t="s">
        <v>733</v>
      </c>
      <c r="B404" s="6" t="s">
        <v>734</v>
      </c>
      <c r="C40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04" s="6">
        <v>205</v>
      </c>
      <c r="E404" s="6">
        <v>12</v>
      </c>
      <c r="F404" s="6">
        <v>32</v>
      </c>
      <c r="G404" s="6">
        <v>50</v>
      </c>
      <c r="H404" s="6">
        <v>48</v>
      </c>
      <c r="I404" s="6"/>
      <c r="J404" s="6" t="s">
        <v>737</v>
      </c>
      <c r="K404" s="6" t="s">
        <v>2437</v>
      </c>
      <c r="L404" s="6">
        <v>100</v>
      </c>
      <c r="M404" s="6">
        <v>5000</v>
      </c>
      <c r="N404" s="6">
        <v>6.7</v>
      </c>
      <c r="O404" s="6">
        <v>799</v>
      </c>
      <c r="P404" s="6" t="s">
        <v>2368</v>
      </c>
      <c r="Q404" s="6">
        <f>Table2_1[[#This Row],[Specs Score]] / (Table2_1[[#This Row],[Launched Price (USA)]] ^ 0.85)</f>
        <v>0.19577149738197852</v>
      </c>
      <c r="R404" s="6">
        <f>IFERROR(Table2_1[[#This Row],[Launched Price (USA)]] / S404, "")</f>
        <v>13.919785863356893</v>
      </c>
      <c r="S40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57.400308298084212</v>
      </c>
      <c r="T404" s="6">
        <v>2024</v>
      </c>
    </row>
    <row r="405" spans="1:20" x14ac:dyDescent="0.25">
      <c r="A405" s="6" t="s">
        <v>733</v>
      </c>
      <c r="B405" s="6" t="s">
        <v>738</v>
      </c>
      <c r="C40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05" s="6">
        <v>203</v>
      </c>
      <c r="E405" s="6">
        <v>12</v>
      </c>
      <c r="F405" s="6">
        <v>16</v>
      </c>
      <c r="G405" s="6">
        <v>50</v>
      </c>
      <c r="H405" s="6">
        <v>8</v>
      </c>
      <c r="I405" s="6"/>
      <c r="J405" s="6" t="s">
        <v>401</v>
      </c>
      <c r="K405" s="6" t="s">
        <v>2437</v>
      </c>
      <c r="L405" s="6">
        <v>95</v>
      </c>
      <c r="M405" s="6">
        <v>4500</v>
      </c>
      <c r="N405" s="6">
        <v>6.7</v>
      </c>
      <c r="O405" s="6">
        <v>699</v>
      </c>
      <c r="P405" s="6" t="s">
        <v>2368</v>
      </c>
      <c r="Q405" s="6">
        <f>Table2_1[[#This Row],[Specs Score]] / (Table2_1[[#This Row],[Launched Price (USA)]] ^ 0.85)</f>
        <v>0.20085447767503953</v>
      </c>
      <c r="R405" s="6">
        <f>IFERROR(Table2_1[[#This Row],[Launched Price (USA)]] / S405, "")</f>
        <v>13.298114205747302</v>
      </c>
      <c r="S40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52.563843954498431</v>
      </c>
      <c r="T405" s="6">
        <v>2024</v>
      </c>
    </row>
    <row r="406" spans="1:20" x14ac:dyDescent="0.25">
      <c r="A406" s="6" t="s">
        <v>733</v>
      </c>
      <c r="B406" s="6" t="s">
        <v>739</v>
      </c>
      <c r="C40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06" s="6">
        <v>205</v>
      </c>
      <c r="E406" s="6">
        <v>12</v>
      </c>
      <c r="F406" s="6">
        <v>16</v>
      </c>
      <c r="G406" s="6">
        <v>50</v>
      </c>
      <c r="H406" s="6">
        <v>48</v>
      </c>
      <c r="I406" s="6"/>
      <c r="J406" s="6" t="s">
        <v>451</v>
      </c>
      <c r="K406" s="6" t="s">
        <v>2437</v>
      </c>
      <c r="L406" s="6">
        <v>90</v>
      </c>
      <c r="M406" s="6">
        <v>5000</v>
      </c>
      <c r="N406" s="6">
        <v>6.7</v>
      </c>
      <c r="O406" s="6">
        <v>699</v>
      </c>
      <c r="P406" s="6" t="s">
        <v>2368</v>
      </c>
      <c r="Q406" s="6">
        <f>Table2_1[[#This Row],[Specs Score]] / (Table2_1[[#This Row],[Launched Price (USA)]] ^ 0.85)</f>
        <v>0.19914486002922327</v>
      </c>
      <c r="R406" s="6">
        <f>IFERROR(Table2_1[[#This Row],[Launched Price (USA)]] / S406, "")</f>
        <v>13.412275779884286</v>
      </c>
      <c r="S40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52.116435083176512</v>
      </c>
      <c r="T406" s="6">
        <v>2023</v>
      </c>
    </row>
    <row r="407" spans="1:20" x14ac:dyDescent="0.25">
      <c r="A407" s="6" t="s">
        <v>733</v>
      </c>
      <c r="B407" s="6" t="s">
        <v>741</v>
      </c>
      <c r="C40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07" s="6">
        <v>202</v>
      </c>
      <c r="E407" s="6">
        <v>12</v>
      </c>
      <c r="F407" s="6">
        <v>16</v>
      </c>
      <c r="G407" s="6">
        <v>50</v>
      </c>
      <c r="H407" s="6">
        <v>8</v>
      </c>
      <c r="I407" s="6"/>
      <c r="J407" s="6" t="s">
        <v>451</v>
      </c>
      <c r="K407" s="6" t="s">
        <v>2437</v>
      </c>
      <c r="L407" s="6">
        <v>90</v>
      </c>
      <c r="M407" s="6">
        <v>5000</v>
      </c>
      <c r="N407" s="6">
        <v>6.7</v>
      </c>
      <c r="O407" s="6">
        <v>599</v>
      </c>
      <c r="P407" s="6" t="s">
        <v>2368</v>
      </c>
      <c r="Q407" s="6">
        <f>Table2_1[[#This Row],[Specs Score]] / (Table2_1[[#This Row],[Launched Price (USA)]] ^ 0.85)</f>
        <v>0.22707111997139307</v>
      </c>
      <c r="R407" s="6">
        <f>IFERROR(Table2_1[[#This Row],[Launched Price (USA)]] / S407, "")</f>
        <v>11.493495267740611</v>
      </c>
      <c r="S40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52.116435083176512</v>
      </c>
      <c r="T407" s="6">
        <v>2023</v>
      </c>
    </row>
    <row r="408" spans="1:20" x14ac:dyDescent="0.25">
      <c r="A408" s="6" t="s">
        <v>733</v>
      </c>
      <c r="B408" s="6" t="s">
        <v>742</v>
      </c>
      <c r="C40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08" s="6">
        <v>190</v>
      </c>
      <c r="E408" s="6">
        <v>12</v>
      </c>
      <c r="F408" s="6">
        <v>16</v>
      </c>
      <c r="G408" s="6">
        <v>50</v>
      </c>
      <c r="H408" s="6">
        <v>8</v>
      </c>
      <c r="I408" s="6"/>
      <c r="J408" s="6" t="s">
        <v>2379</v>
      </c>
      <c r="K408" s="6" t="s">
        <v>2437</v>
      </c>
      <c r="L408" s="6">
        <v>90</v>
      </c>
      <c r="M408" s="6">
        <v>5000</v>
      </c>
      <c r="N408" s="6">
        <v>6.74</v>
      </c>
      <c r="O408" s="6">
        <v>499</v>
      </c>
      <c r="P408" s="6" t="s">
        <v>2368</v>
      </c>
      <c r="Q408" s="6">
        <f>Table2_1[[#This Row],[Specs Score]] / (Table2_1[[#This Row],[Launched Price (USA)]] ^ 0.85)</f>
        <v>0.26542163093331367</v>
      </c>
      <c r="R408" s="6">
        <f>IFERROR(Table2_1[[#This Row],[Launched Price (USA)]] / S408, "")</f>
        <v>9.5670659640426869</v>
      </c>
      <c r="S40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52.158101749843176</v>
      </c>
      <c r="T408" s="6">
        <v>2023</v>
      </c>
    </row>
    <row r="409" spans="1:20" x14ac:dyDescent="0.25">
      <c r="A409" s="6" t="s">
        <v>733</v>
      </c>
      <c r="B409" s="6" t="s">
        <v>758</v>
      </c>
      <c r="C40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09" s="6">
        <v>238</v>
      </c>
      <c r="E409" s="6">
        <v>16</v>
      </c>
      <c r="F409" s="6">
        <v>32</v>
      </c>
      <c r="G409" s="6">
        <v>48</v>
      </c>
      <c r="H409" s="6">
        <v>48</v>
      </c>
      <c r="I409" s="6"/>
      <c r="J409" s="6" t="s">
        <v>401</v>
      </c>
      <c r="K409" s="6" t="s">
        <v>2437</v>
      </c>
      <c r="L409" s="6">
        <v>95</v>
      </c>
      <c r="M409" s="6">
        <v>4800</v>
      </c>
      <c r="N409" s="6">
        <v>7.8</v>
      </c>
      <c r="O409" s="6">
        <v>1099</v>
      </c>
      <c r="P409" s="6" t="s">
        <v>2368</v>
      </c>
      <c r="Q409" s="6">
        <f>Table2_1[[#This Row],[Specs Score]] / (Table2_1[[#This Row],[Launched Price (USA)]] ^ 0.85)</f>
        <v>0.15828773324552903</v>
      </c>
      <c r="R409" s="6">
        <f>IFERROR(Table2_1[[#This Row],[Launched Price (USA)]] / S409, "")</f>
        <v>18.059361605128515</v>
      </c>
      <c r="S40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60.854864309705434</v>
      </c>
      <c r="T409" s="6">
        <v>2024</v>
      </c>
    </row>
    <row r="410" spans="1:20" x14ac:dyDescent="0.25">
      <c r="A410" s="6" t="s">
        <v>733</v>
      </c>
      <c r="B410" s="6" t="s">
        <v>763</v>
      </c>
      <c r="C41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10" s="6">
        <v>200</v>
      </c>
      <c r="E410" s="6">
        <v>12</v>
      </c>
      <c r="F410" s="6">
        <v>32</v>
      </c>
      <c r="G410" s="6">
        <v>50</v>
      </c>
      <c r="H410" s="6">
        <v>48</v>
      </c>
      <c r="I410" s="6"/>
      <c r="J410" s="6" t="s">
        <v>451</v>
      </c>
      <c r="K410" s="6" t="s">
        <v>2437</v>
      </c>
      <c r="L410" s="6">
        <v>90</v>
      </c>
      <c r="M410" s="6">
        <v>5000</v>
      </c>
      <c r="N410" s="6">
        <v>6.7</v>
      </c>
      <c r="O410" s="6">
        <v>899</v>
      </c>
      <c r="P410" s="6" t="s">
        <v>2368</v>
      </c>
      <c r="Q410" s="6">
        <f>Table2_1[[#This Row],[Specs Score]] / (Table2_1[[#This Row],[Launched Price (USA)]] ^ 0.85)</f>
        <v>0.16930868502467858</v>
      </c>
      <c r="R410" s="6">
        <f>IFERROR(Table2_1[[#This Row],[Launched Price (USA)]] / S410, "")</f>
        <v>16.38267127639239</v>
      </c>
      <c r="S41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54.875055772831686</v>
      </c>
      <c r="T410" s="6">
        <v>2022</v>
      </c>
    </row>
    <row r="411" spans="1:20" x14ac:dyDescent="0.25">
      <c r="A411" s="6" t="s">
        <v>733</v>
      </c>
      <c r="B411" s="6" t="s">
        <v>766</v>
      </c>
      <c r="C41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11" s="6">
        <v>203</v>
      </c>
      <c r="E411" s="6">
        <v>12</v>
      </c>
      <c r="F411" s="6">
        <v>16</v>
      </c>
      <c r="G411" s="6">
        <v>50</v>
      </c>
      <c r="H411" s="6">
        <v>8</v>
      </c>
      <c r="I411" s="6"/>
      <c r="J411" s="6" t="s">
        <v>767</v>
      </c>
      <c r="K411" s="6" t="s">
        <v>2437</v>
      </c>
      <c r="L411" s="6">
        <v>92</v>
      </c>
      <c r="M411" s="6">
        <v>4500</v>
      </c>
      <c r="N411" s="6">
        <v>6.7</v>
      </c>
      <c r="O411" s="6">
        <v>749</v>
      </c>
      <c r="P411" s="6" t="s">
        <v>2368</v>
      </c>
      <c r="Q411" s="6">
        <f>Table2_1[[#This Row],[Specs Score]] / (Table2_1[[#This Row],[Launched Price (USA)]] ^ 0.85)</f>
        <v>0.18666924222497644</v>
      </c>
      <c r="R411" s="6">
        <f>IFERROR(Table2_1[[#This Row],[Launched Price (USA)]] / S411, "")</f>
        <v>14.457709965769954</v>
      </c>
      <c r="S41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51.806268196922673</v>
      </c>
      <c r="T411" s="6">
        <v>2022</v>
      </c>
    </row>
    <row r="412" spans="1:20" x14ac:dyDescent="0.25">
      <c r="A412" s="6" t="s">
        <v>733</v>
      </c>
      <c r="B412" s="6" t="s">
        <v>770</v>
      </c>
      <c r="C41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12" s="6">
        <v>192</v>
      </c>
      <c r="E412" s="6">
        <v>12</v>
      </c>
      <c r="F412" s="6">
        <v>16</v>
      </c>
      <c r="G412" s="6">
        <v>48</v>
      </c>
      <c r="H412" s="6">
        <v>50</v>
      </c>
      <c r="I412" s="6"/>
      <c r="J412" s="6" t="s">
        <v>639</v>
      </c>
      <c r="K412" s="6" t="s">
        <v>2437</v>
      </c>
      <c r="L412" s="6">
        <v>85</v>
      </c>
      <c r="M412" s="6">
        <v>4500</v>
      </c>
      <c r="N412" s="6">
        <v>6.7</v>
      </c>
      <c r="O412" s="6">
        <v>699</v>
      </c>
      <c r="P412" s="6" t="s">
        <v>2368</v>
      </c>
      <c r="Q412" s="6">
        <f>Table2_1[[#This Row],[Specs Score]] / (Table2_1[[#This Row],[Launched Price (USA)]] ^ 0.85)</f>
        <v>0.19081318890128116</v>
      </c>
      <c r="R412" s="6">
        <f>IFERROR(Table2_1[[#This Row],[Launched Price (USA)]] / S412, "")</f>
        <v>13.997909674054318</v>
      </c>
      <c r="S41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49.936027326681803</v>
      </c>
      <c r="T412" s="6">
        <v>2021</v>
      </c>
    </row>
    <row r="413" spans="1:20" x14ac:dyDescent="0.25">
      <c r="A413" s="6" t="s">
        <v>733</v>
      </c>
      <c r="B413" s="6" t="s">
        <v>773</v>
      </c>
      <c r="C41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13" s="6">
        <v>183</v>
      </c>
      <c r="E413" s="6">
        <v>8</v>
      </c>
      <c r="F413" s="6">
        <v>16</v>
      </c>
      <c r="G413" s="6">
        <v>48</v>
      </c>
      <c r="H413" s="6">
        <v>50</v>
      </c>
      <c r="I413" s="6"/>
      <c r="J413" s="6" t="s">
        <v>639</v>
      </c>
      <c r="K413" s="6" t="s">
        <v>2437</v>
      </c>
      <c r="L413" s="6">
        <v>85</v>
      </c>
      <c r="M413" s="6">
        <v>4500</v>
      </c>
      <c r="N413" s="6">
        <v>6.55</v>
      </c>
      <c r="O413" s="6">
        <v>599</v>
      </c>
      <c r="P413" s="6" t="s">
        <v>2368</v>
      </c>
      <c r="Q413" s="6">
        <f>Table2_1[[#This Row],[Specs Score]] / (Table2_1[[#This Row],[Launched Price (USA)]] ^ 0.85)</f>
        <v>0.18259653243527604</v>
      </c>
      <c r="R413" s="6">
        <f>IFERROR(Table2_1[[#This Row],[Launched Price (USA)]] / S413, "")</f>
        <v>14.292937593198065</v>
      </c>
      <c r="S41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41.908809584746315</v>
      </c>
      <c r="T413" s="6">
        <v>2021</v>
      </c>
    </row>
    <row r="414" spans="1:20" x14ac:dyDescent="0.25">
      <c r="A414" s="6" t="s">
        <v>733</v>
      </c>
      <c r="B414" s="6" t="s">
        <v>778</v>
      </c>
      <c r="C41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14" s="6">
        <v>204</v>
      </c>
      <c r="E414" s="6">
        <v>16</v>
      </c>
      <c r="F414" s="6">
        <v>32</v>
      </c>
      <c r="G414" s="6">
        <v>50</v>
      </c>
      <c r="H414" s="6">
        <v>48</v>
      </c>
      <c r="I414" s="6"/>
      <c r="J414" s="6" t="s">
        <v>401</v>
      </c>
      <c r="K414" s="6" t="s">
        <v>2437</v>
      </c>
      <c r="L414" s="6">
        <v>95</v>
      </c>
      <c r="M414" s="6">
        <v>5000</v>
      </c>
      <c r="N414" s="6">
        <v>6.7</v>
      </c>
      <c r="O414" s="6">
        <v>899</v>
      </c>
      <c r="P414" s="6" t="s">
        <v>2368</v>
      </c>
      <c r="Q414" s="6">
        <f>Table2_1[[#This Row],[Specs Score]] / (Table2_1[[#This Row],[Launched Price (USA)]] ^ 0.85)</f>
        <v>0.1855457224135813</v>
      </c>
      <c r="R414" s="6">
        <f>IFERROR(Table2_1[[#This Row],[Launched Price (USA)]] / S414, "")</f>
        <v>14.949029785849381</v>
      </c>
      <c r="S41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60.137682035457942</v>
      </c>
      <c r="T414" s="6">
        <v>2023</v>
      </c>
    </row>
    <row r="415" spans="1:20" x14ac:dyDescent="0.25">
      <c r="A415" s="6" t="s">
        <v>733</v>
      </c>
      <c r="B415" s="6" t="s">
        <v>793</v>
      </c>
      <c r="C41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15" s="6">
        <v>188</v>
      </c>
      <c r="E415" s="6">
        <v>12</v>
      </c>
      <c r="F415" s="6">
        <v>16</v>
      </c>
      <c r="G415" s="6">
        <v>48</v>
      </c>
      <c r="H415" s="6">
        <v>16</v>
      </c>
      <c r="I415" s="6"/>
      <c r="J415" s="6" t="s">
        <v>795</v>
      </c>
      <c r="K415" s="6" t="s">
        <v>2437</v>
      </c>
      <c r="L415" s="6">
        <v>80</v>
      </c>
      <c r="M415" s="6">
        <v>4500</v>
      </c>
      <c r="N415" s="6">
        <v>6.55</v>
      </c>
      <c r="O415" s="6">
        <v>749</v>
      </c>
      <c r="P415" s="6" t="s">
        <v>2368</v>
      </c>
      <c r="Q415" s="6">
        <f>Table2_1[[#This Row],[Specs Score]] / (Table2_1[[#This Row],[Launched Price (USA)]] ^ 0.85)</f>
        <v>0.17481783844411186</v>
      </c>
      <c r="R415" s="6">
        <f>IFERROR(Table2_1[[#This Row],[Launched Price (USA)]] / S415, "")</f>
        <v>15.437839682942652</v>
      </c>
      <c r="S41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48.517151064055547</v>
      </c>
      <c r="T415" s="6">
        <v>2020</v>
      </c>
    </row>
    <row r="416" spans="1:20" x14ac:dyDescent="0.25">
      <c r="A416" s="6" t="s">
        <v>733</v>
      </c>
      <c r="B416" s="6" t="s">
        <v>798</v>
      </c>
      <c r="C41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16" s="6">
        <v>192</v>
      </c>
      <c r="E416" s="6">
        <v>8</v>
      </c>
      <c r="F416" s="6">
        <v>16</v>
      </c>
      <c r="G416" s="6">
        <v>48</v>
      </c>
      <c r="H416" s="6">
        <v>50</v>
      </c>
      <c r="I416" s="6"/>
      <c r="J416" s="6" t="s">
        <v>639</v>
      </c>
      <c r="K416" s="6" t="s">
        <v>2437</v>
      </c>
      <c r="L416" s="6">
        <v>85</v>
      </c>
      <c r="M416" s="6">
        <v>4500</v>
      </c>
      <c r="N416" s="6">
        <v>6.55</v>
      </c>
      <c r="O416" s="6">
        <v>649</v>
      </c>
      <c r="P416" s="6" t="s">
        <v>2368</v>
      </c>
      <c r="Q416" s="6">
        <f>Table2_1[[#This Row],[Specs Score]] / (Table2_1[[#This Row],[Launched Price (USA)]] ^ 0.85)</f>
        <v>0.17056791182290088</v>
      </c>
      <c r="R416" s="6">
        <f>IFERROR(Table2_1[[#This Row],[Launched Price (USA)]] / S416, "")</f>
        <v>15.486004170259672</v>
      </c>
      <c r="S41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41.908809584746315</v>
      </c>
      <c r="T416" s="6">
        <v>2021</v>
      </c>
    </row>
    <row r="417" spans="1:20" x14ac:dyDescent="0.25">
      <c r="A417" s="6" t="s">
        <v>733</v>
      </c>
      <c r="B417" s="6" t="s">
        <v>799</v>
      </c>
      <c r="C41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17" s="6">
        <v>188</v>
      </c>
      <c r="E417" s="6">
        <v>12</v>
      </c>
      <c r="F417" s="6">
        <v>16</v>
      </c>
      <c r="G417" s="6">
        <v>48</v>
      </c>
      <c r="H417" s="6">
        <v>16</v>
      </c>
      <c r="I417" s="6"/>
      <c r="J417" s="6" t="s">
        <v>795</v>
      </c>
      <c r="K417" s="6" t="s">
        <v>2437</v>
      </c>
      <c r="L417" s="6">
        <v>80</v>
      </c>
      <c r="M417" s="6">
        <v>4500</v>
      </c>
      <c r="N417" s="6">
        <v>6.55</v>
      </c>
      <c r="O417" s="6">
        <v>599</v>
      </c>
      <c r="P417" s="6" t="s">
        <v>2368</v>
      </c>
      <c r="Q417" s="6">
        <f>Table2_1[[#This Row],[Specs Score]] / (Table2_1[[#This Row],[Launched Price (USA)]] ^ 0.85)</f>
        <v>0.21138905246212167</v>
      </c>
      <c r="R417" s="6">
        <f>IFERROR(Table2_1[[#This Row],[Launched Price (USA)]] / S417, "")</f>
        <v>12.346149492767221</v>
      </c>
      <c r="S41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48.517151064055547</v>
      </c>
      <c r="T417" s="6">
        <v>2020</v>
      </c>
    </row>
    <row r="418" spans="1:20" x14ac:dyDescent="0.25">
      <c r="A418" s="6" t="s">
        <v>733</v>
      </c>
      <c r="B418" s="6" t="s">
        <v>801</v>
      </c>
      <c r="C41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18" s="6">
        <v>203</v>
      </c>
      <c r="E418" s="6">
        <v>12</v>
      </c>
      <c r="F418" s="6">
        <v>16</v>
      </c>
      <c r="G418" s="6">
        <v>50</v>
      </c>
      <c r="H418" s="6">
        <v>8</v>
      </c>
      <c r="I418" s="6"/>
      <c r="J418" s="6" t="s">
        <v>767</v>
      </c>
      <c r="K418" s="6" t="s">
        <v>2437</v>
      </c>
      <c r="L418" s="6">
        <v>92</v>
      </c>
      <c r="M418" s="6">
        <v>4500</v>
      </c>
      <c r="N418" s="6">
        <v>6.7</v>
      </c>
      <c r="O418" s="6">
        <v>749</v>
      </c>
      <c r="P418" s="6" t="s">
        <v>2368</v>
      </c>
      <c r="Q418" s="6">
        <f>Table2_1[[#This Row],[Specs Score]] / (Table2_1[[#This Row],[Launched Price (USA)]] ^ 0.85)</f>
        <v>0.18666924222497644</v>
      </c>
      <c r="R418" s="6">
        <f>IFERROR(Table2_1[[#This Row],[Launched Price (USA)]] / S418, "")</f>
        <v>14.457709965769954</v>
      </c>
      <c r="S41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51.806268196922673</v>
      </c>
      <c r="T418" s="6">
        <v>2022</v>
      </c>
    </row>
    <row r="419" spans="1:20" x14ac:dyDescent="0.25">
      <c r="A419" s="6" t="s">
        <v>733</v>
      </c>
      <c r="B419" s="6" t="s">
        <v>802</v>
      </c>
      <c r="C41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19" s="6">
        <v>189</v>
      </c>
      <c r="E419" s="6">
        <v>8</v>
      </c>
      <c r="F419" s="6">
        <v>16</v>
      </c>
      <c r="G419" s="6">
        <v>48</v>
      </c>
      <c r="H419" s="6">
        <v>5</v>
      </c>
      <c r="I419" s="6"/>
      <c r="J419" s="6" t="s">
        <v>804</v>
      </c>
      <c r="K419" s="6" t="s">
        <v>2437</v>
      </c>
      <c r="L419" s="6">
        <v>82</v>
      </c>
      <c r="M419" s="6">
        <v>4500</v>
      </c>
      <c r="N419" s="6">
        <v>6.55</v>
      </c>
      <c r="O419" s="6">
        <v>599</v>
      </c>
      <c r="P419" s="6" t="s">
        <v>2368</v>
      </c>
      <c r="Q419" s="6">
        <f>Table2_1[[#This Row],[Specs Score]] / (Table2_1[[#This Row],[Launched Price (USA)]] ^ 0.85)</f>
        <v>0.17929577758776283</v>
      </c>
      <c r="R419" s="6">
        <f>IFERROR(Table2_1[[#This Row],[Launched Price (USA)]] / S419, "")</f>
        <v>14.556064163609683</v>
      </c>
      <c r="S41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41.151233827170564</v>
      </c>
      <c r="T419" s="6">
        <v>2021</v>
      </c>
    </row>
    <row r="420" spans="1:20" x14ac:dyDescent="0.25">
      <c r="A420" s="6" t="s">
        <v>733</v>
      </c>
      <c r="B420" s="6" t="s">
        <v>805</v>
      </c>
      <c r="C42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20" s="6">
        <v>199</v>
      </c>
      <c r="E420" s="6">
        <v>12</v>
      </c>
      <c r="F420" s="6">
        <v>16</v>
      </c>
      <c r="G420" s="6">
        <v>48</v>
      </c>
      <c r="H420" s="6">
        <v>48</v>
      </c>
      <c r="I420" s="6"/>
      <c r="J420" s="6" t="s">
        <v>795</v>
      </c>
      <c r="K420" s="6" t="s">
        <v>2437</v>
      </c>
      <c r="L420" s="6">
        <v>80</v>
      </c>
      <c r="M420" s="6">
        <v>4510</v>
      </c>
      <c r="N420" s="6">
        <v>6.78</v>
      </c>
      <c r="O420" s="6">
        <v>749</v>
      </c>
      <c r="P420" s="6" t="s">
        <v>2368</v>
      </c>
      <c r="Q420" s="6">
        <f>Table2_1[[#This Row],[Specs Score]] / (Table2_1[[#This Row],[Launched Price (USA)]] ^ 0.85)</f>
        <v>0.17573985736574443</v>
      </c>
      <c r="R420" s="6">
        <f>IFERROR(Table2_1[[#This Row],[Launched Price (USA)]] / S420, "")</f>
        <v>15.356845078132087</v>
      </c>
      <c r="S42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48.773038745214961</v>
      </c>
      <c r="T420" s="6">
        <v>2020</v>
      </c>
    </row>
    <row r="421" spans="1:20" x14ac:dyDescent="0.25">
      <c r="A421" s="6" t="s">
        <v>733</v>
      </c>
      <c r="B421" s="6" t="s">
        <v>808</v>
      </c>
      <c r="C42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21" s="6">
        <v>180</v>
      </c>
      <c r="E421" s="6">
        <v>8</v>
      </c>
      <c r="F421" s="6">
        <v>16</v>
      </c>
      <c r="G421" s="6">
        <v>48</v>
      </c>
      <c r="H421" s="6">
        <v>16</v>
      </c>
      <c r="I421" s="6"/>
      <c r="J421" s="6" t="s">
        <v>795</v>
      </c>
      <c r="K421" s="6" t="s">
        <v>2437</v>
      </c>
      <c r="L421" s="6">
        <v>80</v>
      </c>
      <c r="M421" s="6">
        <v>4300</v>
      </c>
      <c r="N421" s="6">
        <v>6.55</v>
      </c>
      <c r="O421" s="6">
        <v>699</v>
      </c>
      <c r="P421" s="6" t="s">
        <v>2368</v>
      </c>
      <c r="Q421" s="6">
        <f>Table2_1[[#This Row],[Specs Score]] / (Table2_1[[#This Row],[Launched Price (USA)]] ^ 0.85)</f>
        <v>0.15406924771959032</v>
      </c>
      <c r="R421" s="6">
        <f>IFERROR(Table2_1[[#This Row],[Launched Price (USA)]] / S421, "")</f>
        <v>17.336268089785538</v>
      </c>
      <c r="S42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40.320096365598317</v>
      </c>
      <c r="T421" s="6">
        <v>2020</v>
      </c>
    </row>
    <row r="422" spans="1:20" x14ac:dyDescent="0.25">
      <c r="A422" s="6" t="s">
        <v>733</v>
      </c>
      <c r="B422" s="6" t="s">
        <v>832</v>
      </c>
      <c r="C42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22" s="6">
        <v>192</v>
      </c>
      <c r="E422" s="6">
        <v>8</v>
      </c>
      <c r="F422" s="6">
        <v>16</v>
      </c>
      <c r="G422" s="6">
        <v>48</v>
      </c>
      <c r="H422" s="6">
        <v>5</v>
      </c>
      <c r="I422" s="6"/>
      <c r="J422" s="6" t="s">
        <v>795</v>
      </c>
      <c r="K422" s="6" t="s">
        <v>2437</v>
      </c>
      <c r="L422" s="6">
        <v>80</v>
      </c>
      <c r="M422" s="6">
        <v>4300</v>
      </c>
      <c r="N422" s="6">
        <v>6.55</v>
      </c>
      <c r="O422" s="6">
        <v>649</v>
      </c>
      <c r="P422" s="6" t="s">
        <v>2368</v>
      </c>
      <c r="Q422" s="6">
        <f>Table2_1[[#This Row],[Specs Score]] / (Table2_1[[#This Row],[Launched Price (USA)]] ^ 0.85)</f>
        <v>0.16410188477606863</v>
      </c>
      <c r="R422" s="6">
        <f>IFERROR(Table2_1[[#This Row],[Launched Price (USA)]] / S422, "")</f>
        <v>16.096191688513326</v>
      </c>
      <c r="S42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40.320096365598317</v>
      </c>
      <c r="T422" s="6">
        <v>2020</v>
      </c>
    </row>
    <row r="423" spans="1:20" x14ac:dyDescent="0.25">
      <c r="A423" s="6" t="s">
        <v>733</v>
      </c>
      <c r="B423" s="6" t="s">
        <v>833</v>
      </c>
      <c r="C42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23" s="6">
        <v>190</v>
      </c>
      <c r="E423" s="6">
        <v>6</v>
      </c>
      <c r="F423" s="6">
        <v>16</v>
      </c>
      <c r="G423" s="6">
        <v>48</v>
      </c>
      <c r="H423" s="6">
        <v>5</v>
      </c>
      <c r="I423" s="6"/>
      <c r="J423" s="6" t="s">
        <v>834</v>
      </c>
      <c r="K423" s="6" t="s">
        <v>2437</v>
      </c>
      <c r="L423" s="6">
        <v>75</v>
      </c>
      <c r="M423" s="6">
        <v>3700</v>
      </c>
      <c r="N423" s="6">
        <v>6.41</v>
      </c>
      <c r="O423" s="6">
        <v>599</v>
      </c>
      <c r="P423" s="6" t="s">
        <v>2368</v>
      </c>
      <c r="Q423" s="6">
        <f>Table2_1[[#This Row],[Specs Score]] / (Table2_1[[#This Row],[Launched Price (USA)]] ^ 0.85)</f>
        <v>0.15656158939038151</v>
      </c>
      <c r="R423" s="6">
        <f>IFERROR(Table2_1[[#This Row],[Launched Price (USA)]] / S423, "")</f>
        <v>16.669739065590406</v>
      </c>
      <c r="S42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35.9333759000735</v>
      </c>
      <c r="T423" s="6">
        <v>2020</v>
      </c>
    </row>
    <row r="424" spans="1:20" x14ac:dyDescent="0.25">
      <c r="A424" s="6" t="s">
        <v>733</v>
      </c>
      <c r="B424" s="6" t="s">
        <v>840</v>
      </c>
      <c r="C42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24" s="6">
        <v>185</v>
      </c>
      <c r="E424" s="6">
        <v>10</v>
      </c>
      <c r="F424" s="6">
        <v>16</v>
      </c>
      <c r="G424" s="6">
        <v>20</v>
      </c>
      <c r="H424" s="6">
        <v>16</v>
      </c>
      <c r="I424" s="6"/>
      <c r="J424" s="6" t="s">
        <v>843</v>
      </c>
      <c r="K424" s="6" t="s">
        <v>2437</v>
      </c>
      <c r="L424" s="6">
        <v>70</v>
      </c>
      <c r="M424" s="6">
        <v>3700</v>
      </c>
      <c r="N424" s="6">
        <v>6.41</v>
      </c>
      <c r="O424" s="6">
        <v>799</v>
      </c>
      <c r="P424" s="6" t="s">
        <v>2368</v>
      </c>
      <c r="Q424" s="6">
        <f>Table2_1[[#This Row],[Specs Score]] / (Table2_1[[#This Row],[Launched Price (USA)]] ^ 0.85)</f>
        <v>0.14019694597561419</v>
      </c>
      <c r="R424" s="6">
        <f>IFERROR(Table2_1[[#This Row],[Launched Price (USA)]] / S424, "")</f>
        <v>19.437636838250945</v>
      </c>
      <c r="S42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41.105819943485287</v>
      </c>
      <c r="T424" s="6">
        <v>2018</v>
      </c>
    </row>
    <row r="425" spans="1:20" x14ac:dyDescent="0.25">
      <c r="A425" s="6" t="s">
        <v>733</v>
      </c>
      <c r="B425" s="6" t="s">
        <v>845</v>
      </c>
      <c r="C42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25" s="6">
        <v>162</v>
      </c>
      <c r="E425" s="6">
        <v>6</v>
      </c>
      <c r="F425" s="6">
        <v>16</v>
      </c>
      <c r="G425" s="6">
        <v>16</v>
      </c>
      <c r="H425" s="6">
        <v>20</v>
      </c>
      <c r="I425" s="6"/>
      <c r="J425" s="6" t="s">
        <v>848</v>
      </c>
      <c r="K425" s="6" t="s">
        <v>2437</v>
      </c>
      <c r="L425" s="6">
        <v>65</v>
      </c>
      <c r="M425" s="6">
        <v>3300</v>
      </c>
      <c r="N425" s="6">
        <v>6.01</v>
      </c>
      <c r="O425" s="6">
        <v>649</v>
      </c>
      <c r="P425" s="6" t="s">
        <v>2368</v>
      </c>
      <c r="Q425" s="6">
        <f>Table2_1[[#This Row],[Specs Score]] / (Table2_1[[#This Row],[Launched Price (USA)]] ^ 0.85)</f>
        <v>0.12494121573141874</v>
      </c>
      <c r="R425" s="6">
        <f>IFERROR(Table2_1[[#This Row],[Launched Price (USA)]] / S425, "")</f>
        <v>21.141265340975028</v>
      </c>
      <c r="S42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30.698257154085191</v>
      </c>
      <c r="T425" s="6">
        <v>2017</v>
      </c>
    </row>
    <row r="426" spans="1:20" x14ac:dyDescent="0.25">
      <c r="A426" s="6" t="s">
        <v>733</v>
      </c>
      <c r="B426" s="6" t="s">
        <v>850</v>
      </c>
      <c r="C42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26" s="6">
        <v>210</v>
      </c>
      <c r="E426" s="6">
        <v>8</v>
      </c>
      <c r="F426" s="6">
        <v>16</v>
      </c>
      <c r="G426" s="6">
        <v>50</v>
      </c>
      <c r="H426" s="6">
        <v>8</v>
      </c>
      <c r="I426" s="6"/>
      <c r="J426" s="6" t="s">
        <v>401</v>
      </c>
      <c r="K426" s="6" t="s">
        <v>2437</v>
      </c>
      <c r="L426" s="6">
        <v>95</v>
      </c>
      <c r="M426" s="6">
        <v>4500</v>
      </c>
      <c r="N426" s="6">
        <v>6.7</v>
      </c>
      <c r="O426" s="6">
        <v>849</v>
      </c>
      <c r="P426" s="6" t="s">
        <v>2368</v>
      </c>
      <c r="Q426" s="6">
        <f>Table2_1[[#This Row],[Specs Score]] / (Table2_1[[#This Row],[Launched Price (USA)]] ^ 0.85)</f>
        <v>0.14476606441213985</v>
      </c>
      <c r="R426" s="6">
        <f>IFERROR(Table2_1[[#This Row],[Launched Price (USA)]] / S426, "")</f>
        <v>18.996316011573903</v>
      </c>
      <c r="S42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44.69287621256295</v>
      </c>
      <c r="T426" s="6">
        <v>2023</v>
      </c>
    </row>
    <row r="427" spans="1:20" x14ac:dyDescent="0.25">
      <c r="A427" s="6" t="s">
        <v>733</v>
      </c>
      <c r="B427" s="6" t="s">
        <v>852</v>
      </c>
      <c r="C42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27" s="6">
        <v>202</v>
      </c>
      <c r="E427" s="6">
        <v>12</v>
      </c>
      <c r="F427" s="6">
        <v>32</v>
      </c>
      <c r="G427" s="6">
        <v>50</v>
      </c>
      <c r="H427" s="6">
        <v>48</v>
      </c>
      <c r="I427" s="6"/>
      <c r="J427" s="6" t="s">
        <v>401</v>
      </c>
      <c r="K427" s="6" t="s">
        <v>2437</v>
      </c>
      <c r="L427" s="6">
        <v>95</v>
      </c>
      <c r="M427" s="6">
        <v>5000</v>
      </c>
      <c r="N427" s="6">
        <v>6.7</v>
      </c>
      <c r="O427" s="6">
        <v>799</v>
      </c>
      <c r="P427" s="6" t="s">
        <v>2368</v>
      </c>
      <c r="Q427" s="6">
        <f>Table2_1[[#This Row],[Specs Score]] / (Table2_1[[#This Row],[Launched Price (USA)]] ^ 0.85)</f>
        <v>0.17826268227239586</v>
      </c>
      <c r="R427" s="6">
        <f>IFERROR(Table2_1[[#This Row],[Launched Price (USA)]] / S427, "")</f>
        <v>15.286975865996265</v>
      </c>
      <c r="S42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52.266714293522469</v>
      </c>
      <c r="T427" s="6">
        <v>2023</v>
      </c>
    </row>
    <row r="428" spans="1:20" x14ac:dyDescent="0.25">
      <c r="A428" s="6" t="s">
        <v>733</v>
      </c>
      <c r="B428" s="6" t="s">
        <v>857</v>
      </c>
      <c r="C42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28" s="6">
        <v>206</v>
      </c>
      <c r="E428" s="6">
        <v>12</v>
      </c>
      <c r="F428" s="6">
        <v>16</v>
      </c>
      <c r="G428" s="6">
        <v>48</v>
      </c>
      <c r="H428" s="6">
        <v>8</v>
      </c>
      <c r="I428" s="6"/>
      <c r="J428" s="6" t="s">
        <v>834</v>
      </c>
      <c r="K428" s="6" t="s">
        <v>2437</v>
      </c>
      <c r="L428" s="6">
        <v>75</v>
      </c>
      <c r="M428" s="6">
        <v>4000</v>
      </c>
      <c r="N428" s="6">
        <v>6.67</v>
      </c>
      <c r="O428" s="6">
        <v>799</v>
      </c>
      <c r="P428" s="6" t="s">
        <v>2368</v>
      </c>
      <c r="Q428" s="6">
        <f>Table2_1[[#This Row],[Specs Score]] / (Table2_1[[#This Row],[Launched Price (USA)]] ^ 0.85)</f>
        <v>0.1588138540806264</v>
      </c>
      <c r="R428" s="6">
        <f>IFERROR(Table2_1[[#This Row],[Launched Price (USA)]] / S428, "")</f>
        <v>17.159065482551679</v>
      </c>
      <c r="S42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46.564307410124925</v>
      </c>
      <c r="T428" s="6">
        <v>2019</v>
      </c>
    </row>
    <row r="429" spans="1:20" x14ac:dyDescent="0.25">
      <c r="A429" s="6" t="s">
        <v>733</v>
      </c>
      <c r="B429" s="6" t="s">
        <v>859</v>
      </c>
      <c r="C42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29" s="6">
        <v>177</v>
      </c>
      <c r="E429" s="6">
        <v>6</v>
      </c>
      <c r="F429" s="6">
        <v>16</v>
      </c>
      <c r="G429" s="6">
        <v>20</v>
      </c>
      <c r="H429" s="6">
        <v>16</v>
      </c>
      <c r="I429" s="6"/>
      <c r="J429" s="6" t="s">
        <v>843</v>
      </c>
      <c r="K429" s="6" t="s">
        <v>2437</v>
      </c>
      <c r="L429" s="6">
        <v>70</v>
      </c>
      <c r="M429" s="6">
        <v>3300</v>
      </c>
      <c r="N429" s="6">
        <v>6.28</v>
      </c>
      <c r="O429" s="6">
        <v>599</v>
      </c>
      <c r="P429" s="6" t="s">
        <v>2368</v>
      </c>
      <c r="Q429" s="6">
        <f>Table2_1[[#This Row],[Specs Score]] / (Table2_1[[#This Row],[Launched Price (USA)]] ^ 0.85)</f>
        <v>0.14137260203459909</v>
      </c>
      <c r="R429" s="6">
        <f>IFERROR(Table2_1[[#This Row],[Launched Price (USA)]] / S429, "")</f>
        <v>18.460725807345913</v>
      </c>
      <c r="S42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32.447261621839658</v>
      </c>
      <c r="T429" s="6">
        <v>2018</v>
      </c>
    </row>
    <row r="430" spans="1:20" x14ac:dyDescent="0.25">
      <c r="A430" s="6" t="s">
        <v>733</v>
      </c>
      <c r="B430" s="6" t="s">
        <v>863</v>
      </c>
      <c r="C43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30" s="6">
        <v>155</v>
      </c>
      <c r="E430" s="6">
        <v>8</v>
      </c>
      <c r="F430" s="6">
        <v>16</v>
      </c>
      <c r="G430" s="6">
        <v>20</v>
      </c>
      <c r="H430" s="6">
        <v>16</v>
      </c>
      <c r="I430" s="6"/>
      <c r="J430" s="6" t="s">
        <v>848</v>
      </c>
      <c r="K430" s="6" t="s">
        <v>2437</v>
      </c>
      <c r="L430" s="6">
        <v>65</v>
      </c>
      <c r="M430" s="6">
        <v>3300</v>
      </c>
      <c r="N430" s="6">
        <v>5.5</v>
      </c>
      <c r="O430" s="6">
        <v>599</v>
      </c>
      <c r="P430" s="6" t="s">
        <v>2368</v>
      </c>
      <c r="Q430" s="6">
        <f>Table2_1[[#This Row],[Specs Score]] / (Table2_1[[#This Row],[Launched Price (USA)]] ^ 0.85)</f>
        <v>0.14104527717888737</v>
      </c>
      <c r="R430" s="6">
        <f>IFERROR(Table2_1[[#This Row],[Launched Price (USA)]] / S430, "")</f>
        <v>18.503567755208934</v>
      </c>
      <c r="S43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32.372135359213395</v>
      </c>
      <c r="T430" s="6">
        <v>2017</v>
      </c>
    </row>
    <row r="431" spans="1:20" x14ac:dyDescent="0.25">
      <c r="A431" s="6" t="s">
        <v>733</v>
      </c>
      <c r="B431" s="6" t="s">
        <v>868</v>
      </c>
      <c r="C43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31" s="6">
        <v>199</v>
      </c>
      <c r="E431" s="6">
        <v>12</v>
      </c>
      <c r="F431" s="6">
        <v>16</v>
      </c>
      <c r="G431" s="6">
        <v>48</v>
      </c>
      <c r="H431" s="6">
        <v>8</v>
      </c>
      <c r="I431" s="6"/>
      <c r="J431" s="6" t="s">
        <v>795</v>
      </c>
      <c r="K431" s="6" t="s">
        <v>2437</v>
      </c>
      <c r="L431" s="6">
        <v>80</v>
      </c>
      <c r="M431" s="6">
        <v>4510</v>
      </c>
      <c r="N431" s="6">
        <v>6.78</v>
      </c>
      <c r="O431" s="6">
        <v>899</v>
      </c>
      <c r="P431" s="6" t="s">
        <v>2368</v>
      </c>
      <c r="Q431" s="6">
        <f>Table2_1[[#This Row],[Specs Score]] / (Table2_1[[#This Row],[Launched Price (USA)]] ^ 0.85)</f>
        <v>0.15048183438381821</v>
      </c>
      <c r="R431" s="6">
        <f>IFERROR(Table2_1[[#This Row],[Launched Price (USA)]] / S431, "")</f>
        <v>18.432314719947591</v>
      </c>
      <c r="S43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48.773038745214961</v>
      </c>
      <c r="T431" s="6">
        <v>2020</v>
      </c>
    </row>
    <row r="432" spans="1:20" x14ac:dyDescent="0.25">
      <c r="A432" s="6" t="s">
        <v>733</v>
      </c>
      <c r="B432" s="6" t="s">
        <v>869</v>
      </c>
      <c r="C43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32" s="6">
        <v>188</v>
      </c>
      <c r="E432" s="6">
        <v>12</v>
      </c>
      <c r="F432" s="6">
        <v>16</v>
      </c>
      <c r="G432" s="6">
        <v>48</v>
      </c>
      <c r="H432" s="6">
        <v>16</v>
      </c>
      <c r="I432" s="6"/>
      <c r="J432" s="6" t="s">
        <v>795</v>
      </c>
      <c r="K432" s="6" t="s">
        <v>2437</v>
      </c>
      <c r="L432" s="6">
        <v>80</v>
      </c>
      <c r="M432" s="6">
        <v>4500</v>
      </c>
      <c r="N432" s="6">
        <v>6.55</v>
      </c>
      <c r="O432" s="6">
        <v>799</v>
      </c>
      <c r="P432" s="6" t="s">
        <v>2368</v>
      </c>
      <c r="Q432" s="6">
        <f>Table2_1[[#This Row],[Specs Score]] / (Table2_1[[#This Row],[Launched Price (USA)]] ^ 0.85)</f>
        <v>0.1654742908904345</v>
      </c>
      <c r="R432" s="6">
        <f>IFERROR(Table2_1[[#This Row],[Launched Price (USA)]] / S432, "")</f>
        <v>16.468403079667794</v>
      </c>
      <c r="S43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48.517151064055547</v>
      </c>
      <c r="T432" s="6">
        <v>2020</v>
      </c>
    </row>
    <row r="433" spans="1:20" x14ac:dyDescent="0.25">
      <c r="A433" s="6" t="s">
        <v>733</v>
      </c>
      <c r="B433" s="6" t="s">
        <v>871</v>
      </c>
      <c r="C43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33" s="6">
        <v>206</v>
      </c>
      <c r="E433" s="6">
        <v>12</v>
      </c>
      <c r="F433" s="6">
        <v>16</v>
      </c>
      <c r="G433" s="6">
        <v>48</v>
      </c>
      <c r="H433" s="6">
        <v>8</v>
      </c>
      <c r="I433" s="6"/>
      <c r="J433" s="6" t="s">
        <v>834</v>
      </c>
      <c r="K433" s="6" t="s">
        <v>2437</v>
      </c>
      <c r="L433" s="6">
        <v>75</v>
      </c>
      <c r="M433" s="6">
        <v>4085</v>
      </c>
      <c r="N433" s="6">
        <v>6.67</v>
      </c>
      <c r="O433" s="6">
        <v>899</v>
      </c>
      <c r="P433" s="6" t="s">
        <v>2368</v>
      </c>
      <c r="Q433" s="6">
        <f>Table2_1[[#This Row],[Specs Score]] / (Table2_1[[#This Row],[Launched Price (USA)]] ^ 0.85)</f>
        <v>0.14409471700215068</v>
      </c>
      <c r="R433" s="6">
        <f>IFERROR(Table2_1[[#This Row],[Launched Price (USA)]] / S433, "")</f>
        <v>19.249342298622711</v>
      </c>
      <c r="S43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46.702894366646667</v>
      </c>
      <c r="T433" s="6">
        <v>2019</v>
      </c>
    </row>
    <row r="434" spans="1:20" x14ac:dyDescent="0.25">
      <c r="A434" s="6" t="s">
        <v>733</v>
      </c>
      <c r="B434" s="6" t="s">
        <v>873</v>
      </c>
      <c r="C43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34" s="6">
        <v>210</v>
      </c>
      <c r="E434" s="6">
        <v>12</v>
      </c>
      <c r="F434" s="6">
        <v>32</v>
      </c>
      <c r="G434" s="6">
        <v>50</v>
      </c>
      <c r="H434" s="6">
        <v>8</v>
      </c>
      <c r="I434" s="6"/>
      <c r="J434" s="6" t="s">
        <v>737</v>
      </c>
      <c r="K434" s="6" t="s">
        <v>2437</v>
      </c>
      <c r="L434" s="6">
        <v>100</v>
      </c>
      <c r="M434" s="6">
        <v>5000</v>
      </c>
      <c r="N434" s="6">
        <v>6.7</v>
      </c>
      <c r="O434" s="6">
        <v>849</v>
      </c>
      <c r="P434" s="6" t="s">
        <v>2368</v>
      </c>
      <c r="Q434" s="6">
        <f>Table2_1[[#This Row],[Specs Score]] / (Table2_1[[#This Row],[Launched Price (USA)]] ^ 0.85)</f>
        <v>0.1733885267539019</v>
      </c>
      <c r="R434" s="6">
        <f>IFERROR(Table2_1[[#This Row],[Launched Price (USA)]] / S434, "")</f>
        <v>15.860460659130583</v>
      </c>
      <c r="S43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53.529340556148725</v>
      </c>
      <c r="T434" s="6">
        <v>2023</v>
      </c>
    </row>
    <row r="435" spans="1:20" x14ac:dyDescent="0.25">
      <c r="A435" s="6" t="s">
        <v>733</v>
      </c>
      <c r="B435" s="6" t="s">
        <v>875</v>
      </c>
      <c r="C43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35" s="6">
        <v>202</v>
      </c>
      <c r="E435" s="6">
        <v>8</v>
      </c>
      <c r="F435" s="6">
        <v>16</v>
      </c>
      <c r="G435" s="6">
        <v>64</v>
      </c>
      <c r="H435" s="6">
        <v>8</v>
      </c>
      <c r="I435" s="6"/>
      <c r="J435" s="6" t="s">
        <v>401</v>
      </c>
      <c r="K435" s="6" t="s">
        <v>2437</v>
      </c>
      <c r="L435" s="6">
        <v>95</v>
      </c>
      <c r="M435" s="6">
        <v>4800</v>
      </c>
      <c r="N435" s="6">
        <v>6.55</v>
      </c>
      <c r="O435" s="6">
        <v>799</v>
      </c>
      <c r="P435" s="6" t="s">
        <v>2368</v>
      </c>
      <c r="Q435" s="6">
        <f>Table2_1[[#This Row],[Specs Score]] / (Table2_1[[#This Row],[Launched Price (USA)]] ^ 0.85)</f>
        <v>0.1560150800699201</v>
      </c>
      <c r="R435" s="6">
        <f>IFERROR(Table2_1[[#This Row],[Launched Price (USA)]] / S435, "")</f>
        <v>17.466884101745741</v>
      </c>
      <c r="S43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45.743705365294282</v>
      </c>
      <c r="T435" s="6">
        <v>2023</v>
      </c>
    </row>
    <row r="436" spans="1:20" x14ac:dyDescent="0.25">
      <c r="A436" s="6" t="s">
        <v>733</v>
      </c>
      <c r="B436" s="6" t="s">
        <v>876</v>
      </c>
      <c r="C43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36" s="6">
        <v>215</v>
      </c>
      <c r="E436" s="6">
        <v>12</v>
      </c>
      <c r="F436" s="6">
        <v>32</v>
      </c>
      <c r="G436" s="6">
        <v>50</v>
      </c>
      <c r="H436" s="6">
        <v>48</v>
      </c>
      <c r="I436" s="6"/>
      <c r="J436" s="6" t="s">
        <v>401</v>
      </c>
      <c r="K436" s="6" t="s">
        <v>2437</v>
      </c>
      <c r="L436" s="6">
        <v>95</v>
      </c>
      <c r="M436" s="6">
        <v>5000</v>
      </c>
      <c r="N436" s="6">
        <v>6.7</v>
      </c>
      <c r="O436" s="6">
        <v>899</v>
      </c>
      <c r="P436" s="6" t="s">
        <v>2368</v>
      </c>
      <c r="Q436" s="6">
        <f>Table2_1[[#This Row],[Specs Score]] / (Table2_1[[#This Row],[Launched Price (USA)]] ^ 0.85)</f>
        <v>0.17320432739245753</v>
      </c>
      <c r="R436" s="6">
        <f>IFERROR(Table2_1[[#This Row],[Launched Price (USA)]] / S436, "")</f>
        <v>16.014198794887353</v>
      </c>
      <c r="S43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56.137682035457942</v>
      </c>
      <c r="T436" s="6">
        <v>2023</v>
      </c>
    </row>
    <row r="437" spans="1:20" x14ac:dyDescent="0.25">
      <c r="A437" s="6" t="s">
        <v>733</v>
      </c>
      <c r="B437" s="6" t="s">
        <v>878</v>
      </c>
      <c r="C43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37" s="6">
        <v>200</v>
      </c>
      <c r="E437" s="6">
        <v>12</v>
      </c>
      <c r="F437" s="6">
        <v>16</v>
      </c>
      <c r="G437" s="6">
        <v>50</v>
      </c>
      <c r="H437" s="6">
        <v>8</v>
      </c>
      <c r="I437" s="6"/>
      <c r="J437" s="6" t="s">
        <v>401</v>
      </c>
      <c r="K437" s="6" t="s">
        <v>2437</v>
      </c>
      <c r="L437" s="6">
        <v>95</v>
      </c>
      <c r="M437" s="6">
        <v>5000</v>
      </c>
      <c r="N437" s="6">
        <v>6.7</v>
      </c>
      <c r="O437" s="6">
        <v>849</v>
      </c>
      <c r="P437" s="6" t="s">
        <v>2368</v>
      </c>
      <c r="Q437" s="6">
        <f>Table2_1[[#This Row],[Specs Score]] / (Table2_1[[#This Row],[Launched Price (USA)]] ^ 0.85)</f>
        <v>0.17290175276018357</v>
      </c>
      <c r="R437" s="6">
        <f>IFERROR(Table2_1[[#This Row],[Launched Price (USA)]] / S437, "")</f>
        <v>15.905112952435934</v>
      </c>
      <c r="S43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53.379061345802775</v>
      </c>
      <c r="T437" s="6">
        <v>2023</v>
      </c>
    </row>
    <row r="438" spans="1:20" x14ac:dyDescent="0.25">
      <c r="A438" s="6" t="s">
        <v>733</v>
      </c>
      <c r="B438" s="6" t="s">
        <v>879</v>
      </c>
      <c r="C43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38" s="6">
        <v>550</v>
      </c>
      <c r="E438" s="6">
        <v>8</v>
      </c>
      <c r="F438" s="6">
        <v>8</v>
      </c>
      <c r="G438" s="6">
        <v>13</v>
      </c>
      <c r="H438" s="6"/>
      <c r="I438" s="6"/>
      <c r="J438" s="6" t="s">
        <v>2379</v>
      </c>
      <c r="K438" s="6" t="s">
        <v>2437</v>
      </c>
      <c r="L438" s="6">
        <v>90</v>
      </c>
      <c r="M438" s="6">
        <v>9510</v>
      </c>
      <c r="N438" s="6">
        <v>11.61</v>
      </c>
      <c r="O438" s="6">
        <v>499</v>
      </c>
      <c r="P438" s="6" t="s">
        <v>2369</v>
      </c>
      <c r="Q438" s="6">
        <f>Table2_1[[#This Row],[Specs Score]] / (Table2_1[[#This Row],[Launched Price (USA)]] ^ 0.85)</f>
        <v>0.27192746357839059</v>
      </c>
      <c r="R438" s="6">
        <f>IFERROR(Table2_1[[#This Row],[Launched Price (USA)]] / S438, "")</f>
        <v>9.3381750339122327</v>
      </c>
      <c r="S43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53.436565301876094</v>
      </c>
      <c r="T438" s="6">
        <v>2023</v>
      </c>
    </row>
    <row r="439" spans="1:20" x14ac:dyDescent="0.25">
      <c r="A439" s="6" t="s">
        <v>733</v>
      </c>
      <c r="B439" s="6" t="s">
        <v>884</v>
      </c>
      <c r="C43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39" s="6">
        <v>550</v>
      </c>
      <c r="E439" s="6">
        <v>8</v>
      </c>
      <c r="F439" s="6">
        <v>8</v>
      </c>
      <c r="G439" s="6">
        <v>13</v>
      </c>
      <c r="H439" s="6"/>
      <c r="I439" s="6"/>
      <c r="J439" s="6" t="s">
        <v>2379</v>
      </c>
      <c r="K439" s="6" t="s">
        <v>2437</v>
      </c>
      <c r="L439" s="6">
        <v>90</v>
      </c>
      <c r="M439" s="6">
        <v>9510</v>
      </c>
      <c r="N439" s="6">
        <v>11.61</v>
      </c>
      <c r="O439" s="6">
        <v>549</v>
      </c>
      <c r="P439" s="6" t="s">
        <v>2369</v>
      </c>
      <c r="Q439" s="6">
        <f>Table2_1[[#This Row],[Specs Score]] / (Table2_1[[#This Row],[Launched Price (USA)]] ^ 0.85)</f>
        <v>0.25072754182329116</v>
      </c>
      <c r="R439" s="6">
        <f>IFERROR(Table2_1[[#This Row],[Launched Price (USA)]] / S439, "")</f>
        <v>10.273863915065762</v>
      </c>
      <c r="S43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53.436565301876094</v>
      </c>
      <c r="T439" s="6">
        <v>2024</v>
      </c>
    </row>
    <row r="440" spans="1:20" x14ac:dyDescent="0.25">
      <c r="A440" s="6" t="s">
        <v>733</v>
      </c>
      <c r="B440" s="6" t="s">
        <v>887</v>
      </c>
      <c r="C44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40" s="6">
        <v>610</v>
      </c>
      <c r="E440" s="6">
        <v>12</v>
      </c>
      <c r="F440" s="6">
        <v>16</v>
      </c>
      <c r="G440" s="6">
        <v>50</v>
      </c>
      <c r="H440" s="6"/>
      <c r="I440" s="6"/>
      <c r="J440" s="6" t="s">
        <v>737</v>
      </c>
      <c r="K440" s="6" t="s">
        <v>2437</v>
      </c>
      <c r="L440" s="6">
        <v>100</v>
      </c>
      <c r="M440" s="6">
        <v>11000</v>
      </c>
      <c r="N440" s="6">
        <v>12.4</v>
      </c>
      <c r="O440" s="6">
        <v>799</v>
      </c>
      <c r="P440" s="6" t="s">
        <v>2369</v>
      </c>
      <c r="Q440" s="6">
        <f>Table2_1[[#This Row],[Specs Score]] / (Table2_1[[#This Row],[Launched Price (USA)]] ^ 0.85)</f>
        <v>0.22677594347022265</v>
      </c>
      <c r="R440" s="6">
        <f>IFERROR(Table2_1[[#This Row],[Launched Price (USA)]] / S440, "")</f>
        <v>12.016694892788314</v>
      </c>
      <c r="S44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66.490828562145737</v>
      </c>
      <c r="T440" s="6">
        <v>2024</v>
      </c>
    </row>
    <row r="441" spans="1:20" x14ac:dyDescent="0.25">
      <c r="A441" s="6" t="s">
        <v>733</v>
      </c>
      <c r="B441" s="6" t="s">
        <v>747</v>
      </c>
      <c r="C44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41" s="6">
        <v>179</v>
      </c>
      <c r="E441" s="6">
        <v>8</v>
      </c>
      <c r="F441" s="6">
        <v>16</v>
      </c>
      <c r="G441" s="6">
        <v>50</v>
      </c>
      <c r="H441" s="6">
        <v>2</v>
      </c>
      <c r="I441" s="6"/>
      <c r="J441" s="6" t="s">
        <v>749</v>
      </c>
      <c r="K441" s="6" t="s">
        <v>2438</v>
      </c>
      <c r="L441" s="6">
        <v>65</v>
      </c>
      <c r="M441" s="6">
        <v>5000</v>
      </c>
      <c r="N441" s="6">
        <v>6.72</v>
      </c>
      <c r="O441" s="6">
        <v>399</v>
      </c>
      <c r="P441" s="6" t="s">
        <v>2368</v>
      </c>
      <c r="Q441" s="6">
        <f>Table2_1[[#This Row],[Specs Score]] / (Table2_1[[#This Row],[Launched Price (USA)]] ^ 0.85)</f>
        <v>0.23357216545302101</v>
      </c>
      <c r="R441" s="6">
        <f>IFERROR(Table2_1[[#This Row],[Launched Price (USA)]] / S441, "")</f>
        <v>10.512956011661771</v>
      </c>
      <c r="S44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37.953169361443045</v>
      </c>
      <c r="T441" s="6">
        <v>2023</v>
      </c>
    </row>
    <row r="442" spans="1:20" x14ac:dyDescent="0.25">
      <c r="A442" s="6" t="s">
        <v>733</v>
      </c>
      <c r="B442" s="6" t="s">
        <v>752</v>
      </c>
      <c r="C44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42" s="6">
        <v>195</v>
      </c>
      <c r="E442" s="6">
        <v>8</v>
      </c>
      <c r="F442" s="6">
        <v>16</v>
      </c>
      <c r="G442" s="6">
        <v>108</v>
      </c>
      <c r="H442" s="6"/>
      <c r="I442" s="6"/>
      <c r="J442" s="6" t="s">
        <v>680</v>
      </c>
      <c r="K442" s="6" t="s">
        <v>2438</v>
      </c>
      <c r="L442" s="6">
        <v>40</v>
      </c>
      <c r="M442" s="6">
        <v>5000</v>
      </c>
      <c r="N442" s="6">
        <v>6.72</v>
      </c>
      <c r="O442" s="6">
        <v>299</v>
      </c>
      <c r="P442" s="6" t="s">
        <v>2368</v>
      </c>
      <c r="Q442" s="6">
        <f>Table2_1[[#This Row],[Specs Score]] / (Table2_1[[#This Row],[Launched Price (USA)]] ^ 0.85)</f>
        <v>0.27223017390513438</v>
      </c>
      <c r="R442" s="6">
        <f>IFERROR(Table2_1[[#This Row],[Launched Price (USA)]] / S442, "")</f>
        <v>8.6380242245493939</v>
      </c>
      <c r="S44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34.614397022670708</v>
      </c>
      <c r="T442" s="6">
        <v>2023</v>
      </c>
    </row>
    <row r="443" spans="1:20" x14ac:dyDescent="0.25">
      <c r="A443" s="6" t="s">
        <v>733</v>
      </c>
      <c r="B443" s="6" t="s">
        <v>779</v>
      </c>
      <c r="C44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43" s="6">
        <v>190</v>
      </c>
      <c r="E443" s="6">
        <v>8</v>
      </c>
      <c r="F443" s="6">
        <v>32</v>
      </c>
      <c r="G443" s="6">
        <v>50</v>
      </c>
      <c r="H443" s="6">
        <v>8</v>
      </c>
      <c r="I443" s="6"/>
      <c r="J443" s="6" t="s">
        <v>1233</v>
      </c>
      <c r="K443" s="6" t="s">
        <v>2438</v>
      </c>
      <c r="L443" s="6">
        <v>40</v>
      </c>
      <c r="M443" s="6">
        <v>4500</v>
      </c>
      <c r="N443" s="6">
        <v>6.43</v>
      </c>
      <c r="O443" s="6">
        <v>399</v>
      </c>
      <c r="P443" s="6" t="s">
        <v>2368</v>
      </c>
      <c r="Q443" s="6">
        <f>Table2_1[[#This Row],[Specs Score]] / (Table2_1[[#This Row],[Launched Price (USA)]] ^ 0.85)</f>
        <v>0.20482080920198004</v>
      </c>
      <c r="R443" s="6">
        <f>IFERROR(Table2_1[[#This Row],[Launched Price (USA)]] / S443, "")</f>
        <v>11.98869348541006</v>
      </c>
      <c r="S44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33.281358013329225</v>
      </c>
      <c r="T443" s="6">
        <v>2022</v>
      </c>
    </row>
    <row r="444" spans="1:20" x14ac:dyDescent="0.25">
      <c r="A444" s="6" t="s">
        <v>733</v>
      </c>
      <c r="B444" s="6" t="s">
        <v>782</v>
      </c>
      <c r="C44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44" s="6">
        <v>190</v>
      </c>
      <c r="E444" s="6">
        <v>8</v>
      </c>
      <c r="F444" s="6">
        <v>32</v>
      </c>
      <c r="G444" s="6">
        <v>50</v>
      </c>
      <c r="H444" s="6">
        <v>8</v>
      </c>
      <c r="I444" s="6"/>
      <c r="J444" s="6" t="s">
        <v>2405</v>
      </c>
      <c r="K444" s="6" t="s">
        <v>2438</v>
      </c>
      <c r="L444" s="6">
        <v>40</v>
      </c>
      <c r="M444" s="6">
        <v>4500</v>
      </c>
      <c r="N444" s="6">
        <v>6.43</v>
      </c>
      <c r="O444" s="6">
        <v>349</v>
      </c>
      <c r="P444" s="6" t="s">
        <v>2368</v>
      </c>
      <c r="Q444" s="6">
        <f>Table2_1[[#This Row],[Specs Score]] / (Table2_1[[#This Row],[Launched Price (USA)]] ^ 0.85)</f>
        <v>0.22950884427855725</v>
      </c>
      <c r="R444" s="6">
        <f>IFERROR(Table2_1[[#This Row],[Launched Price (USA)]] / S444, "")</f>
        <v>10.486350943378724</v>
      </c>
      <c r="S44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33.281358013329225</v>
      </c>
      <c r="T444" s="6">
        <v>2021</v>
      </c>
    </row>
    <row r="445" spans="1:20" x14ac:dyDescent="0.25">
      <c r="A445" s="6" t="s">
        <v>733</v>
      </c>
      <c r="B445" s="6" t="s">
        <v>811</v>
      </c>
      <c r="C44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45" s="6">
        <v>195</v>
      </c>
      <c r="E445" s="6">
        <v>6</v>
      </c>
      <c r="F445" s="6">
        <v>16</v>
      </c>
      <c r="G445" s="6">
        <v>64</v>
      </c>
      <c r="H445" s="6">
        <v>2</v>
      </c>
      <c r="I445" s="6"/>
      <c r="J445" s="6" t="s">
        <v>915</v>
      </c>
      <c r="K445" s="6" t="s">
        <v>2438</v>
      </c>
      <c r="L445" s="6">
        <v>28</v>
      </c>
      <c r="M445" s="6">
        <v>5000</v>
      </c>
      <c r="N445" s="6">
        <v>6.59</v>
      </c>
      <c r="O445" s="6">
        <v>249</v>
      </c>
      <c r="P445" s="6" t="s">
        <v>2368</v>
      </c>
      <c r="Q445" s="6">
        <f>Table2_1[[#This Row],[Specs Score]] / (Table2_1[[#This Row],[Launched Price (USA)]] ^ 0.85)</f>
        <v>0.24984805446438632</v>
      </c>
      <c r="R445" s="6">
        <f>IFERROR(Table2_1[[#This Row],[Launched Price (USA)]] / S445, "")</f>
        <v>9.1570150942362964</v>
      </c>
      <c r="S44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27.19226706929075</v>
      </c>
      <c r="T445" s="6">
        <v>2022</v>
      </c>
    </row>
    <row r="446" spans="1:20" x14ac:dyDescent="0.25">
      <c r="A446" s="6" t="s">
        <v>733</v>
      </c>
      <c r="B446" s="6" t="s">
        <v>814</v>
      </c>
      <c r="C44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46" s="6">
        <v>173</v>
      </c>
      <c r="E446" s="6">
        <v>8</v>
      </c>
      <c r="F446" s="6">
        <v>16</v>
      </c>
      <c r="G446" s="6">
        <v>64</v>
      </c>
      <c r="H446" s="6">
        <v>8</v>
      </c>
      <c r="I446" s="6"/>
      <c r="J446" s="6" t="s">
        <v>911</v>
      </c>
      <c r="K446" s="6" t="s">
        <v>2438</v>
      </c>
      <c r="L446" s="6">
        <v>38</v>
      </c>
      <c r="M446" s="6">
        <v>4500</v>
      </c>
      <c r="N446" s="6">
        <v>6.43</v>
      </c>
      <c r="O446" s="6">
        <v>299</v>
      </c>
      <c r="P446" s="6" t="s">
        <v>2368</v>
      </c>
      <c r="Q446" s="6">
        <f>Table2_1[[#This Row],[Specs Score]] / (Table2_1[[#This Row],[Launched Price (USA)]] ^ 0.85)</f>
        <v>0.24172506606790864</v>
      </c>
      <c r="R446" s="6">
        <f>IFERROR(Table2_1[[#This Row],[Launched Price (USA)]] / S446, "")</f>
        <v>9.7281216015273397</v>
      </c>
      <c r="S44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30.735635536572268</v>
      </c>
      <c r="T446" s="6">
        <v>2022</v>
      </c>
    </row>
    <row r="447" spans="1:20" x14ac:dyDescent="0.25">
      <c r="A447" s="6" t="s">
        <v>733</v>
      </c>
      <c r="B447" s="6" t="s">
        <v>819</v>
      </c>
      <c r="C44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47" s="6">
        <v>184</v>
      </c>
      <c r="E447" s="6">
        <v>6</v>
      </c>
      <c r="F447" s="6">
        <v>16</v>
      </c>
      <c r="G447" s="6">
        <v>48</v>
      </c>
      <c r="H447" s="6">
        <v>5</v>
      </c>
      <c r="I447" s="6"/>
      <c r="J447" s="6" t="s">
        <v>821</v>
      </c>
      <c r="K447" s="6" t="s">
        <v>2438</v>
      </c>
      <c r="L447" s="6">
        <v>52</v>
      </c>
      <c r="M447" s="6">
        <v>4115</v>
      </c>
      <c r="N447" s="6">
        <v>6.44</v>
      </c>
      <c r="O447" s="6">
        <v>349</v>
      </c>
      <c r="P447" s="6" t="s">
        <v>2368</v>
      </c>
      <c r="Q447" s="6">
        <f>Table2_1[[#This Row],[Specs Score]] / (Table2_1[[#This Row],[Launched Price (USA)]] ^ 0.85)</f>
        <v>0.21262613375794201</v>
      </c>
      <c r="R447" s="6">
        <f>IFERROR(Table2_1[[#This Row],[Launched Price (USA)]] / S447, "")</f>
        <v>11.318976850014394</v>
      </c>
      <c r="S44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30.8331755267753</v>
      </c>
      <c r="T447" s="6">
        <v>2020</v>
      </c>
    </row>
    <row r="448" spans="1:20" x14ac:dyDescent="0.25">
      <c r="A448" s="6" t="s">
        <v>733</v>
      </c>
      <c r="B448" s="6" t="s">
        <v>824</v>
      </c>
      <c r="C44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48" s="6">
        <v>170</v>
      </c>
      <c r="E448" s="6">
        <v>6</v>
      </c>
      <c r="F448" s="6">
        <v>16</v>
      </c>
      <c r="G448" s="6">
        <v>64</v>
      </c>
      <c r="H448" s="6">
        <v>8</v>
      </c>
      <c r="I448" s="6"/>
      <c r="J448" s="6" t="s">
        <v>826</v>
      </c>
      <c r="K448" s="6" t="s">
        <v>2438</v>
      </c>
      <c r="L448" s="6">
        <v>50</v>
      </c>
      <c r="M448" s="6">
        <v>4500</v>
      </c>
      <c r="N448" s="6">
        <v>6.43</v>
      </c>
      <c r="O448" s="6">
        <v>299</v>
      </c>
      <c r="P448" s="6" t="s">
        <v>2368</v>
      </c>
      <c r="Q448" s="6">
        <f>Table2_1[[#This Row],[Specs Score]] / (Table2_1[[#This Row],[Launched Price (USA)]] ^ 0.85)</f>
        <v>0.2498280404727691</v>
      </c>
      <c r="R448" s="6">
        <f>IFERROR(Table2_1[[#This Row],[Launched Price (USA)]] / S448, "")</f>
        <v>9.4125976907790641</v>
      </c>
      <c r="S44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31.765938566875292</v>
      </c>
      <c r="T448" s="6">
        <v>2021</v>
      </c>
    </row>
    <row r="449" spans="1:20" x14ac:dyDescent="0.25">
      <c r="A449" s="6" t="s">
        <v>733</v>
      </c>
      <c r="B449" s="6" t="s">
        <v>828</v>
      </c>
      <c r="C44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49" s="6">
        <v>189</v>
      </c>
      <c r="E449" s="6">
        <v>8</v>
      </c>
      <c r="F449" s="6">
        <v>32</v>
      </c>
      <c r="G449" s="6">
        <v>50</v>
      </c>
      <c r="H449" s="6">
        <v>8</v>
      </c>
      <c r="I449" s="6"/>
      <c r="J449" s="6" t="s">
        <v>2405</v>
      </c>
      <c r="K449" s="6" t="s">
        <v>2438</v>
      </c>
      <c r="L449" s="6">
        <v>40</v>
      </c>
      <c r="M449" s="6">
        <v>4500</v>
      </c>
      <c r="N449" s="6">
        <v>6.43</v>
      </c>
      <c r="O449" s="6">
        <v>399</v>
      </c>
      <c r="P449" s="6" t="s">
        <v>2368</v>
      </c>
      <c r="Q449" s="6">
        <f>Table2_1[[#This Row],[Specs Score]] / (Table2_1[[#This Row],[Launched Price (USA)]] ^ 0.85)</f>
        <v>0.20482080920198004</v>
      </c>
      <c r="R449" s="6">
        <f>IFERROR(Table2_1[[#This Row],[Launched Price (USA)]] / S449, "")</f>
        <v>11.98869348541006</v>
      </c>
      <c r="S44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33.281358013329225</v>
      </c>
      <c r="T449" s="6">
        <v>2021</v>
      </c>
    </row>
    <row r="450" spans="1:20" x14ac:dyDescent="0.25">
      <c r="A450" s="6" t="s">
        <v>733</v>
      </c>
      <c r="B450" s="6" t="s">
        <v>830</v>
      </c>
      <c r="C45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50" s="6">
        <v>190</v>
      </c>
      <c r="E450" s="6">
        <v>6</v>
      </c>
      <c r="F450" s="6">
        <v>16</v>
      </c>
      <c r="G450" s="6">
        <v>64</v>
      </c>
      <c r="H450" s="6">
        <v>8</v>
      </c>
      <c r="I450" s="6"/>
      <c r="J450" s="6" t="s">
        <v>2406</v>
      </c>
      <c r="K450" s="6" t="s">
        <v>2438</v>
      </c>
      <c r="L450" s="6">
        <v>38</v>
      </c>
      <c r="M450" s="6">
        <v>4300</v>
      </c>
      <c r="N450" s="6">
        <v>6.49</v>
      </c>
      <c r="O450" s="6">
        <v>299</v>
      </c>
      <c r="P450" s="6" t="s">
        <v>2368</v>
      </c>
      <c r="Q450" s="6">
        <f>Table2_1[[#This Row],[Specs Score]] / (Table2_1[[#This Row],[Launched Price (USA)]] ^ 0.85)</f>
        <v>0.2239227432246213</v>
      </c>
      <c r="R450" s="6">
        <f>IFERROR(Table2_1[[#This Row],[Launched Price (USA)]] / S450, "")</f>
        <v>10.501527459794374</v>
      </c>
      <c r="S45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28.472048580050526</v>
      </c>
      <c r="T450" s="6">
        <v>2020</v>
      </c>
    </row>
    <row r="451" spans="1:20" x14ac:dyDescent="0.25">
      <c r="A451" s="6" t="s">
        <v>733</v>
      </c>
      <c r="B451" s="6" t="s">
        <v>853</v>
      </c>
      <c r="C45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51" s="6">
        <v>205</v>
      </c>
      <c r="E451" s="6">
        <v>8</v>
      </c>
      <c r="F451" s="6">
        <v>16</v>
      </c>
      <c r="G451" s="6">
        <v>50</v>
      </c>
      <c r="H451" s="6">
        <v>16</v>
      </c>
      <c r="I451" s="6"/>
      <c r="J451" s="6" t="s">
        <v>1229</v>
      </c>
      <c r="K451" s="6" t="s">
        <v>2438</v>
      </c>
      <c r="L451" s="6">
        <v>65</v>
      </c>
      <c r="M451" s="6">
        <v>4500</v>
      </c>
      <c r="N451" s="6">
        <v>6.7</v>
      </c>
      <c r="O451" s="6">
        <v>599</v>
      </c>
      <c r="P451" s="6" t="s">
        <v>2368</v>
      </c>
      <c r="Q451" s="6">
        <f>Table2_1[[#This Row],[Specs Score]] / (Table2_1[[#This Row],[Launched Price (USA)]] ^ 0.85)</f>
        <v>0.16171915223133021</v>
      </c>
      <c r="R451" s="6">
        <f>IFERROR(Table2_1[[#This Row],[Launched Price (USA)]] / S451, "")</f>
        <v>16.138106135373103</v>
      </c>
      <c r="S45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37.117118636805365</v>
      </c>
      <c r="T451" s="6">
        <v>2022</v>
      </c>
    </row>
    <row r="452" spans="1:20" x14ac:dyDescent="0.25">
      <c r="A452" s="6" t="s">
        <v>733</v>
      </c>
      <c r="B452" s="6" t="s">
        <v>867</v>
      </c>
      <c r="C45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52" s="6">
        <v>190</v>
      </c>
      <c r="E452" s="6">
        <v>8</v>
      </c>
      <c r="F452" s="6">
        <v>32</v>
      </c>
      <c r="G452" s="6">
        <v>64</v>
      </c>
      <c r="H452" s="6">
        <v>8</v>
      </c>
      <c r="I452" s="6"/>
      <c r="J452" s="6" t="s">
        <v>821</v>
      </c>
      <c r="K452" s="6" t="s">
        <v>2438</v>
      </c>
      <c r="L452" s="6">
        <v>52</v>
      </c>
      <c r="M452" s="6">
        <v>4000</v>
      </c>
      <c r="N452" s="6">
        <v>6.44</v>
      </c>
      <c r="O452" s="6">
        <v>299</v>
      </c>
      <c r="P452" s="6" t="s">
        <v>2368</v>
      </c>
      <c r="Q452" s="6">
        <f>Table2_1[[#This Row],[Specs Score]] / (Table2_1[[#This Row],[Launched Price (USA)]] ^ 0.85)</f>
        <v>0.28489550337533176</v>
      </c>
      <c r="R452" s="6">
        <f>IFERROR(Table2_1[[#This Row],[Launched Price (USA)]] / S452, "")</f>
        <v>8.2540117656678227</v>
      </c>
      <c r="S45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36.224809036943292</v>
      </c>
      <c r="T452" s="6">
        <v>2020</v>
      </c>
    </row>
    <row r="453" spans="1:20" x14ac:dyDescent="0.25">
      <c r="A453" s="6" t="s">
        <v>1118</v>
      </c>
      <c r="B453" s="6" t="s">
        <v>1132</v>
      </c>
      <c r="C45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53" s="6">
        <v>192</v>
      </c>
      <c r="E453" s="6">
        <v>8</v>
      </c>
      <c r="F453" s="6">
        <v>32</v>
      </c>
      <c r="G453" s="6">
        <v>50</v>
      </c>
      <c r="H453" s="6">
        <v>8</v>
      </c>
      <c r="I453" s="6">
        <v>2</v>
      </c>
      <c r="J453" s="6" t="s">
        <v>2407</v>
      </c>
      <c r="K453" s="6" t="s">
        <v>2439</v>
      </c>
      <c r="L453" s="6">
        <v>25</v>
      </c>
      <c r="M453" s="6">
        <v>5800</v>
      </c>
      <c r="N453" s="6">
        <v>6.67</v>
      </c>
      <c r="O453" s="6">
        <v>499</v>
      </c>
      <c r="P453" s="6" t="s">
        <v>2368</v>
      </c>
      <c r="Q453" s="6">
        <f>Table2_1[[#This Row],[Specs Score]] / (Table2_1[[#This Row],[Launched Price (USA)]] ^ 0.85)</f>
        <v>0.18184288683211122</v>
      </c>
      <c r="R453" s="6">
        <f>IFERROR(Table2_1[[#This Row],[Launched Price (USA)]] / S453, "")</f>
        <v>13.964286949355639</v>
      </c>
      <c r="S45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35.734012184777228</v>
      </c>
      <c r="T453" s="6">
        <v>2025</v>
      </c>
    </row>
    <row r="454" spans="1:20" x14ac:dyDescent="0.25">
      <c r="A454" s="6" t="s">
        <v>1118</v>
      </c>
      <c r="B454" s="6" t="s">
        <v>1136</v>
      </c>
      <c r="C45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54" s="6">
        <v>192</v>
      </c>
      <c r="E454" s="6">
        <v>8</v>
      </c>
      <c r="F454" s="6">
        <v>32</v>
      </c>
      <c r="G454" s="6">
        <v>50</v>
      </c>
      <c r="H454" s="6">
        <v>8</v>
      </c>
      <c r="I454" s="6">
        <v>2</v>
      </c>
      <c r="J454" s="6" t="s">
        <v>2407</v>
      </c>
      <c r="K454" s="6" t="s">
        <v>2439</v>
      </c>
      <c r="L454" s="6">
        <v>25</v>
      </c>
      <c r="M454" s="6">
        <v>5800</v>
      </c>
      <c r="N454" s="6">
        <v>6.67</v>
      </c>
      <c r="O454" s="6">
        <v>499</v>
      </c>
      <c r="P454" s="6" t="s">
        <v>2368</v>
      </c>
      <c r="Q454" s="6">
        <f>Table2_1[[#This Row],[Specs Score]] / (Table2_1[[#This Row],[Launched Price (USA)]] ^ 0.85)</f>
        <v>0.18184288683211122</v>
      </c>
      <c r="R454" s="6">
        <f>IFERROR(Table2_1[[#This Row],[Launched Price (USA)]] / S454, "")</f>
        <v>13.964286949355639</v>
      </c>
      <c r="S45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35.734012184777228</v>
      </c>
      <c r="T454" s="6">
        <v>2025</v>
      </c>
    </row>
    <row r="455" spans="1:20" x14ac:dyDescent="0.25">
      <c r="A455" s="6" t="s">
        <v>1118</v>
      </c>
      <c r="B455" s="6" t="s">
        <v>1158</v>
      </c>
      <c r="C45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55" s="6">
        <v>186</v>
      </c>
      <c r="E455" s="6">
        <v>8</v>
      </c>
      <c r="F455" s="6">
        <v>8</v>
      </c>
      <c r="G455" s="6">
        <v>50</v>
      </c>
      <c r="H455" s="6">
        <v>2</v>
      </c>
      <c r="I455" s="6"/>
      <c r="J455" s="6" t="s">
        <v>1159</v>
      </c>
      <c r="K455" s="6" t="s">
        <v>2439</v>
      </c>
      <c r="L455" s="6">
        <v>15</v>
      </c>
      <c r="M455" s="6">
        <v>5100</v>
      </c>
      <c r="N455" s="6">
        <v>6.67</v>
      </c>
      <c r="O455" s="6">
        <v>499</v>
      </c>
      <c r="P455" s="6" t="s">
        <v>2368</v>
      </c>
      <c r="Q455" s="6">
        <f>Table2_1[[#This Row],[Specs Score]] / (Table2_1[[#This Row],[Launched Price (USA)]] ^ 0.85)</f>
        <v>0.14212748616512869</v>
      </c>
      <c r="R455" s="6">
        <f>IFERROR(Table2_1[[#This Row],[Launched Price (USA)]] / S455, "")</f>
        <v>17.866398118605645</v>
      </c>
      <c r="S45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27.929524277215855</v>
      </c>
      <c r="T455" s="6">
        <v>2024</v>
      </c>
    </row>
    <row r="456" spans="1:20" x14ac:dyDescent="0.25">
      <c r="A456" s="6" t="s">
        <v>1118</v>
      </c>
      <c r="B456" s="6" t="s">
        <v>1160</v>
      </c>
      <c r="C45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56" s="6">
        <v>186</v>
      </c>
      <c r="E456" s="6">
        <v>4</v>
      </c>
      <c r="F456" s="6">
        <v>5</v>
      </c>
      <c r="G456" s="6">
        <v>50</v>
      </c>
      <c r="H456" s="6"/>
      <c r="I456" s="6"/>
      <c r="J456" s="6" t="s">
        <v>1161</v>
      </c>
      <c r="K456" s="6" t="s">
        <v>2439</v>
      </c>
      <c r="L456" s="6">
        <v>26</v>
      </c>
      <c r="M456" s="6">
        <v>5000</v>
      </c>
      <c r="N456" s="6">
        <v>6.7</v>
      </c>
      <c r="O456" s="6">
        <v>399</v>
      </c>
      <c r="P456" s="6" t="s">
        <v>2368</v>
      </c>
      <c r="Q456" s="6">
        <f>Table2_1[[#This Row],[Specs Score]] / (Table2_1[[#This Row],[Launched Price (USA)]] ^ 0.85)</f>
        <v>0.13654552878099019</v>
      </c>
      <c r="R456" s="6">
        <f>IFERROR(Table2_1[[#This Row],[Launched Price (USA)]] / S456, "")</f>
        <v>17.9832611355199</v>
      </c>
      <c r="S45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22.187299455486933</v>
      </c>
      <c r="T456" s="6">
        <v>2024</v>
      </c>
    </row>
    <row r="457" spans="1:20" x14ac:dyDescent="0.25">
      <c r="A457" s="6" t="s">
        <v>1118</v>
      </c>
      <c r="B457" s="6" t="s">
        <v>1162</v>
      </c>
      <c r="C45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57" s="6">
        <v>186</v>
      </c>
      <c r="E457" s="6">
        <v>4</v>
      </c>
      <c r="F457" s="6">
        <v>8</v>
      </c>
      <c r="G457" s="6">
        <v>8</v>
      </c>
      <c r="H457" s="6">
        <v>2</v>
      </c>
      <c r="I457" s="6"/>
      <c r="J457" s="6" t="s">
        <v>1161</v>
      </c>
      <c r="K457" s="6" t="s">
        <v>2439</v>
      </c>
      <c r="L457" s="6">
        <v>26</v>
      </c>
      <c r="M457" s="6">
        <v>5100</v>
      </c>
      <c r="N457" s="6">
        <v>6.67</v>
      </c>
      <c r="O457" s="6">
        <v>449</v>
      </c>
      <c r="P457" s="6" t="s">
        <v>2368</v>
      </c>
      <c r="Q457" s="6">
        <f>Table2_1[[#This Row],[Specs Score]] / (Table2_1[[#This Row],[Launched Price (USA)]] ^ 0.85)</f>
        <v>0.11513129628992418</v>
      </c>
      <c r="R457" s="6">
        <f>IFERROR(Table2_1[[#This Row],[Launched Price (USA)]] / S457, "")</f>
        <v>21.709186851390275</v>
      </c>
      <c r="S45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20.682488159211992</v>
      </c>
      <c r="T457" s="6">
        <v>2024</v>
      </c>
    </row>
    <row r="458" spans="1:20" x14ac:dyDescent="0.25">
      <c r="A458" s="6" t="s">
        <v>1118</v>
      </c>
      <c r="B458" s="6" t="s">
        <v>1164</v>
      </c>
      <c r="C45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58" s="6">
        <v>186</v>
      </c>
      <c r="E458" s="6">
        <v>6</v>
      </c>
      <c r="F458" s="6">
        <v>8</v>
      </c>
      <c r="G458" s="6">
        <v>8</v>
      </c>
      <c r="H458" s="6">
        <v>2</v>
      </c>
      <c r="I458" s="6"/>
      <c r="J458" s="6" t="s">
        <v>1161</v>
      </c>
      <c r="K458" s="6" t="s">
        <v>2439</v>
      </c>
      <c r="L458" s="6">
        <v>26</v>
      </c>
      <c r="M458" s="6">
        <v>5100</v>
      </c>
      <c r="N458" s="6">
        <v>6.67</v>
      </c>
      <c r="O458" s="6">
        <v>499</v>
      </c>
      <c r="P458" s="6" t="s">
        <v>2368</v>
      </c>
      <c r="Q458" s="6">
        <f>Table2_1[[#This Row],[Specs Score]] / (Table2_1[[#This Row],[Launched Price (USA)]] ^ 0.85)</f>
        <v>0.13512496305944602</v>
      </c>
      <c r="R458" s="6">
        <f>IFERROR(Table2_1[[#This Row],[Launched Price (USA)]] / S458, "")</f>
        <v>18.792280818649907</v>
      </c>
      <c r="S45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26.55345590114748</v>
      </c>
      <c r="T458" s="6">
        <v>2024</v>
      </c>
    </row>
    <row r="459" spans="1:20" x14ac:dyDescent="0.25">
      <c r="A459" s="6" t="s">
        <v>1118</v>
      </c>
      <c r="B459" s="6" t="s">
        <v>1165</v>
      </c>
      <c r="C45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59" s="6">
        <v>186</v>
      </c>
      <c r="E459" s="6">
        <v>4</v>
      </c>
      <c r="F459" s="6">
        <v>5</v>
      </c>
      <c r="G459" s="6">
        <v>50</v>
      </c>
      <c r="H459" s="6"/>
      <c r="I459" s="6"/>
      <c r="J459" s="6" t="s">
        <v>1161</v>
      </c>
      <c r="K459" s="6" t="s">
        <v>2439</v>
      </c>
      <c r="L459" s="6">
        <v>26</v>
      </c>
      <c r="M459" s="6">
        <v>5000</v>
      </c>
      <c r="N459" s="6">
        <v>6.7</v>
      </c>
      <c r="O459" s="6">
        <v>399</v>
      </c>
      <c r="P459" s="6" t="s">
        <v>2368</v>
      </c>
      <c r="Q459" s="6">
        <f>Table2_1[[#This Row],[Specs Score]] / (Table2_1[[#This Row],[Launched Price (USA)]] ^ 0.85)</f>
        <v>0.13654552878099019</v>
      </c>
      <c r="R459" s="6">
        <f>IFERROR(Table2_1[[#This Row],[Launched Price (USA)]] / S459, "")</f>
        <v>17.9832611355199</v>
      </c>
      <c r="S45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22.187299455486933</v>
      </c>
      <c r="T459" s="6">
        <v>2024</v>
      </c>
    </row>
    <row r="460" spans="1:20" x14ac:dyDescent="0.25">
      <c r="A460" s="6" t="s">
        <v>1118</v>
      </c>
      <c r="B460" s="6" t="s">
        <v>1166</v>
      </c>
      <c r="C46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60" s="6">
        <v>186</v>
      </c>
      <c r="E460" s="6">
        <v>4</v>
      </c>
      <c r="F460" s="6">
        <v>8</v>
      </c>
      <c r="G460" s="6">
        <v>8</v>
      </c>
      <c r="H460" s="6">
        <v>2</v>
      </c>
      <c r="I460" s="6"/>
      <c r="J460" s="6" t="s">
        <v>1161</v>
      </c>
      <c r="K460" s="6" t="s">
        <v>2439</v>
      </c>
      <c r="L460" s="6">
        <v>26</v>
      </c>
      <c r="M460" s="6">
        <v>5100</v>
      </c>
      <c r="N460" s="6">
        <v>6.67</v>
      </c>
      <c r="O460" s="6">
        <v>449</v>
      </c>
      <c r="P460" s="6" t="s">
        <v>2368</v>
      </c>
      <c r="Q460" s="6">
        <f>Table2_1[[#This Row],[Specs Score]] / (Table2_1[[#This Row],[Launched Price (USA)]] ^ 0.85)</f>
        <v>0.11513129628992418</v>
      </c>
      <c r="R460" s="6">
        <f>IFERROR(Table2_1[[#This Row],[Launched Price (USA)]] / S460, "")</f>
        <v>21.709186851390275</v>
      </c>
      <c r="S46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20.682488159211992</v>
      </c>
      <c r="T460" s="6">
        <v>2024</v>
      </c>
    </row>
    <row r="461" spans="1:20" x14ac:dyDescent="0.25">
      <c r="A461" s="6" t="s">
        <v>1118</v>
      </c>
      <c r="B461" s="6" t="s">
        <v>1167</v>
      </c>
      <c r="C46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61" s="6">
        <v>186</v>
      </c>
      <c r="E461" s="6">
        <v>6</v>
      </c>
      <c r="F461" s="6">
        <v>8</v>
      </c>
      <c r="G461" s="6">
        <v>8</v>
      </c>
      <c r="H461" s="6">
        <v>2</v>
      </c>
      <c r="I461" s="6"/>
      <c r="J461" s="6" t="s">
        <v>1161</v>
      </c>
      <c r="K461" s="6" t="s">
        <v>2439</v>
      </c>
      <c r="L461" s="6">
        <v>26</v>
      </c>
      <c r="M461" s="6">
        <v>5100</v>
      </c>
      <c r="N461" s="6">
        <v>6.67</v>
      </c>
      <c r="O461" s="6">
        <v>499</v>
      </c>
      <c r="P461" s="6" t="s">
        <v>2368</v>
      </c>
      <c r="Q461" s="6">
        <f>Table2_1[[#This Row],[Specs Score]] / (Table2_1[[#This Row],[Launched Price (USA)]] ^ 0.85)</f>
        <v>0.13512496305944602</v>
      </c>
      <c r="R461" s="6">
        <f>IFERROR(Table2_1[[#This Row],[Launched Price (USA)]] / S461, "")</f>
        <v>18.792280818649907</v>
      </c>
      <c r="S46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26.55345590114748</v>
      </c>
      <c r="T461" s="6">
        <v>2024</v>
      </c>
    </row>
    <row r="462" spans="1:20" x14ac:dyDescent="0.25">
      <c r="A462" s="6" t="s">
        <v>1118</v>
      </c>
      <c r="B462" s="6" t="s">
        <v>1165</v>
      </c>
      <c r="C46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62" s="6">
        <v>186</v>
      </c>
      <c r="E462" s="6">
        <v>4</v>
      </c>
      <c r="F462" s="6">
        <v>5</v>
      </c>
      <c r="G462" s="6">
        <v>50</v>
      </c>
      <c r="H462" s="6"/>
      <c r="I462" s="6"/>
      <c r="J462" s="6" t="s">
        <v>1161</v>
      </c>
      <c r="K462" s="6" t="s">
        <v>2439</v>
      </c>
      <c r="L462" s="6">
        <v>26</v>
      </c>
      <c r="M462" s="6">
        <v>5000</v>
      </c>
      <c r="N462" s="6">
        <v>6.7</v>
      </c>
      <c r="O462" s="6">
        <v>399</v>
      </c>
      <c r="P462" s="6" t="s">
        <v>2368</v>
      </c>
      <c r="Q462" s="6">
        <f>Table2_1[[#This Row],[Specs Score]] / (Table2_1[[#This Row],[Launched Price (USA)]] ^ 0.85)</f>
        <v>0.13654552878099019</v>
      </c>
      <c r="R462" s="6">
        <f>IFERROR(Table2_1[[#This Row],[Launched Price (USA)]] / S462, "")</f>
        <v>17.9832611355199</v>
      </c>
      <c r="S46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22.187299455486933</v>
      </c>
      <c r="T462" s="6">
        <v>2024</v>
      </c>
    </row>
    <row r="463" spans="1:20" x14ac:dyDescent="0.25">
      <c r="A463" s="6" t="s">
        <v>1118</v>
      </c>
      <c r="B463" s="6" t="s">
        <v>1269</v>
      </c>
      <c r="C46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63" s="6">
        <v>186</v>
      </c>
      <c r="E463" s="6">
        <v>6</v>
      </c>
      <c r="F463" s="6">
        <v>8</v>
      </c>
      <c r="G463" s="6">
        <v>13</v>
      </c>
      <c r="H463" s="6">
        <v>2</v>
      </c>
      <c r="I463" s="6"/>
      <c r="J463" s="6" t="s">
        <v>2381</v>
      </c>
      <c r="K463" s="6" t="s">
        <v>2439</v>
      </c>
      <c r="L463" s="6">
        <v>20</v>
      </c>
      <c r="M463" s="6">
        <v>5000</v>
      </c>
      <c r="N463" s="6">
        <v>6.56</v>
      </c>
      <c r="O463" s="6">
        <v>199</v>
      </c>
      <c r="P463" s="6" t="s">
        <v>2368</v>
      </c>
      <c r="Q463" s="6">
        <f>Table2_1[[#This Row],[Specs Score]] / (Table2_1[[#This Row],[Launched Price (USA)]] ^ 0.85)</f>
        <v>0.23507453152713972</v>
      </c>
      <c r="R463" s="6">
        <f>IFERROR(Table2_1[[#This Row],[Launched Price (USA)]] / S463, "")</f>
        <v>9.4107098211685525</v>
      </c>
      <c r="S46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21.146120088876533</v>
      </c>
      <c r="T463" s="6">
        <v>2023</v>
      </c>
    </row>
    <row r="464" spans="1:20" x14ac:dyDescent="0.25">
      <c r="A464" s="6" t="s">
        <v>1118</v>
      </c>
      <c r="B464" s="6" t="s">
        <v>1271</v>
      </c>
      <c r="C46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64" s="6">
        <v>186</v>
      </c>
      <c r="E464" s="6">
        <v>8</v>
      </c>
      <c r="F464" s="6">
        <v>8</v>
      </c>
      <c r="G464" s="6">
        <v>13</v>
      </c>
      <c r="H464" s="6">
        <v>2</v>
      </c>
      <c r="I464" s="6"/>
      <c r="J464" s="6" t="s">
        <v>2381</v>
      </c>
      <c r="K464" s="6" t="s">
        <v>2439</v>
      </c>
      <c r="L464" s="6">
        <v>20</v>
      </c>
      <c r="M464" s="6">
        <v>5000</v>
      </c>
      <c r="N464" s="6">
        <v>6.56</v>
      </c>
      <c r="O464" s="6">
        <v>229</v>
      </c>
      <c r="P464" s="6" t="s">
        <v>2368</v>
      </c>
      <c r="Q464" s="6">
        <f>Table2_1[[#This Row],[Specs Score]] / (Table2_1[[#This Row],[Launched Price (USA)]] ^ 0.85)</f>
        <v>0.26654980838620607</v>
      </c>
      <c r="R464" s="6">
        <f>IFERROR(Table2_1[[#This Row],[Launched Price (USA)]] / S464, "")</f>
        <v>8.4761170942648274</v>
      </c>
      <c r="S46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27.017087830812017</v>
      </c>
      <c r="T464" s="6">
        <v>2023</v>
      </c>
    </row>
    <row r="465" spans="1:20" x14ac:dyDescent="0.25">
      <c r="A465" s="6" t="s">
        <v>1118</v>
      </c>
      <c r="B465" s="6" t="s">
        <v>1273</v>
      </c>
      <c r="C46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65" s="6">
        <v>188</v>
      </c>
      <c r="E465" s="6">
        <v>8</v>
      </c>
      <c r="F465" s="6">
        <v>8</v>
      </c>
      <c r="G465" s="6">
        <v>50</v>
      </c>
      <c r="H465" s="6">
        <v>2</v>
      </c>
      <c r="I465" s="6"/>
      <c r="J465" s="6" t="s">
        <v>2373</v>
      </c>
      <c r="K465" s="6" t="s">
        <v>2439</v>
      </c>
      <c r="L465" s="6">
        <v>18</v>
      </c>
      <c r="M465" s="6">
        <v>5000</v>
      </c>
      <c r="N465" s="6">
        <v>6.56</v>
      </c>
      <c r="O465" s="6">
        <v>249</v>
      </c>
      <c r="P465" s="6" t="s">
        <v>2368</v>
      </c>
      <c r="Q465" s="6">
        <f>Table2_1[[#This Row],[Specs Score]] / (Table2_1[[#This Row],[Launched Price (USA)]] ^ 0.85)</f>
        <v>0.26103199101004887</v>
      </c>
      <c r="R465" s="6">
        <f>IFERROR(Table2_1[[#This Row],[Launched Price (USA)]] / S465, "")</f>
        <v>8.7646820496721531</v>
      </c>
      <c r="S46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28.409473223197409</v>
      </c>
      <c r="T465" s="6">
        <v>2022</v>
      </c>
    </row>
    <row r="466" spans="1:20" x14ac:dyDescent="0.25">
      <c r="A466" s="6" t="s">
        <v>1118</v>
      </c>
      <c r="B466" s="6" t="s">
        <v>1279</v>
      </c>
      <c r="C46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66" s="6">
        <v>189</v>
      </c>
      <c r="E466" s="6">
        <v>6</v>
      </c>
      <c r="F466" s="6">
        <v>8</v>
      </c>
      <c r="G466" s="6">
        <v>13</v>
      </c>
      <c r="H466" s="6">
        <v>2</v>
      </c>
      <c r="I466" s="6"/>
      <c r="J466" s="6" t="s">
        <v>2373</v>
      </c>
      <c r="K466" s="6" t="s">
        <v>2439</v>
      </c>
      <c r="L466" s="6">
        <v>18</v>
      </c>
      <c r="M466" s="6">
        <v>5000</v>
      </c>
      <c r="N466" s="6">
        <v>6.5</v>
      </c>
      <c r="O466" s="6">
        <v>199</v>
      </c>
      <c r="P466" s="6" t="s">
        <v>2368</v>
      </c>
      <c r="Q466" s="6">
        <f>Table2_1[[#This Row],[Specs Score]] / (Table2_1[[#This Row],[Launched Price (USA)]] ^ 0.85)</f>
        <v>0.22876525736563905</v>
      </c>
      <c r="R466" s="6">
        <f>IFERROR(Table2_1[[#This Row],[Launched Price (USA)]] / S466, "")</f>
        <v>9.670254251121829</v>
      </c>
      <c r="S46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20.578569583826027</v>
      </c>
      <c r="T466" s="6">
        <v>2021</v>
      </c>
    </row>
    <row r="467" spans="1:20" x14ac:dyDescent="0.25">
      <c r="A467" s="6" t="s">
        <v>1118</v>
      </c>
      <c r="B467" s="6" t="s">
        <v>1281</v>
      </c>
      <c r="C46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67" s="6">
        <v>186</v>
      </c>
      <c r="E467" s="6">
        <v>6</v>
      </c>
      <c r="F467" s="6">
        <v>8</v>
      </c>
      <c r="G467" s="6">
        <v>13</v>
      </c>
      <c r="H467" s="6">
        <v>2</v>
      </c>
      <c r="I467" s="6">
        <v>2</v>
      </c>
      <c r="J467" s="6" t="s">
        <v>2373</v>
      </c>
      <c r="K467" s="6" t="s">
        <v>2439</v>
      </c>
      <c r="L467" s="6">
        <v>18</v>
      </c>
      <c r="M467" s="6">
        <v>5000</v>
      </c>
      <c r="N467" s="6">
        <v>6.5</v>
      </c>
      <c r="O467" s="6">
        <v>189</v>
      </c>
      <c r="P467" s="6" t="s">
        <v>2368</v>
      </c>
      <c r="Q467" s="6">
        <f>Table2_1[[#This Row],[Specs Score]] / (Table2_1[[#This Row],[Launched Price (USA)]] ^ 0.85)</f>
        <v>0.23901362030048248</v>
      </c>
      <c r="R467" s="6">
        <f>IFERROR(Table2_1[[#This Row],[Launched Price (USA)]] / S467, "")</f>
        <v>9.1843118264423396</v>
      </c>
      <c r="S46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20.578569583826027</v>
      </c>
      <c r="T467" s="6">
        <v>2021</v>
      </c>
    </row>
    <row r="468" spans="1:20" x14ac:dyDescent="0.25">
      <c r="A468" s="6" t="s">
        <v>1118</v>
      </c>
      <c r="B468" s="6" t="s">
        <v>1285</v>
      </c>
      <c r="C46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68" s="6">
        <v>190</v>
      </c>
      <c r="E468" s="6">
        <v>6</v>
      </c>
      <c r="F468" s="6">
        <v>16</v>
      </c>
      <c r="G468" s="6">
        <v>48</v>
      </c>
      <c r="H468" s="6">
        <v>8</v>
      </c>
      <c r="I468" s="6">
        <v>2</v>
      </c>
      <c r="J468" s="6" t="s">
        <v>785</v>
      </c>
      <c r="K468" s="6" t="s">
        <v>2439</v>
      </c>
      <c r="L468" s="6">
        <v>20</v>
      </c>
      <c r="M468" s="6">
        <v>5000</v>
      </c>
      <c r="N468" s="6">
        <v>6.5</v>
      </c>
      <c r="O468" s="6">
        <v>219</v>
      </c>
      <c r="P468" s="6" t="s">
        <v>2368</v>
      </c>
      <c r="Q468" s="6">
        <f>Table2_1[[#This Row],[Specs Score]] / (Table2_1[[#This Row],[Launched Price (USA)]] ^ 0.85)</f>
        <v>0.2485844472207846</v>
      </c>
      <c r="R468" s="6">
        <f>IFERROR(Table2_1[[#This Row],[Launched Price (USA)]] / S468, "")</f>
        <v>9.0280231463844647</v>
      </c>
      <c r="S46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24.257802228575912</v>
      </c>
      <c r="T468" s="6">
        <v>2021</v>
      </c>
    </row>
    <row r="469" spans="1:20" x14ac:dyDescent="0.25">
      <c r="A469" s="6" t="s">
        <v>1118</v>
      </c>
      <c r="B469" s="6" t="s">
        <v>1287</v>
      </c>
      <c r="C46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69" s="6">
        <v>175</v>
      </c>
      <c r="E469" s="6">
        <v>4</v>
      </c>
      <c r="F469" s="6">
        <v>8</v>
      </c>
      <c r="G469" s="6">
        <v>16</v>
      </c>
      <c r="H469" s="6">
        <v>2</v>
      </c>
      <c r="I469" s="6">
        <v>2</v>
      </c>
      <c r="J469" s="6" t="s">
        <v>2408</v>
      </c>
      <c r="K469" s="6" t="s">
        <v>2439</v>
      </c>
      <c r="L469" s="6">
        <v>19</v>
      </c>
      <c r="M469" s="6">
        <v>4040</v>
      </c>
      <c r="N469" s="6">
        <v>6.5</v>
      </c>
      <c r="O469" s="6">
        <v>179</v>
      </c>
      <c r="P469" s="6" t="s">
        <v>2368</v>
      </c>
      <c r="Q469" s="6">
        <f>Table2_1[[#This Row],[Specs Score]] / (Table2_1[[#This Row],[Launched Price (USA)]] ^ 0.85)</f>
        <v>0.21189279195386926</v>
      </c>
      <c r="R469" s="6">
        <f>IFERROR(Table2_1[[#This Row],[Launched Price (USA)]] / S469, "")</f>
        <v>10.27570839363802</v>
      </c>
      <c r="S46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17.419723598893089</v>
      </c>
      <c r="T469" s="6">
        <v>2020</v>
      </c>
    </row>
    <row r="470" spans="1:20" x14ac:dyDescent="0.25">
      <c r="A470" s="6" t="s">
        <v>1118</v>
      </c>
      <c r="B470" s="6" t="s">
        <v>1292</v>
      </c>
      <c r="C47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70" s="6">
        <v>184</v>
      </c>
      <c r="E470" s="6">
        <v>4</v>
      </c>
      <c r="F470" s="6">
        <v>8</v>
      </c>
      <c r="G470" s="6">
        <v>12</v>
      </c>
      <c r="H470" s="6">
        <v>8</v>
      </c>
      <c r="I470" s="6">
        <v>2</v>
      </c>
      <c r="J470" s="6" t="s">
        <v>2408</v>
      </c>
      <c r="K470" s="6" t="s">
        <v>2439</v>
      </c>
      <c r="L470" s="6">
        <v>19</v>
      </c>
      <c r="M470" s="6">
        <v>4000</v>
      </c>
      <c r="N470" s="6">
        <v>6.5</v>
      </c>
      <c r="O470" s="6">
        <v>169</v>
      </c>
      <c r="P470" s="6" t="s">
        <v>2368</v>
      </c>
      <c r="Q470" s="6">
        <f>Table2_1[[#This Row],[Specs Score]] / (Table2_1[[#This Row],[Launched Price (USA)]] ^ 0.85)</f>
        <v>0.21905071452337463</v>
      </c>
      <c r="R470" s="6">
        <f>IFERROR(Table2_1[[#This Row],[Launched Price (USA)]] / S470, "")</f>
        <v>9.8545848120994517</v>
      </c>
      <c r="S47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17.149378002460534</v>
      </c>
      <c r="T470" s="6">
        <v>2020</v>
      </c>
    </row>
    <row r="471" spans="1:20" x14ac:dyDescent="0.25">
      <c r="A471" s="6" t="s">
        <v>1118</v>
      </c>
      <c r="B471" s="6" t="s">
        <v>1296</v>
      </c>
      <c r="C47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71" s="6">
        <v>186</v>
      </c>
      <c r="E471" s="6">
        <v>4</v>
      </c>
      <c r="F471" s="6">
        <v>8</v>
      </c>
      <c r="G471" s="6">
        <v>13</v>
      </c>
      <c r="H471" s="6">
        <v>2</v>
      </c>
      <c r="I471" s="6">
        <v>2</v>
      </c>
      <c r="J471" s="6" t="s">
        <v>2373</v>
      </c>
      <c r="K471" s="6" t="s">
        <v>2439</v>
      </c>
      <c r="L471" s="6">
        <v>18</v>
      </c>
      <c r="M471" s="6">
        <v>4000</v>
      </c>
      <c r="N471" s="6">
        <v>6.5</v>
      </c>
      <c r="O471" s="6">
        <v>149</v>
      </c>
      <c r="P471" s="6" t="s">
        <v>2368</v>
      </c>
      <c r="Q471" s="6">
        <f>Table2_1[[#This Row],[Specs Score]] / (Table2_1[[#This Row],[Launched Price (USA)]] ^ 0.85)</f>
        <v>0.24094259388609629</v>
      </c>
      <c r="R471" s="6">
        <f>IFERROR(Table2_1[[#This Row],[Launched Price (USA)]] / S471, "")</f>
        <v>8.7915279024862247</v>
      </c>
      <c r="S47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16.948134801217332</v>
      </c>
      <c r="T471" s="6">
        <v>2020</v>
      </c>
    </row>
    <row r="472" spans="1:20" x14ac:dyDescent="0.25">
      <c r="A472" s="6" t="s">
        <v>1118</v>
      </c>
      <c r="B472" s="6" t="s">
        <v>1299</v>
      </c>
      <c r="C47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72" s="6">
        <v>185</v>
      </c>
      <c r="E472" s="6">
        <v>4</v>
      </c>
      <c r="F472" s="6">
        <v>8</v>
      </c>
      <c r="G472" s="6">
        <v>13</v>
      </c>
      <c r="H472" s="6">
        <v>2</v>
      </c>
      <c r="I472" s="6"/>
      <c r="J472" s="6" t="s">
        <v>2373</v>
      </c>
      <c r="K472" s="6" t="s">
        <v>2439</v>
      </c>
      <c r="L472" s="6">
        <v>18</v>
      </c>
      <c r="M472" s="6">
        <v>4000</v>
      </c>
      <c r="N472" s="6">
        <v>6.5</v>
      </c>
      <c r="O472" s="6">
        <v>139</v>
      </c>
      <c r="P472" s="6" t="s">
        <v>2368</v>
      </c>
      <c r="Q472" s="6">
        <f>Table2_1[[#This Row],[Specs Score]] / (Table2_1[[#This Row],[Launched Price (USA)]] ^ 0.85)</f>
        <v>0.25559910536655678</v>
      </c>
      <c r="R472" s="6">
        <f>IFERROR(Table2_1[[#This Row],[Launched Price (USA)]] / S472, "")</f>
        <v>8.2014924727891625</v>
      </c>
      <c r="S47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16.948134801217332</v>
      </c>
      <c r="T472" s="6">
        <v>2020</v>
      </c>
    </row>
    <row r="473" spans="1:20" x14ac:dyDescent="0.25">
      <c r="A473" s="6" t="s">
        <v>1118</v>
      </c>
      <c r="B473" s="6" t="s">
        <v>1302</v>
      </c>
      <c r="C47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73" s="6">
        <v>185</v>
      </c>
      <c r="E473" s="6">
        <v>4</v>
      </c>
      <c r="F473" s="6">
        <v>8</v>
      </c>
      <c r="G473" s="6">
        <v>13</v>
      </c>
      <c r="H473" s="6">
        <v>2</v>
      </c>
      <c r="I473" s="6"/>
      <c r="J473" s="6" t="s">
        <v>2373</v>
      </c>
      <c r="K473" s="6" t="s">
        <v>2439</v>
      </c>
      <c r="L473" s="6">
        <v>18</v>
      </c>
      <c r="M473" s="6">
        <v>4000</v>
      </c>
      <c r="N473" s="6">
        <v>6.5</v>
      </c>
      <c r="O473" s="6">
        <v>129</v>
      </c>
      <c r="P473" s="6" t="s">
        <v>2368</v>
      </c>
      <c r="Q473" s="6">
        <f>Table2_1[[#This Row],[Specs Score]] / (Table2_1[[#This Row],[Launched Price (USA)]] ^ 0.85)</f>
        <v>0.27234578350732419</v>
      </c>
      <c r="R473" s="6">
        <f>IFERROR(Table2_1[[#This Row],[Launched Price (USA)]] / S473, "")</f>
        <v>7.6114570430921002</v>
      </c>
      <c r="S47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16.948134801217332</v>
      </c>
      <c r="T473" s="6">
        <v>2020</v>
      </c>
    </row>
    <row r="474" spans="1:20" x14ac:dyDescent="0.25">
      <c r="A474" s="6" t="s">
        <v>1118</v>
      </c>
      <c r="B474" s="6" t="s">
        <v>1305</v>
      </c>
      <c r="C47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74" s="6">
        <v>186</v>
      </c>
      <c r="E474" s="6">
        <v>4</v>
      </c>
      <c r="F474" s="6">
        <v>5</v>
      </c>
      <c r="G474" s="6">
        <v>50</v>
      </c>
      <c r="H474" s="6"/>
      <c r="I474" s="6"/>
      <c r="J474" s="6" t="s">
        <v>2409</v>
      </c>
      <c r="K474" s="6" t="s">
        <v>2439</v>
      </c>
      <c r="L474" s="6">
        <v>25</v>
      </c>
      <c r="M474" s="6">
        <v>5100</v>
      </c>
      <c r="N474" s="6">
        <v>6.67</v>
      </c>
      <c r="O474" s="6">
        <v>199</v>
      </c>
      <c r="P474" s="6" t="s">
        <v>2368</v>
      </c>
      <c r="Q474" s="6">
        <f>Table2_1[[#This Row],[Specs Score]] / (Table2_1[[#This Row],[Launched Price (USA)]] ^ 0.85)</f>
        <v>0.24530684769940256</v>
      </c>
      <c r="R474" s="6">
        <f>IFERROR(Table2_1[[#This Row],[Launched Price (USA)]] / S474, "")</f>
        <v>9.0181673414184029</v>
      </c>
      <c r="S47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22.066567681222548</v>
      </c>
      <c r="T474" s="6">
        <v>2024</v>
      </c>
    </row>
    <row r="475" spans="1:20" x14ac:dyDescent="0.25">
      <c r="A475" s="6" t="s">
        <v>1118</v>
      </c>
      <c r="B475" s="6" t="s">
        <v>1308</v>
      </c>
      <c r="C47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75" s="6">
        <v>186</v>
      </c>
      <c r="E475" s="6">
        <v>6</v>
      </c>
      <c r="F475" s="6">
        <v>5</v>
      </c>
      <c r="G475" s="6">
        <v>50</v>
      </c>
      <c r="H475" s="6"/>
      <c r="I475" s="6"/>
      <c r="J475" s="6" t="s">
        <v>2409</v>
      </c>
      <c r="K475" s="6" t="s">
        <v>2439</v>
      </c>
      <c r="L475" s="6">
        <v>25</v>
      </c>
      <c r="M475" s="6">
        <v>5100</v>
      </c>
      <c r="N475" s="6">
        <v>6.67</v>
      </c>
      <c r="O475" s="6">
        <v>229</v>
      </c>
      <c r="P475" s="6" t="s">
        <v>2368</v>
      </c>
      <c r="Q475" s="6">
        <f>Table2_1[[#This Row],[Specs Score]] / (Table2_1[[#This Row],[Launched Price (USA)]] ^ 0.85)</f>
        <v>0.27563091775320336</v>
      </c>
      <c r="R475" s="6">
        <f>IFERROR(Table2_1[[#This Row],[Launched Price (USA)]] / S475, "")</f>
        <v>8.1968576158001714</v>
      </c>
      <c r="S47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27.937535423158035</v>
      </c>
      <c r="T475" s="6">
        <v>2024</v>
      </c>
    </row>
    <row r="476" spans="1:20" x14ac:dyDescent="0.25">
      <c r="A476" s="6" t="s">
        <v>1118</v>
      </c>
      <c r="B476" s="6" t="s">
        <v>1330</v>
      </c>
      <c r="C47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76" s="6">
        <v>194</v>
      </c>
      <c r="E476" s="6">
        <v>6</v>
      </c>
      <c r="F476" s="6">
        <v>16</v>
      </c>
      <c r="G476" s="6">
        <v>48</v>
      </c>
      <c r="H476" s="6">
        <v>8</v>
      </c>
      <c r="I476" s="6">
        <v>2</v>
      </c>
      <c r="J476" s="6" t="s">
        <v>2408</v>
      </c>
      <c r="K476" s="6" t="s">
        <v>2439</v>
      </c>
      <c r="L476" s="6">
        <v>19</v>
      </c>
      <c r="M476" s="6">
        <v>5000</v>
      </c>
      <c r="N476" s="6">
        <v>6.5</v>
      </c>
      <c r="O476" s="6">
        <v>199</v>
      </c>
      <c r="P476" s="6" t="s">
        <v>2368</v>
      </c>
      <c r="Q476" s="6">
        <f>Table2_1[[#This Row],[Specs Score]] / (Table2_1[[#This Row],[Launched Price (USA)]] ^ 0.85)</f>
        <v>0.26685884765653711</v>
      </c>
      <c r="R476" s="6">
        <f>IFERROR(Table2_1[[#This Row],[Launched Price (USA)]] / S476, "")</f>
        <v>8.2898439455014952</v>
      </c>
      <c r="S47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24.005276976050659</v>
      </c>
      <c r="T476" s="6">
        <v>2020</v>
      </c>
    </row>
    <row r="477" spans="1:20" x14ac:dyDescent="0.25">
      <c r="A477" s="6" t="s">
        <v>1118</v>
      </c>
      <c r="B477" s="6" t="s">
        <v>1330</v>
      </c>
      <c r="C47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77" s="6">
        <v>194</v>
      </c>
      <c r="E477" s="6">
        <v>6</v>
      </c>
      <c r="F477" s="6">
        <v>16</v>
      </c>
      <c r="G477" s="6">
        <v>48</v>
      </c>
      <c r="H477" s="6">
        <v>8</v>
      </c>
      <c r="I477" s="6">
        <v>2</v>
      </c>
      <c r="J477" s="6" t="s">
        <v>2408</v>
      </c>
      <c r="K477" s="6" t="s">
        <v>2439</v>
      </c>
      <c r="L477" s="6">
        <v>19</v>
      </c>
      <c r="M477" s="6">
        <v>5000</v>
      </c>
      <c r="N477" s="6">
        <v>6.5</v>
      </c>
      <c r="O477" s="6">
        <v>199</v>
      </c>
      <c r="P477" s="6" t="s">
        <v>2368</v>
      </c>
      <c r="Q477" s="6">
        <f>Table2_1[[#This Row],[Specs Score]] / (Table2_1[[#This Row],[Launched Price (USA)]] ^ 0.85)</f>
        <v>0.26685884765653711</v>
      </c>
      <c r="R477" s="6">
        <f>IFERROR(Table2_1[[#This Row],[Launched Price (USA)]] / S477, "")</f>
        <v>8.2898439455014952</v>
      </c>
      <c r="S47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24.005276976050659</v>
      </c>
      <c r="T477" s="6">
        <v>2020</v>
      </c>
    </row>
    <row r="478" spans="1:20" x14ac:dyDescent="0.25">
      <c r="A478" s="6" t="s">
        <v>1118</v>
      </c>
      <c r="B478" s="6" t="s">
        <v>1119</v>
      </c>
      <c r="C478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478" s="6">
        <v>239</v>
      </c>
      <c r="E478" s="6">
        <v>12</v>
      </c>
      <c r="F478" s="6">
        <v>32</v>
      </c>
      <c r="G478" s="6">
        <v>48</v>
      </c>
      <c r="H478" s="6">
        <v>64</v>
      </c>
      <c r="I478" s="6">
        <v>48</v>
      </c>
      <c r="J478" s="6" t="s">
        <v>401</v>
      </c>
      <c r="K478" s="6" t="s">
        <v>2437</v>
      </c>
      <c r="L478" s="6">
        <v>95</v>
      </c>
      <c r="M478" s="6">
        <v>4805</v>
      </c>
      <c r="N478" s="6">
        <v>7.82</v>
      </c>
      <c r="O478" s="6">
        <v>1399</v>
      </c>
      <c r="P478" s="6" t="s">
        <v>2368</v>
      </c>
      <c r="Q478" s="6">
        <f>Table2_1[[#This Row],[Specs Score]] / (Table2_1[[#This Row],[Launched Price (USA)]] ^ 0.85)</f>
        <v>0.13691807235332223</v>
      </c>
      <c r="R478" s="6">
        <f>IFERROR(Table2_1[[#This Row],[Launched Price (USA)]] / S478, "")</f>
        <v>21.647705996729893</v>
      </c>
      <c r="S47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64.625785300822784</v>
      </c>
      <c r="T478" s="6">
        <v>2023</v>
      </c>
    </row>
    <row r="479" spans="1:20" x14ac:dyDescent="0.25">
      <c r="A479" s="6" t="s">
        <v>1118</v>
      </c>
      <c r="B479" s="6" t="s">
        <v>1126</v>
      </c>
      <c r="C47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79" s="6">
        <v>198</v>
      </c>
      <c r="E479" s="6">
        <v>12</v>
      </c>
      <c r="F479" s="6">
        <v>32</v>
      </c>
      <c r="G479" s="6">
        <v>50</v>
      </c>
      <c r="H479" s="6">
        <v>32</v>
      </c>
      <c r="I479" s="6">
        <v>48</v>
      </c>
      <c r="J479" s="6" t="s">
        <v>1203</v>
      </c>
      <c r="K479" s="6" t="s">
        <v>2437</v>
      </c>
      <c r="L479" s="6">
        <v>95</v>
      </c>
      <c r="M479" s="6">
        <v>4300</v>
      </c>
      <c r="N479" s="6">
        <v>6.8</v>
      </c>
      <c r="O479" s="6">
        <v>999</v>
      </c>
      <c r="P479" s="6" t="s">
        <v>2368</v>
      </c>
      <c r="Q479" s="6">
        <f>Table2_1[[#This Row],[Specs Score]] / (Table2_1[[#This Row],[Launched Price (USA)]] ^ 0.85)</f>
        <v>0.15542655619654513</v>
      </c>
      <c r="R479" s="6">
        <f>IFERROR(Table2_1[[#This Row],[Launched Price (USA)]] / S479, "")</f>
        <v>18.130492388176663</v>
      </c>
      <c r="S47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55.10054435429852</v>
      </c>
      <c r="T479" s="6">
        <v>2023</v>
      </c>
    </row>
    <row r="480" spans="1:20" x14ac:dyDescent="0.25">
      <c r="A480" s="6" t="s">
        <v>1118</v>
      </c>
      <c r="B480" s="6" t="s">
        <v>1128</v>
      </c>
      <c r="C48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80" s="6">
        <v>210</v>
      </c>
      <c r="E480" s="6">
        <v>12</v>
      </c>
      <c r="F480" s="6">
        <v>32</v>
      </c>
      <c r="G480" s="6">
        <v>50</v>
      </c>
      <c r="H480" s="6">
        <v>50</v>
      </c>
      <c r="I480" s="6">
        <v>50</v>
      </c>
      <c r="J480" s="6" t="s">
        <v>401</v>
      </c>
      <c r="K480" s="6" t="s">
        <v>2437</v>
      </c>
      <c r="L480" s="6">
        <v>95</v>
      </c>
      <c r="M480" s="6">
        <v>5000</v>
      </c>
      <c r="N480" s="6">
        <v>6.8</v>
      </c>
      <c r="O480" s="6">
        <v>1299</v>
      </c>
      <c r="P480" s="6" t="s">
        <v>2368</v>
      </c>
      <c r="Q480" s="6">
        <f>Table2_1[[#This Row],[Specs Score]] / (Table2_1[[#This Row],[Launched Price (USA)]] ^ 0.85)</f>
        <v>0.12690882096228528</v>
      </c>
      <c r="R480" s="6">
        <f>IFERROR(Table2_1[[#This Row],[Launched Price (USA)]] / S480, "")</f>
        <v>23.09668031859928</v>
      </c>
      <c r="S48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56.241848702124614</v>
      </c>
      <c r="T480" s="6">
        <v>2024</v>
      </c>
    </row>
    <row r="481" spans="1:20" x14ac:dyDescent="0.25">
      <c r="A481" s="6" t="s">
        <v>1118</v>
      </c>
      <c r="B481" s="6" t="s">
        <v>1130</v>
      </c>
      <c r="C48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81" s="6">
        <v>195</v>
      </c>
      <c r="E481" s="6">
        <v>8</v>
      </c>
      <c r="F481" s="6">
        <v>32</v>
      </c>
      <c r="G481" s="6">
        <v>50</v>
      </c>
      <c r="H481" s="6">
        <v>50</v>
      </c>
      <c r="I481" s="6"/>
      <c r="J481" s="6" t="s">
        <v>401</v>
      </c>
      <c r="K481" s="6" t="s">
        <v>2437</v>
      </c>
      <c r="L481" s="6">
        <v>95</v>
      </c>
      <c r="M481" s="6">
        <v>4800</v>
      </c>
      <c r="N481" s="6">
        <v>6.7</v>
      </c>
      <c r="O481" s="6">
        <v>1099</v>
      </c>
      <c r="P481" s="6" t="s">
        <v>2368</v>
      </c>
      <c r="Q481" s="6">
        <f>Table2_1[[#This Row],[Specs Score]] / (Table2_1[[#This Row],[Launched Price (USA)]] ^ 0.85)</f>
        <v>0.13476556120711061</v>
      </c>
      <c r="R481" s="6">
        <f>IFERROR(Table2_1[[#This Row],[Launched Price (USA)]] / S481, "")</f>
        <v>21.21146817282207</v>
      </c>
      <c r="S48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51.811595078936207</v>
      </c>
      <c r="T481" s="6">
        <v>2024</v>
      </c>
    </row>
    <row r="482" spans="1:20" x14ac:dyDescent="0.25">
      <c r="A482" s="6" t="s">
        <v>1118</v>
      </c>
      <c r="B482" s="6" t="s">
        <v>1107</v>
      </c>
      <c r="C48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82" s="6">
        <v>586</v>
      </c>
      <c r="E482" s="6">
        <v>12</v>
      </c>
      <c r="F482" s="6">
        <v>8</v>
      </c>
      <c r="G482" s="6">
        <v>13</v>
      </c>
      <c r="H482" s="6"/>
      <c r="I482" s="6"/>
      <c r="J482" s="6" t="s">
        <v>737</v>
      </c>
      <c r="K482" s="6" t="s">
        <v>2437</v>
      </c>
      <c r="L482" s="6">
        <v>100</v>
      </c>
      <c r="M482" s="6">
        <v>9510</v>
      </c>
      <c r="N482" s="6">
        <v>12.1</v>
      </c>
      <c r="O482" s="6">
        <v>899</v>
      </c>
      <c r="P482" s="6" t="s">
        <v>2369</v>
      </c>
      <c r="Q482" s="6">
        <f>Table2_1[[#This Row],[Specs Score]] / (Table2_1[[#This Row],[Launched Price (USA)]] ^ 0.85)</f>
        <v>0.19852121892880195</v>
      </c>
      <c r="R482" s="6">
        <f>IFERROR(Table2_1[[#This Row],[Launched Price (USA)]] / S482, "")</f>
        <v>13.971949930411942</v>
      </c>
      <c r="S48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64.343202235730772</v>
      </c>
      <c r="T482" s="6">
        <v>2024</v>
      </c>
    </row>
    <row r="483" spans="1:20" x14ac:dyDescent="0.25">
      <c r="A483" s="6" t="s">
        <v>1118</v>
      </c>
      <c r="B483" s="6" t="s">
        <v>1187</v>
      </c>
      <c r="C483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483" s="6">
        <v>586</v>
      </c>
      <c r="E483" s="6">
        <v>16</v>
      </c>
      <c r="F483" s="6">
        <v>8</v>
      </c>
      <c r="G483" s="6">
        <v>13</v>
      </c>
      <c r="H483" s="6"/>
      <c r="I483" s="6"/>
      <c r="J483" s="6" t="s">
        <v>737</v>
      </c>
      <c r="K483" s="6" t="s">
        <v>2437</v>
      </c>
      <c r="L483" s="6">
        <v>100</v>
      </c>
      <c r="M483" s="6">
        <v>9510</v>
      </c>
      <c r="N483" s="6">
        <v>12.1</v>
      </c>
      <c r="O483" s="6">
        <v>999</v>
      </c>
      <c r="P483" s="6" t="s">
        <v>2369</v>
      </c>
      <c r="Q483" s="6">
        <f>Table2_1[[#This Row],[Specs Score]] / (Table2_1[[#This Row],[Launched Price (USA)]] ^ 0.85)</f>
        <v>0.21461949372874042</v>
      </c>
      <c r="R483" s="6">
        <f>IFERROR(Table2_1[[#This Row],[Launched Price (USA)]] / S483, "")</f>
        <v>13.130028149277157</v>
      </c>
      <c r="S48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76.085137719601732</v>
      </c>
      <c r="T483" s="6">
        <v>2024</v>
      </c>
    </row>
    <row r="484" spans="1:20" x14ac:dyDescent="0.25">
      <c r="A484" s="6" t="s">
        <v>1118</v>
      </c>
      <c r="B484" s="6" t="s">
        <v>1188</v>
      </c>
      <c r="C48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484" s="6">
        <v>520</v>
      </c>
      <c r="E484" s="6">
        <v>6</v>
      </c>
      <c r="F484" s="6">
        <v>8</v>
      </c>
      <c r="G484" s="6">
        <v>13</v>
      </c>
      <c r="H484" s="6"/>
      <c r="I484" s="6"/>
      <c r="J484" s="6" t="s">
        <v>804</v>
      </c>
      <c r="K484" s="6" t="s">
        <v>2437</v>
      </c>
      <c r="L484" s="6">
        <v>82</v>
      </c>
      <c r="M484" s="6">
        <v>8360</v>
      </c>
      <c r="N484" s="6">
        <v>11</v>
      </c>
      <c r="O484" s="6">
        <v>499</v>
      </c>
      <c r="P484" s="6" t="s">
        <v>2369</v>
      </c>
      <c r="Q484" s="6">
        <f>Table2_1[[#This Row],[Specs Score]] / (Table2_1[[#This Row],[Launched Price (USA)]] ^ 0.85)</f>
        <v>0.23869451596872279</v>
      </c>
      <c r="R484" s="6">
        <f>IFERROR(Table2_1[[#This Row],[Launched Price (USA)]] / S484, "")</f>
        <v>10.638309980089955</v>
      </c>
      <c r="S48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46.905946615007409</v>
      </c>
      <c r="T484" s="6">
        <v>2023</v>
      </c>
    </row>
    <row r="485" spans="1:20" x14ac:dyDescent="0.25">
      <c r="A485" s="6" t="s">
        <v>1118</v>
      </c>
      <c r="B485" s="6" t="s">
        <v>1190</v>
      </c>
      <c r="C48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85" s="6">
        <v>520</v>
      </c>
      <c r="E485" s="6">
        <v>8</v>
      </c>
      <c r="F485" s="6">
        <v>8</v>
      </c>
      <c r="G485" s="6">
        <v>13</v>
      </c>
      <c r="H485" s="6"/>
      <c r="I485" s="6"/>
      <c r="J485" s="6" t="s">
        <v>804</v>
      </c>
      <c r="K485" s="6" t="s">
        <v>2437</v>
      </c>
      <c r="L485" s="6">
        <v>82</v>
      </c>
      <c r="M485" s="6">
        <v>8360</v>
      </c>
      <c r="N485" s="6">
        <v>11</v>
      </c>
      <c r="O485" s="6">
        <v>599</v>
      </c>
      <c r="P485" s="6" t="s">
        <v>2369</v>
      </c>
      <c r="Q485" s="6">
        <f>Table2_1[[#This Row],[Specs Score]] / (Table2_1[[#This Row],[Launched Price (USA)]] ^ 0.85)</f>
        <v>0.22994882578862075</v>
      </c>
      <c r="R485" s="6">
        <f>IFERROR(Table2_1[[#This Row],[Launched Price (USA)]] / S485, "")</f>
        <v>11.349659359560503</v>
      </c>
      <c r="S48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52.776914356942896</v>
      </c>
      <c r="T485" s="6">
        <v>2023</v>
      </c>
    </row>
    <row r="486" spans="1:20" x14ac:dyDescent="0.25">
      <c r="A486" s="6" t="s">
        <v>1118</v>
      </c>
      <c r="B486" s="6" t="s">
        <v>1191</v>
      </c>
      <c r="C48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86" s="6">
        <v>221</v>
      </c>
      <c r="E486" s="6">
        <v>12</v>
      </c>
      <c r="F486" s="6">
        <v>32</v>
      </c>
      <c r="G486" s="6">
        <v>50</v>
      </c>
      <c r="H486" s="6">
        <v>50</v>
      </c>
      <c r="I486" s="6">
        <v>50</v>
      </c>
      <c r="J486" s="6" t="s">
        <v>737</v>
      </c>
      <c r="K486" s="6" t="s">
        <v>2437</v>
      </c>
      <c r="L486" s="6">
        <v>100</v>
      </c>
      <c r="M486" s="6">
        <v>5000</v>
      </c>
      <c r="N486" s="6">
        <v>6.82</v>
      </c>
      <c r="O486" s="6">
        <v>1199</v>
      </c>
      <c r="P486" s="6" t="s">
        <v>2368</v>
      </c>
      <c r="Q486" s="6">
        <f>Table2_1[[#This Row],[Specs Score]] / (Table2_1[[#This Row],[Launched Price (USA)]] ^ 0.85)</f>
        <v>0.13895131118048185</v>
      </c>
      <c r="R486" s="6">
        <f>IFERROR(Table2_1[[#This Row],[Launched Price (USA)]] / S486, "")</f>
        <v>20.842999985102743</v>
      </c>
      <c r="S48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57.525308298084212</v>
      </c>
      <c r="T486" s="6">
        <v>2024</v>
      </c>
    </row>
    <row r="487" spans="1:20" x14ac:dyDescent="0.25">
      <c r="A487" s="6" t="s">
        <v>1118</v>
      </c>
      <c r="B487" s="6" t="s">
        <v>1193</v>
      </c>
      <c r="C487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487" s="6">
        <v>221</v>
      </c>
      <c r="E487" s="6">
        <v>16</v>
      </c>
      <c r="F487" s="6">
        <v>32</v>
      </c>
      <c r="G487" s="6">
        <v>50</v>
      </c>
      <c r="H487" s="6">
        <v>50</v>
      </c>
      <c r="I487" s="6">
        <v>50</v>
      </c>
      <c r="J487" s="6" t="s">
        <v>737</v>
      </c>
      <c r="K487" s="6" t="s">
        <v>2437</v>
      </c>
      <c r="L487" s="6">
        <v>100</v>
      </c>
      <c r="M487" s="6">
        <v>5000</v>
      </c>
      <c r="N487" s="6">
        <v>6.82</v>
      </c>
      <c r="O487" s="6">
        <v>1299</v>
      </c>
      <c r="P487" s="6" t="s">
        <v>2368</v>
      </c>
      <c r="Q487" s="6">
        <f>Table2_1[[#This Row],[Specs Score]] / (Table2_1[[#This Row],[Launched Price (USA)]] ^ 0.85)</f>
        <v>0.1563004140605897</v>
      </c>
      <c r="R487" s="6">
        <f>IFERROR(Table2_1[[#This Row],[Launched Price (USA)]] / S487, "")</f>
        <v>18.753452989830134</v>
      </c>
      <c r="S48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69.267243781955173</v>
      </c>
      <c r="T487" s="6">
        <v>2024</v>
      </c>
    </row>
    <row r="488" spans="1:20" x14ac:dyDescent="0.25">
      <c r="A488" s="6" t="s">
        <v>1118</v>
      </c>
      <c r="B488" s="6" t="s">
        <v>1194</v>
      </c>
      <c r="C48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88" s="6">
        <v>206</v>
      </c>
      <c r="E488" s="6">
        <v>12</v>
      </c>
      <c r="F488" s="6">
        <v>32</v>
      </c>
      <c r="G488" s="6">
        <v>50</v>
      </c>
      <c r="H488" s="6">
        <v>50</v>
      </c>
      <c r="I488" s="6">
        <v>64</v>
      </c>
      <c r="J488" s="6" t="s">
        <v>1196</v>
      </c>
      <c r="K488" s="6" t="s">
        <v>2437</v>
      </c>
      <c r="L488" s="6">
        <v>100</v>
      </c>
      <c r="M488" s="6">
        <v>5000</v>
      </c>
      <c r="N488" s="6">
        <v>6.78</v>
      </c>
      <c r="O488" s="6">
        <v>1099</v>
      </c>
      <c r="P488" s="6" t="s">
        <v>2368</v>
      </c>
      <c r="Q488" s="6">
        <f>Table2_1[[#This Row],[Specs Score]] / (Table2_1[[#This Row],[Launched Price (USA)]] ^ 0.85)</f>
        <v>0.14951894866166451</v>
      </c>
      <c r="R488" s="6">
        <f>IFERROR(Table2_1[[#This Row],[Launched Price (USA)]] / S488, "")</f>
        <v>19.118482559729554</v>
      </c>
      <c r="S48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57.483641631417541</v>
      </c>
      <c r="T488" s="6">
        <v>2024</v>
      </c>
    </row>
    <row r="489" spans="1:20" x14ac:dyDescent="0.25">
      <c r="A489" s="6" t="s">
        <v>1118</v>
      </c>
      <c r="B489" s="6" t="s">
        <v>1197</v>
      </c>
      <c r="C489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489" s="6">
        <v>206</v>
      </c>
      <c r="E489" s="6">
        <v>16</v>
      </c>
      <c r="F489" s="6">
        <v>32</v>
      </c>
      <c r="G489" s="6">
        <v>50</v>
      </c>
      <c r="H489" s="6">
        <v>50</v>
      </c>
      <c r="I489" s="6">
        <v>64</v>
      </c>
      <c r="J489" s="6" t="s">
        <v>1196</v>
      </c>
      <c r="K489" s="6" t="s">
        <v>2437</v>
      </c>
      <c r="L489" s="6">
        <v>100</v>
      </c>
      <c r="M489" s="6">
        <v>5000</v>
      </c>
      <c r="N489" s="6">
        <v>6.78</v>
      </c>
      <c r="O489" s="6">
        <v>1199</v>
      </c>
      <c r="P489" s="6" t="s">
        <v>2368</v>
      </c>
      <c r="Q489" s="6">
        <f>Table2_1[[#This Row],[Specs Score]] / (Table2_1[[#This Row],[Launched Price (USA)]] ^ 0.85)</f>
        <v>0.16721309267133888</v>
      </c>
      <c r="R489" s="6">
        <f>IFERROR(Table2_1[[#This Row],[Launched Price (USA)]] / S489, "")</f>
        <v>17.320187854890417</v>
      </c>
      <c r="S48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69.225577115288502</v>
      </c>
      <c r="T489" s="6">
        <v>2024</v>
      </c>
    </row>
    <row r="490" spans="1:20" x14ac:dyDescent="0.25">
      <c r="A490" s="6" t="s">
        <v>1118</v>
      </c>
      <c r="B490" s="6" t="s">
        <v>1198</v>
      </c>
      <c r="C49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90" s="6">
        <v>218</v>
      </c>
      <c r="E490" s="6">
        <v>12</v>
      </c>
      <c r="F490" s="6">
        <v>32</v>
      </c>
      <c r="G490" s="6">
        <v>50</v>
      </c>
      <c r="H490" s="6">
        <v>50</v>
      </c>
      <c r="I490" s="6">
        <v>50</v>
      </c>
      <c r="J490" s="6" t="s">
        <v>401</v>
      </c>
      <c r="K490" s="6" t="s">
        <v>2437</v>
      </c>
      <c r="L490" s="6">
        <v>95</v>
      </c>
      <c r="M490" s="6">
        <v>5000</v>
      </c>
      <c r="N490" s="6">
        <v>6.82</v>
      </c>
      <c r="O490" s="6">
        <v>999</v>
      </c>
      <c r="P490" s="6" t="s">
        <v>2368</v>
      </c>
      <c r="Q490" s="6">
        <f>Table2_1[[#This Row],[Specs Score]] / (Table2_1[[#This Row],[Launched Price (USA)]] ^ 0.85)</f>
        <v>0.15870469182524979</v>
      </c>
      <c r="R490" s="6">
        <f>IFERROR(Table2_1[[#This Row],[Launched Price (USA)]] / S490, "")</f>
        <v>17.755996761235252</v>
      </c>
      <c r="S49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56.262682035457942</v>
      </c>
      <c r="T490" s="6">
        <v>2023</v>
      </c>
    </row>
    <row r="491" spans="1:20" x14ac:dyDescent="0.25">
      <c r="A491" s="6" t="s">
        <v>1118</v>
      </c>
      <c r="B491" s="6" t="s">
        <v>1200</v>
      </c>
      <c r="C491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491" s="6">
        <v>218</v>
      </c>
      <c r="E491" s="6">
        <v>16</v>
      </c>
      <c r="F491" s="6">
        <v>32</v>
      </c>
      <c r="G491" s="6">
        <v>50</v>
      </c>
      <c r="H491" s="6">
        <v>50</v>
      </c>
      <c r="I491" s="6">
        <v>50</v>
      </c>
      <c r="J491" s="6" t="s">
        <v>401</v>
      </c>
      <c r="K491" s="6" t="s">
        <v>2437</v>
      </c>
      <c r="L491" s="6">
        <v>95</v>
      </c>
      <c r="M491" s="6">
        <v>5000</v>
      </c>
      <c r="N491" s="6">
        <v>6.82</v>
      </c>
      <c r="O491" s="6">
        <v>1099</v>
      </c>
      <c r="P491" s="6" t="s">
        <v>2368</v>
      </c>
      <c r="Q491" s="6">
        <f>Table2_1[[#This Row],[Specs Score]] / (Table2_1[[#This Row],[Launched Price (USA)]] ^ 0.85)</f>
        <v>0.17688473845873029</v>
      </c>
      <c r="R491" s="6">
        <f>IFERROR(Table2_1[[#This Row],[Launched Price (USA)]] / S491, "")</f>
        <v>16.160667320680567</v>
      </c>
      <c r="S49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68.004617519328917</v>
      </c>
      <c r="T491" s="6">
        <v>2023</v>
      </c>
    </row>
    <row r="492" spans="1:20" x14ac:dyDescent="0.25">
      <c r="A492" s="6" t="s">
        <v>1118</v>
      </c>
      <c r="B492" s="6" t="s">
        <v>1201</v>
      </c>
      <c r="C49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92" s="6">
        <v>207</v>
      </c>
      <c r="E492" s="6">
        <v>12</v>
      </c>
      <c r="F492" s="6">
        <v>32</v>
      </c>
      <c r="G492" s="6">
        <v>50</v>
      </c>
      <c r="H492" s="6">
        <v>50</v>
      </c>
      <c r="I492" s="6">
        <v>50</v>
      </c>
      <c r="J492" s="6" t="s">
        <v>1203</v>
      </c>
      <c r="K492" s="6" t="s">
        <v>2437</v>
      </c>
      <c r="L492" s="6">
        <v>95</v>
      </c>
      <c r="M492" s="6">
        <v>4800</v>
      </c>
      <c r="N492" s="6">
        <v>6.74</v>
      </c>
      <c r="O492" s="6">
        <v>899</v>
      </c>
      <c r="P492" s="6" t="s">
        <v>2368</v>
      </c>
      <c r="Q492" s="6">
        <f>Table2_1[[#This Row],[Specs Score]] / (Table2_1[[#This Row],[Launched Price (USA)]] ^ 0.85)</f>
        <v>0.17232679160517653</v>
      </c>
      <c r="R492" s="6">
        <f>IFERROR(Table2_1[[#This Row],[Launched Price (USA)]] / S492, "")</f>
        <v>16.095747533863143</v>
      </c>
      <c r="S49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55.853261745602865</v>
      </c>
      <c r="T492" s="6">
        <v>2023</v>
      </c>
    </row>
    <row r="493" spans="1:20" x14ac:dyDescent="0.25">
      <c r="A493" s="6" t="s">
        <v>1118</v>
      </c>
      <c r="B493" s="6" t="s">
        <v>1204</v>
      </c>
      <c r="C493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493" s="6">
        <v>207</v>
      </c>
      <c r="E493" s="6">
        <v>16</v>
      </c>
      <c r="F493" s="6">
        <v>32</v>
      </c>
      <c r="G493" s="6">
        <v>50</v>
      </c>
      <c r="H493" s="6">
        <v>50</v>
      </c>
      <c r="I493" s="6">
        <v>50</v>
      </c>
      <c r="J493" s="6" t="s">
        <v>1203</v>
      </c>
      <c r="K493" s="6" t="s">
        <v>2437</v>
      </c>
      <c r="L493" s="6">
        <v>95</v>
      </c>
      <c r="M493" s="6">
        <v>4800</v>
      </c>
      <c r="N493" s="6">
        <v>6.74</v>
      </c>
      <c r="O493" s="6">
        <v>999</v>
      </c>
      <c r="P493" s="6" t="s">
        <v>2368</v>
      </c>
      <c r="Q493" s="6">
        <f>Table2_1[[#This Row],[Specs Score]] / (Table2_1[[#This Row],[Launched Price (USA)]] ^ 0.85)</f>
        <v>0.19067123281484902</v>
      </c>
      <c r="R493" s="6">
        <f>IFERROR(Table2_1[[#This Row],[Launched Price (USA)]] / S493, "")</f>
        <v>14.779156522150091</v>
      </c>
      <c r="S49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67.59519722947384</v>
      </c>
      <c r="T493" s="6">
        <v>2023</v>
      </c>
    </row>
    <row r="494" spans="1:20" x14ac:dyDescent="0.25">
      <c r="A494" s="6" t="s">
        <v>1118</v>
      </c>
      <c r="B494" s="6" t="s">
        <v>1205</v>
      </c>
      <c r="C49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94" s="6">
        <v>218</v>
      </c>
      <c r="E494" s="6">
        <v>12</v>
      </c>
      <c r="F494" s="6">
        <v>32</v>
      </c>
      <c r="G494" s="6">
        <v>50</v>
      </c>
      <c r="H494" s="6">
        <v>50</v>
      </c>
      <c r="I494" s="6">
        <v>13</v>
      </c>
      <c r="J494" s="6" t="s">
        <v>451</v>
      </c>
      <c r="K494" s="6" t="s">
        <v>2437</v>
      </c>
      <c r="L494" s="6">
        <v>90</v>
      </c>
      <c r="M494" s="6">
        <v>5000</v>
      </c>
      <c r="N494" s="6">
        <v>6.7</v>
      </c>
      <c r="O494" s="6">
        <v>899</v>
      </c>
      <c r="P494" s="6" t="s">
        <v>2368</v>
      </c>
      <c r="Q494" s="6">
        <f>Table2_1[[#This Row],[Specs Score]] / (Table2_1[[#This Row],[Launched Price (USA)]] ^ 0.85)</f>
        <v>0.16930868502467858</v>
      </c>
      <c r="R494" s="6">
        <f>IFERROR(Table2_1[[#This Row],[Launched Price (USA)]] / S494, "")</f>
        <v>16.38267127639239</v>
      </c>
      <c r="S49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54.875055772831686</v>
      </c>
      <c r="T494" s="6">
        <v>2022</v>
      </c>
    </row>
    <row r="495" spans="1:20" x14ac:dyDescent="0.25">
      <c r="A495" s="6" t="s">
        <v>1118</v>
      </c>
      <c r="B495" s="6" t="s">
        <v>1207</v>
      </c>
      <c r="C495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495" s="6">
        <v>218</v>
      </c>
      <c r="E495" s="6">
        <v>16</v>
      </c>
      <c r="F495" s="6">
        <v>32</v>
      </c>
      <c r="G495" s="6">
        <v>50</v>
      </c>
      <c r="H495" s="6">
        <v>50</v>
      </c>
      <c r="I495" s="6">
        <v>13</v>
      </c>
      <c r="J495" s="6" t="s">
        <v>451</v>
      </c>
      <c r="K495" s="6" t="s">
        <v>2437</v>
      </c>
      <c r="L495" s="6">
        <v>90</v>
      </c>
      <c r="M495" s="6">
        <v>5000</v>
      </c>
      <c r="N495" s="6">
        <v>6.7</v>
      </c>
      <c r="O495" s="6">
        <v>999</v>
      </c>
      <c r="P495" s="6" t="s">
        <v>2368</v>
      </c>
      <c r="Q495" s="6">
        <f>Table2_1[[#This Row],[Specs Score]] / (Table2_1[[#This Row],[Launched Price (USA)]] ^ 0.85)</f>
        <v>0.18791192821304509</v>
      </c>
      <c r="R495" s="6">
        <f>IFERROR(Table2_1[[#This Row],[Launched Price (USA)]] / S495, "")</f>
        <v>14.996174116456903</v>
      </c>
      <c r="S49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66.616991256702647</v>
      </c>
      <c r="T495" s="6">
        <v>2022</v>
      </c>
    </row>
    <row r="496" spans="1:20" x14ac:dyDescent="0.25">
      <c r="A496" s="6" t="s">
        <v>1118</v>
      </c>
      <c r="B496" s="6" t="s">
        <v>1208</v>
      </c>
      <c r="C49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96" s="6">
        <v>196</v>
      </c>
      <c r="E496" s="6">
        <v>8</v>
      </c>
      <c r="F496" s="6">
        <v>32</v>
      </c>
      <c r="G496" s="6">
        <v>50</v>
      </c>
      <c r="H496" s="6">
        <v>50</v>
      </c>
      <c r="I496" s="6">
        <v>13</v>
      </c>
      <c r="J496" s="6" t="s">
        <v>639</v>
      </c>
      <c r="K496" s="6" t="s">
        <v>2437</v>
      </c>
      <c r="L496" s="6">
        <v>85</v>
      </c>
      <c r="M496" s="6">
        <v>4800</v>
      </c>
      <c r="N496" s="6">
        <v>6.55</v>
      </c>
      <c r="O496" s="6">
        <v>799</v>
      </c>
      <c r="P496" s="6" t="s">
        <v>2368</v>
      </c>
      <c r="Q496" s="6">
        <f>Table2_1[[#This Row],[Specs Score]] / (Table2_1[[#This Row],[Launched Price (USA)]] ^ 0.85)</f>
        <v>0.16756481055469988</v>
      </c>
      <c r="R496" s="6">
        <f>IFERROR(Table2_1[[#This Row],[Launched Price (USA)]] / S496, "")</f>
        <v>16.262945141553423</v>
      </c>
      <c r="S49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49.130092553683681</v>
      </c>
      <c r="T496" s="6">
        <v>2022</v>
      </c>
    </row>
    <row r="497" spans="1:20" x14ac:dyDescent="0.25">
      <c r="A497" s="6" t="s">
        <v>1118</v>
      </c>
      <c r="B497" s="6" t="s">
        <v>1209</v>
      </c>
      <c r="C49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97" s="6">
        <v>191</v>
      </c>
      <c r="E497" s="6">
        <v>8</v>
      </c>
      <c r="F497" s="6">
        <v>32</v>
      </c>
      <c r="G497" s="6">
        <v>50</v>
      </c>
      <c r="H497" s="6">
        <v>8</v>
      </c>
      <c r="I497" s="6"/>
      <c r="J497" s="6" t="s">
        <v>1210</v>
      </c>
      <c r="K497" s="6" t="s">
        <v>2437</v>
      </c>
      <c r="L497" s="6">
        <v>92</v>
      </c>
      <c r="M497" s="6">
        <v>4300</v>
      </c>
      <c r="N497" s="6">
        <v>6.8</v>
      </c>
      <c r="O497" s="6">
        <v>899</v>
      </c>
      <c r="P497" s="6" t="s">
        <v>2368</v>
      </c>
      <c r="Q497" s="6">
        <f>Table2_1[[#This Row],[Specs Score]] / (Table2_1[[#This Row],[Launched Price (USA)]] ^ 0.85)</f>
        <v>0.15532561549704621</v>
      </c>
      <c r="R497" s="6">
        <f>IFERROR(Table2_1[[#This Row],[Launched Price (USA)]] / S497, "")</f>
        <v>17.857508705963024</v>
      </c>
      <c r="S49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50.34296859672277</v>
      </c>
      <c r="T497" s="6">
        <v>2023</v>
      </c>
    </row>
    <row r="498" spans="1:20" x14ac:dyDescent="0.25">
      <c r="A498" s="6" t="s">
        <v>1118</v>
      </c>
      <c r="B498" s="6" t="s">
        <v>1211</v>
      </c>
      <c r="C498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498" s="6">
        <v>191</v>
      </c>
      <c r="E498" s="6">
        <v>12</v>
      </c>
      <c r="F498" s="6">
        <v>32</v>
      </c>
      <c r="G498" s="6">
        <v>50</v>
      </c>
      <c r="H498" s="6">
        <v>8</v>
      </c>
      <c r="I498" s="6"/>
      <c r="J498" s="6" t="s">
        <v>1210</v>
      </c>
      <c r="K498" s="6" t="s">
        <v>2437</v>
      </c>
      <c r="L498" s="6">
        <v>92</v>
      </c>
      <c r="M498" s="6">
        <v>4300</v>
      </c>
      <c r="N498" s="6">
        <v>6.8</v>
      </c>
      <c r="O498" s="6">
        <v>999</v>
      </c>
      <c r="P498" s="6" t="s">
        <v>2368</v>
      </c>
      <c r="Q498" s="6">
        <f>Table2_1[[#This Row],[Specs Score]] / (Table2_1[[#This Row],[Launched Price (USA)]] ^ 0.85)</f>
        <v>0.17512790383688334</v>
      </c>
      <c r="R498" s="6">
        <f>IFERROR(Table2_1[[#This Row],[Launched Price (USA)]] / S498, "")</f>
        <v>16.090868058734163</v>
      </c>
      <c r="S49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62.084904080593731</v>
      </c>
      <c r="T498" s="6">
        <v>2023</v>
      </c>
    </row>
    <row r="499" spans="1:20" x14ac:dyDescent="0.25">
      <c r="A499" s="6" t="s">
        <v>1118</v>
      </c>
      <c r="B499" s="6" t="s">
        <v>1212</v>
      </c>
      <c r="C49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499" s="6">
        <v>233</v>
      </c>
      <c r="E499" s="6">
        <v>12</v>
      </c>
      <c r="F499" s="6">
        <v>32</v>
      </c>
      <c r="G499" s="6">
        <v>50</v>
      </c>
      <c r="H499" s="6">
        <v>48</v>
      </c>
      <c r="I499" s="6">
        <v>32</v>
      </c>
      <c r="J499" s="6" t="s">
        <v>767</v>
      </c>
      <c r="K499" s="6" t="s">
        <v>2437</v>
      </c>
      <c r="L499" s="6">
        <v>92</v>
      </c>
      <c r="M499" s="6">
        <v>4520</v>
      </c>
      <c r="N499" s="6">
        <v>7.1</v>
      </c>
      <c r="O499" s="6">
        <v>1099</v>
      </c>
      <c r="P499" s="6" t="s">
        <v>2368</v>
      </c>
      <c r="Q499" s="6">
        <f>Table2_1[[#This Row],[Specs Score]] / (Table2_1[[#This Row],[Launched Price (USA)]] ^ 0.85)</f>
        <v>0.14309566628951093</v>
      </c>
      <c r="R499" s="6">
        <f>IFERROR(Table2_1[[#This Row],[Launched Price (USA)]] / S499, "")</f>
        <v>19.976673553157553</v>
      </c>
      <c r="S49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55.014164248896677</v>
      </c>
      <c r="T499" s="6">
        <v>2022</v>
      </c>
    </row>
    <row r="500" spans="1:20" x14ac:dyDescent="0.25">
      <c r="A500" s="6" t="s">
        <v>1118</v>
      </c>
      <c r="B500" s="6" t="s">
        <v>1223</v>
      </c>
      <c r="C50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00" s="6">
        <v>194</v>
      </c>
      <c r="E500" s="6">
        <v>16</v>
      </c>
      <c r="F500" s="6">
        <v>32</v>
      </c>
      <c r="G500" s="6">
        <v>50</v>
      </c>
      <c r="H500" s="6">
        <v>64</v>
      </c>
      <c r="I500" s="6">
        <v>8</v>
      </c>
      <c r="J500" s="6" t="s">
        <v>767</v>
      </c>
      <c r="K500" s="6" t="s">
        <v>2437</v>
      </c>
      <c r="L500" s="6">
        <v>92</v>
      </c>
      <c r="M500" s="6">
        <v>4700</v>
      </c>
      <c r="N500" s="6">
        <v>6.74</v>
      </c>
      <c r="O500" s="6">
        <v>699</v>
      </c>
      <c r="P500" s="6" t="s">
        <v>2368</v>
      </c>
      <c r="Q500" s="6">
        <f>Table2_1[[#This Row],[Specs Score]] / (Table2_1[[#This Row],[Launched Price (USA)]] ^ 0.85)</f>
        <v>0.22519062988535343</v>
      </c>
      <c r="R500" s="6">
        <f>IFERROR(Table2_1[[#This Row],[Launched Price (USA)]] / S500, "")</f>
        <v>11.86099876454993</v>
      </c>
      <c r="S50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58.932642509766239</v>
      </c>
      <c r="T500" s="6">
        <v>2023</v>
      </c>
    </row>
    <row r="501" spans="1:20" x14ac:dyDescent="0.25">
      <c r="A501" s="6" t="s">
        <v>1118</v>
      </c>
      <c r="B501" s="6" t="s">
        <v>1230</v>
      </c>
      <c r="C50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01" s="6">
        <v>192</v>
      </c>
      <c r="E501" s="6">
        <v>16</v>
      </c>
      <c r="F501" s="6">
        <v>32</v>
      </c>
      <c r="G501" s="6">
        <v>50</v>
      </c>
      <c r="H501" s="6">
        <v>8</v>
      </c>
      <c r="I501" s="6">
        <v>2</v>
      </c>
      <c r="J501" s="6" t="s">
        <v>767</v>
      </c>
      <c r="K501" s="6" t="s">
        <v>2437</v>
      </c>
      <c r="L501" s="6">
        <v>92</v>
      </c>
      <c r="M501" s="6">
        <v>4700</v>
      </c>
      <c r="N501" s="6">
        <v>6.7</v>
      </c>
      <c r="O501" s="6">
        <v>649</v>
      </c>
      <c r="P501" s="6" t="s">
        <v>2368</v>
      </c>
      <c r="Q501" s="6">
        <f>Table2_1[[#This Row],[Specs Score]] / (Table2_1[[#This Row],[Launched Price (USA)]] ^ 0.85)</f>
        <v>0.23968494629889162</v>
      </c>
      <c r="R501" s="6">
        <f>IFERROR(Table2_1[[#This Row],[Launched Price (USA)]] / S501, "")</f>
        <v>11.020364168002578</v>
      </c>
      <c r="S50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58.890975843099582</v>
      </c>
      <c r="T501" s="6">
        <v>2022</v>
      </c>
    </row>
    <row r="502" spans="1:20" x14ac:dyDescent="0.25">
      <c r="A502" s="6" t="s">
        <v>1118</v>
      </c>
      <c r="B502" s="6" t="s">
        <v>1247</v>
      </c>
      <c r="C50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02" s="6">
        <v>188</v>
      </c>
      <c r="E502" s="6">
        <v>12</v>
      </c>
      <c r="F502" s="6">
        <v>32</v>
      </c>
      <c r="G502" s="6">
        <v>50</v>
      </c>
      <c r="H502" s="6">
        <v>13</v>
      </c>
      <c r="I502" s="6">
        <v>16</v>
      </c>
      <c r="J502" s="6" t="s">
        <v>804</v>
      </c>
      <c r="K502" s="6" t="s">
        <v>2437</v>
      </c>
      <c r="L502" s="6">
        <v>82</v>
      </c>
      <c r="M502" s="6">
        <v>4500</v>
      </c>
      <c r="N502" s="6">
        <v>6.55</v>
      </c>
      <c r="O502" s="6">
        <v>599</v>
      </c>
      <c r="P502" s="6" t="s">
        <v>2368</v>
      </c>
      <c r="Q502" s="6">
        <f>Table2_1[[#This Row],[Specs Score]] / (Table2_1[[#This Row],[Launched Price (USA)]] ^ 0.85)</f>
        <v>0.22605572752956174</v>
      </c>
      <c r="R502" s="6">
        <f>IFERROR(Table2_1[[#This Row],[Launched Price (USA)]] / S502, "")</f>
        <v>11.545121512085878</v>
      </c>
      <c r="S50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51.883386361325321</v>
      </c>
      <c r="T502" s="6">
        <v>2021</v>
      </c>
    </row>
    <row r="503" spans="1:20" x14ac:dyDescent="0.25">
      <c r="A503" s="6" t="s">
        <v>1118</v>
      </c>
      <c r="B503" s="6" t="s">
        <v>1255</v>
      </c>
      <c r="C50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03" s="6">
        <v>184</v>
      </c>
      <c r="E503" s="6">
        <v>12</v>
      </c>
      <c r="F503" s="6">
        <v>32</v>
      </c>
      <c r="G503" s="6">
        <v>50</v>
      </c>
      <c r="H503" s="6">
        <v>16</v>
      </c>
      <c r="I503" s="6">
        <v>13</v>
      </c>
      <c r="J503" s="6" t="s">
        <v>795</v>
      </c>
      <c r="K503" s="6" t="s">
        <v>2437</v>
      </c>
      <c r="L503" s="6">
        <v>80</v>
      </c>
      <c r="M503" s="6">
        <v>4500</v>
      </c>
      <c r="N503" s="6">
        <v>6.55</v>
      </c>
      <c r="O503" s="6">
        <v>599</v>
      </c>
      <c r="P503" s="6" t="s">
        <v>2368</v>
      </c>
      <c r="Q503" s="6">
        <f>Table2_1[[#This Row],[Specs Score]] / (Table2_1[[#This Row],[Launched Price (USA)]] ^ 0.85)</f>
        <v>0.22385522429788623</v>
      </c>
      <c r="R503" s="6">
        <f>IFERROR(Table2_1[[#This Row],[Launched Price (USA)]] / S503, "")</f>
        <v>11.658610385428519</v>
      </c>
      <c r="S50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51.378335856274816</v>
      </c>
      <c r="T503" s="6">
        <v>2020</v>
      </c>
    </row>
    <row r="504" spans="1:20" x14ac:dyDescent="0.25">
      <c r="A504" s="6" t="s">
        <v>1118</v>
      </c>
      <c r="B504" s="6" t="s">
        <v>1137</v>
      </c>
      <c r="C504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504" s="6">
        <v>210</v>
      </c>
      <c r="E504" s="6">
        <v>12</v>
      </c>
      <c r="F504" s="6">
        <v>50</v>
      </c>
      <c r="G504" s="6">
        <v>50</v>
      </c>
      <c r="H504" s="6">
        <v>50</v>
      </c>
      <c r="I504" s="6">
        <v>8</v>
      </c>
      <c r="J504" s="6" t="s">
        <v>1183</v>
      </c>
      <c r="K504" s="6" t="s">
        <v>2438</v>
      </c>
      <c r="L504" s="6">
        <v>75</v>
      </c>
      <c r="M504" s="6">
        <v>5800</v>
      </c>
      <c r="N504" s="6">
        <v>6.83</v>
      </c>
      <c r="O504" s="6">
        <v>799</v>
      </c>
      <c r="P504" s="6" t="s">
        <v>2368</v>
      </c>
      <c r="Q504" s="6">
        <f>Table2_1[[#This Row],[Specs Score]] / (Table2_1[[#This Row],[Launched Price (USA)]] ^ 0.85)</f>
        <v>0.2161398670523407</v>
      </c>
      <c r="R504" s="6">
        <f>IFERROR(Table2_1[[#This Row],[Launched Price (USA)]] / S504, "")</f>
        <v>12.60802719493652</v>
      </c>
      <c r="S50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63.372325237439561</v>
      </c>
      <c r="T504" s="6">
        <v>2025</v>
      </c>
    </row>
    <row r="505" spans="1:20" x14ac:dyDescent="0.25">
      <c r="A505" s="6" t="s">
        <v>1118</v>
      </c>
      <c r="B505" s="6" t="s">
        <v>1142</v>
      </c>
      <c r="C50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05" s="6">
        <v>200</v>
      </c>
      <c r="E505" s="6">
        <v>12</v>
      </c>
      <c r="F505" s="6">
        <v>50</v>
      </c>
      <c r="G505" s="6">
        <v>50</v>
      </c>
      <c r="H505" s="6">
        <v>8</v>
      </c>
      <c r="I505" s="6"/>
      <c r="J505" s="6" t="s">
        <v>1183</v>
      </c>
      <c r="K505" s="6" t="s">
        <v>2438</v>
      </c>
      <c r="L505" s="6">
        <v>75</v>
      </c>
      <c r="M505" s="6">
        <v>5600</v>
      </c>
      <c r="N505" s="6">
        <v>6.59</v>
      </c>
      <c r="O505" s="6">
        <v>699</v>
      </c>
      <c r="P505" s="6" t="s">
        <v>2368</v>
      </c>
      <c r="Q505" s="6">
        <f>Table2_1[[#This Row],[Specs Score]] / (Table2_1[[#This Row],[Launched Price (USA)]] ^ 0.85)</f>
        <v>0.21037090136780176</v>
      </c>
      <c r="R505" s="6">
        <f>IFERROR(Table2_1[[#This Row],[Launched Price (USA)]] / S505, "")</f>
        <v>12.696555300623931</v>
      </c>
      <c r="S50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55.054302797046844</v>
      </c>
      <c r="T505" s="6">
        <v>2025</v>
      </c>
    </row>
    <row r="506" spans="1:20" x14ac:dyDescent="0.25">
      <c r="A506" s="6" t="s">
        <v>1118</v>
      </c>
      <c r="B506" s="6" t="s">
        <v>1144</v>
      </c>
      <c r="C50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06" s="6">
        <v>187</v>
      </c>
      <c r="E506" s="6">
        <v>8</v>
      </c>
      <c r="F506" s="6">
        <v>32</v>
      </c>
      <c r="G506" s="6">
        <v>50</v>
      </c>
      <c r="H506" s="6">
        <v>8</v>
      </c>
      <c r="I506" s="6">
        <v>2</v>
      </c>
      <c r="J506" s="6" t="s">
        <v>1145</v>
      </c>
      <c r="K506" s="6" t="s">
        <v>2438</v>
      </c>
      <c r="L506" s="6">
        <v>35</v>
      </c>
      <c r="M506" s="6">
        <v>5000</v>
      </c>
      <c r="N506" s="6">
        <v>6.7</v>
      </c>
      <c r="O506" s="6">
        <v>449</v>
      </c>
      <c r="P506" s="6" t="s">
        <v>2368</v>
      </c>
      <c r="Q506" s="6">
        <f>Table2_1[[#This Row],[Specs Score]] / (Table2_1[[#This Row],[Launched Price (USA)]] ^ 0.85)</f>
        <v>0.20588747859367995</v>
      </c>
      <c r="R506" s="6">
        <f>IFERROR(Table2_1[[#This Row],[Launched Price (USA)]] / S506, "")</f>
        <v>12.139673770707214</v>
      </c>
      <c r="S50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36.986166883942786</v>
      </c>
      <c r="T506" s="6">
        <v>2024</v>
      </c>
    </row>
    <row r="507" spans="1:20" x14ac:dyDescent="0.25">
      <c r="A507" s="6" t="s">
        <v>1118</v>
      </c>
      <c r="B507" s="6" t="s">
        <v>1146</v>
      </c>
      <c r="C50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07" s="6">
        <v>187</v>
      </c>
      <c r="E507" s="6">
        <v>8</v>
      </c>
      <c r="F507" s="6">
        <v>32</v>
      </c>
      <c r="G507" s="6">
        <v>50</v>
      </c>
      <c r="H507" s="6">
        <v>8</v>
      </c>
      <c r="I507" s="6">
        <v>2</v>
      </c>
      <c r="J507" s="6" t="s">
        <v>1145</v>
      </c>
      <c r="K507" s="6" t="s">
        <v>2438</v>
      </c>
      <c r="L507" s="6">
        <v>35</v>
      </c>
      <c r="M507" s="6">
        <v>5000</v>
      </c>
      <c r="N507" s="6">
        <v>6.7</v>
      </c>
      <c r="O507" s="6">
        <v>449</v>
      </c>
      <c r="P507" s="6" t="s">
        <v>2368</v>
      </c>
      <c r="Q507" s="6">
        <f>Table2_1[[#This Row],[Specs Score]] / (Table2_1[[#This Row],[Launched Price (USA)]] ^ 0.85)</f>
        <v>0.20588747859367995</v>
      </c>
      <c r="R507" s="6">
        <f>IFERROR(Table2_1[[#This Row],[Launched Price (USA)]] / S507, "")</f>
        <v>12.139673770707214</v>
      </c>
      <c r="S50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36.986166883942786</v>
      </c>
      <c r="T507" s="6">
        <v>2024</v>
      </c>
    </row>
    <row r="508" spans="1:20" x14ac:dyDescent="0.25">
      <c r="A508" s="6" t="s">
        <v>1118</v>
      </c>
      <c r="B508" s="6" t="s">
        <v>1147</v>
      </c>
      <c r="C508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508" s="6">
        <v>190</v>
      </c>
      <c r="E508" s="6">
        <v>12</v>
      </c>
      <c r="F508" s="6">
        <v>32</v>
      </c>
      <c r="G508" s="6">
        <v>50</v>
      </c>
      <c r="H508" s="6">
        <v>32</v>
      </c>
      <c r="I508" s="6">
        <v>8</v>
      </c>
      <c r="J508" s="6" t="s">
        <v>2392</v>
      </c>
      <c r="K508" s="6" t="s">
        <v>2438</v>
      </c>
      <c r="L508" s="6">
        <v>70</v>
      </c>
      <c r="M508" s="6">
        <v>4600</v>
      </c>
      <c r="N508" s="6">
        <v>6.74</v>
      </c>
      <c r="O508" s="6">
        <v>749</v>
      </c>
      <c r="P508" s="6" t="s">
        <v>2368</v>
      </c>
      <c r="Q508" s="6">
        <f>Table2_1[[#This Row],[Specs Score]] / (Table2_1[[#This Row],[Launched Price (USA)]] ^ 0.85)</f>
        <v>0.20522476917654128</v>
      </c>
      <c r="R508" s="6">
        <f>IFERROR(Table2_1[[#This Row],[Launched Price (USA)]] / S508, "")</f>
        <v>13.150506999947751</v>
      </c>
      <c r="S50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56.955978959820783</v>
      </c>
      <c r="T508" s="6">
        <v>2024</v>
      </c>
    </row>
    <row r="509" spans="1:20" x14ac:dyDescent="0.25">
      <c r="A509" s="6" t="s">
        <v>1118</v>
      </c>
      <c r="B509" s="6" t="s">
        <v>1149</v>
      </c>
      <c r="C50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09" s="6">
        <v>185</v>
      </c>
      <c r="E509" s="6">
        <v>8</v>
      </c>
      <c r="F509" s="6">
        <v>32</v>
      </c>
      <c r="G509" s="6">
        <v>50</v>
      </c>
      <c r="H509" s="6">
        <v>8</v>
      </c>
      <c r="I509" s="6"/>
      <c r="J509" s="6" t="s">
        <v>1176</v>
      </c>
      <c r="K509" s="6" t="s">
        <v>2438</v>
      </c>
      <c r="L509" s="6">
        <v>48</v>
      </c>
      <c r="M509" s="6">
        <v>5000</v>
      </c>
      <c r="N509" s="6">
        <v>6.7</v>
      </c>
      <c r="O509" s="6">
        <v>599</v>
      </c>
      <c r="P509" s="6" t="s">
        <v>2368</v>
      </c>
      <c r="Q509" s="6">
        <f>Table2_1[[#This Row],[Specs Score]] / (Table2_1[[#This Row],[Launched Price (USA)]] ^ 0.85)</f>
        <v>0.17545186692159295</v>
      </c>
      <c r="R509" s="6">
        <f>IFERROR(Table2_1[[#This Row],[Launched Price (USA)]] / S509, "")</f>
        <v>14.874967639974269</v>
      </c>
      <c r="S50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40.268995166771077</v>
      </c>
      <c r="T509" s="6">
        <v>2024</v>
      </c>
    </row>
    <row r="510" spans="1:20" x14ac:dyDescent="0.25">
      <c r="A510" s="6" t="s">
        <v>1118</v>
      </c>
      <c r="B510" s="6" t="s">
        <v>1151</v>
      </c>
      <c r="C51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10" s="6">
        <v>185</v>
      </c>
      <c r="E510" s="6">
        <v>8</v>
      </c>
      <c r="F510" s="6">
        <v>32</v>
      </c>
      <c r="G510" s="6">
        <v>64</v>
      </c>
      <c r="H510" s="6">
        <v>8</v>
      </c>
      <c r="I510" s="6">
        <v>2</v>
      </c>
      <c r="J510" s="6" t="s">
        <v>1176</v>
      </c>
      <c r="K510" s="6" t="s">
        <v>2438</v>
      </c>
      <c r="L510" s="6">
        <v>48</v>
      </c>
      <c r="M510" s="6">
        <v>5000</v>
      </c>
      <c r="N510" s="6">
        <v>6.7</v>
      </c>
      <c r="O510" s="6">
        <v>499</v>
      </c>
      <c r="P510" s="6" t="s">
        <v>2368</v>
      </c>
      <c r="Q510" s="6">
        <f>Table2_1[[#This Row],[Specs Score]] / (Table2_1[[#This Row],[Launched Price (USA)]] ^ 0.85)</f>
        <v>0.20857395357351638</v>
      </c>
      <c r="R510" s="6">
        <f>IFERROR(Table2_1[[#This Row],[Launched Price (USA)]] / S510, "")</f>
        <v>12.174608612037321</v>
      </c>
      <c r="S51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40.986943884719793</v>
      </c>
      <c r="T510" s="6">
        <v>2024</v>
      </c>
    </row>
    <row r="511" spans="1:20" x14ac:dyDescent="0.25">
      <c r="A511" s="6" t="s">
        <v>1118</v>
      </c>
      <c r="B511" s="6" t="s">
        <v>1153</v>
      </c>
      <c r="C511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511" s="6">
        <v>190</v>
      </c>
      <c r="E511" s="6">
        <v>12</v>
      </c>
      <c r="F511" s="6">
        <v>32</v>
      </c>
      <c r="G511" s="6">
        <v>50</v>
      </c>
      <c r="H511" s="6">
        <v>32</v>
      </c>
      <c r="I511" s="6">
        <v>8</v>
      </c>
      <c r="J511" s="6" t="s">
        <v>2392</v>
      </c>
      <c r="K511" s="6" t="s">
        <v>2438</v>
      </c>
      <c r="L511" s="6">
        <v>70</v>
      </c>
      <c r="M511" s="6">
        <v>4600</v>
      </c>
      <c r="N511" s="6">
        <v>6.74</v>
      </c>
      <c r="O511" s="6">
        <v>699</v>
      </c>
      <c r="P511" s="6" t="s">
        <v>2368</v>
      </c>
      <c r="Q511" s="6">
        <f>Table2_1[[#This Row],[Specs Score]] / (Table2_1[[#This Row],[Launched Price (USA)]] ^ 0.85)</f>
        <v>0.2176374964956557</v>
      </c>
      <c r="R511" s="6">
        <f>IFERROR(Table2_1[[#This Row],[Launched Price (USA)]] / S511, "")</f>
        <v>12.27263603866953</v>
      </c>
      <c r="S51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56.955978959820783</v>
      </c>
      <c r="T511" s="6">
        <v>2024</v>
      </c>
    </row>
    <row r="512" spans="1:20" x14ac:dyDescent="0.25">
      <c r="A512" s="6" t="s">
        <v>1118</v>
      </c>
      <c r="B512" s="6" t="s">
        <v>1154</v>
      </c>
      <c r="C51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12" s="6">
        <v>180</v>
      </c>
      <c r="E512" s="6">
        <v>8</v>
      </c>
      <c r="F512" s="6">
        <v>16</v>
      </c>
      <c r="G512" s="6">
        <v>50</v>
      </c>
      <c r="H512" s="6">
        <v>2</v>
      </c>
      <c r="I512" s="6"/>
      <c r="J512" s="6" t="s">
        <v>1155</v>
      </c>
      <c r="K512" s="6" t="s">
        <v>2438</v>
      </c>
      <c r="L512" s="6">
        <v>55</v>
      </c>
      <c r="M512" s="6">
        <v>6000</v>
      </c>
      <c r="N512" s="6">
        <v>6.7</v>
      </c>
      <c r="O512" s="6">
        <v>599</v>
      </c>
      <c r="P512" s="6" t="s">
        <v>2368</v>
      </c>
      <c r="Q512" s="6">
        <f>Table2_1[[#This Row],[Specs Score]] / (Table2_1[[#This Row],[Launched Price (USA)]] ^ 0.85)</f>
        <v>0.17823812629837185</v>
      </c>
      <c r="R512" s="6">
        <f>IFERROR(Table2_1[[#This Row],[Launched Price (USA)]] / S512, "")</f>
        <v>14.64243872527517</v>
      </c>
      <c r="S51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40.908486027401366</v>
      </c>
      <c r="T512" s="6">
        <v>2024</v>
      </c>
    </row>
    <row r="513" spans="1:20" x14ac:dyDescent="0.25">
      <c r="A513" s="6" t="s">
        <v>1118</v>
      </c>
      <c r="B513" s="6" t="s">
        <v>1156</v>
      </c>
      <c r="C513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513" s="6">
        <v>186</v>
      </c>
      <c r="E513" s="6">
        <v>12</v>
      </c>
      <c r="F513" s="6">
        <v>16</v>
      </c>
      <c r="G513" s="6">
        <v>50</v>
      </c>
      <c r="H513" s="6">
        <v>2</v>
      </c>
      <c r="I513" s="6"/>
      <c r="J513" s="6" t="s">
        <v>1155</v>
      </c>
      <c r="K513" s="6" t="s">
        <v>2438</v>
      </c>
      <c r="L513" s="6">
        <v>55</v>
      </c>
      <c r="M513" s="6">
        <v>6000</v>
      </c>
      <c r="N513" s="6">
        <v>6.7</v>
      </c>
      <c r="O513" s="6">
        <v>699</v>
      </c>
      <c r="P513" s="6" t="s">
        <v>2368</v>
      </c>
      <c r="Q513" s="6">
        <f>Table2_1[[#This Row],[Specs Score]] / (Table2_1[[#This Row],[Launched Price (USA)]] ^ 0.85)</f>
        <v>0.20118530374550836</v>
      </c>
      <c r="R513" s="6">
        <f>IFERROR(Table2_1[[#This Row],[Launched Price (USA)]] / S513, "")</f>
        <v>13.276246987886806</v>
      </c>
      <c r="S51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52.650421511272334</v>
      </c>
      <c r="T513" s="6">
        <v>2024</v>
      </c>
    </row>
    <row r="514" spans="1:20" x14ac:dyDescent="0.25">
      <c r="A514" s="6" t="s">
        <v>1118</v>
      </c>
      <c r="B514" s="6" t="s">
        <v>1168</v>
      </c>
      <c r="C51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14" s="6">
        <v>186</v>
      </c>
      <c r="E514" s="6">
        <v>8</v>
      </c>
      <c r="F514" s="6">
        <v>8</v>
      </c>
      <c r="G514" s="6">
        <v>50</v>
      </c>
      <c r="H514" s="6">
        <v>2</v>
      </c>
      <c r="I514" s="6"/>
      <c r="J514" s="6" t="s">
        <v>1169</v>
      </c>
      <c r="K514" s="6" t="s">
        <v>2438</v>
      </c>
      <c r="L514" s="6">
        <v>32</v>
      </c>
      <c r="M514" s="6">
        <v>5000</v>
      </c>
      <c r="N514" s="6">
        <v>6.67</v>
      </c>
      <c r="O514" s="6">
        <v>449</v>
      </c>
      <c r="P514" s="6" t="s">
        <v>2368</v>
      </c>
      <c r="Q514" s="6">
        <f>Table2_1[[#This Row],[Specs Score]] / (Table2_1[[#This Row],[Launched Price (USA)]] ^ 0.85)</f>
        <v>0.1569139981205748</v>
      </c>
      <c r="R514" s="6">
        <f>IFERROR(Table2_1[[#This Row],[Launched Price (USA)]] / S514, "")</f>
        <v>15.92851404933397</v>
      </c>
      <c r="S51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28.188442349948794</v>
      </c>
      <c r="T514" s="6">
        <v>2024</v>
      </c>
    </row>
    <row r="515" spans="1:20" x14ac:dyDescent="0.25">
      <c r="A515" s="6" t="s">
        <v>1118</v>
      </c>
      <c r="B515" s="6" t="s">
        <v>1170</v>
      </c>
      <c r="C51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15" s="6">
        <v>186</v>
      </c>
      <c r="E515" s="6">
        <v>8</v>
      </c>
      <c r="F515" s="6">
        <v>8</v>
      </c>
      <c r="G515" s="6">
        <v>50</v>
      </c>
      <c r="H515" s="6">
        <v>2</v>
      </c>
      <c r="I515" s="6"/>
      <c r="J515" s="6" t="s">
        <v>1169</v>
      </c>
      <c r="K515" s="6" t="s">
        <v>2438</v>
      </c>
      <c r="L515" s="6">
        <v>32</v>
      </c>
      <c r="M515" s="6">
        <v>5000</v>
      </c>
      <c r="N515" s="6">
        <v>6.67</v>
      </c>
      <c r="O515" s="6">
        <v>499</v>
      </c>
      <c r="P515" s="6" t="s">
        <v>2368</v>
      </c>
      <c r="Q515" s="6">
        <f>Table2_1[[#This Row],[Specs Score]] / (Table2_1[[#This Row],[Launched Price (USA)]] ^ 0.85)</f>
        <v>0.16314360814278378</v>
      </c>
      <c r="R515" s="6">
        <f>IFERROR(Table2_1[[#This Row],[Launched Price (USA)]] / S515, "")</f>
        <v>15.564852833219163</v>
      </c>
      <c r="S51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32.059410091884274</v>
      </c>
      <c r="T515" s="6">
        <v>2024</v>
      </c>
    </row>
    <row r="516" spans="1:20" x14ac:dyDescent="0.25">
      <c r="A516" s="6" t="s">
        <v>1118</v>
      </c>
      <c r="B516" s="6" t="s">
        <v>1171</v>
      </c>
      <c r="C51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16" s="6">
        <v>192</v>
      </c>
      <c r="E516" s="6">
        <v>8</v>
      </c>
      <c r="F516" s="6">
        <v>16</v>
      </c>
      <c r="G516" s="6">
        <v>50</v>
      </c>
      <c r="H516" s="6"/>
      <c r="I516" s="6"/>
      <c r="J516" s="6" t="s">
        <v>1172</v>
      </c>
      <c r="K516" s="6" t="s">
        <v>2438</v>
      </c>
      <c r="L516" s="6">
        <v>60</v>
      </c>
      <c r="M516" s="6">
        <v>6400</v>
      </c>
      <c r="N516" s="6">
        <v>6.7</v>
      </c>
      <c r="O516" s="6">
        <v>699</v>
      </c>
      <c r="P516" s="6" t="s">
        <v>2368</v>
      </c>
      <c r="Q516" s="6">
        <f>Table2_1[[#This Row],[Specs Score]] / (Table2_1[[#This Row],[Launched Price (USA)]] ^ 0.85)</f>
        <v>0.16363431848881127</v>
      </c>
      <c r="R516" s="6">
        <f>IFERROR(Table2_1[[#This Row],[Launched Price (USA)]] / S516, "")</f>
        <v>16.322894900809146</v>
      </c>
      <c r="S51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42.823286203071106</v>
      </c>
      <c r="T516" s="6">
        <v>2024</v>
      </c>
    </row>
    <row r="517" spans="1:20" x14ac:dyDescent="0.25">
      <c r="A517" s="6" t="s">
        <v>1118</v>
      </c>
      <c r="B517" s="6" t="s">
        <v>1174</v>
      </c>
      <c r="C517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517" s="6">
        <v>192</v>
      </c>
      <c r="E517" s="6">
        <v>12</v>
      </c>
      <c r="F517" s="6">
        <v>16</v>
      </c>
      <c r="G517" s="6">
        <v>50</v>
      </c>
      <c r="H517" s="6"/>
      <c r="I517" s="6"/>
      <c r="J517" s="6" t="s">
        <v>1172</v>
      </c>
      <c r="K517" s="6" t="s">
        <v>2438</v>
      </c>
      <c r="L517" s="6">
        <v>60</v>
      </c>
      <c r="M517" s="6">
        <v>6400</v>
      </c>
      <c r="N517" s="6">
        <v>6.7</v>
      </c>
      <c r="O517" s="6">
        <v>799</v>
      </c>
      <c r="P517" s="6" t="s">
        <v>2368</v>
      </c>
      <c r="Q517" s="6">
        <f>Table2_1[[#This Row],[Specs Score]] / (Table2_1[[#This Row],[Launched Price (USA)]] ^ 0.85)</f>
        <v>0.18610205191160603</v>
      </c>
      <c r="R517" s="6">
        <f>IFERROR(Table2_1[[#This Row],[Launched Price (USA)]] / S517, "")</f>
        <v>14.643026735676354</v>
      </c>
      <c r="S51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54.565221686942074</v>
      </c>
      <c r="T517" s="6">
        <v>2024</v>
      </c>
    </row>
    <row r="518" spans="1:20" x14ac:dyDescent="0.25">
      <c r="A518" s="6" t="s">
        <v>1118</v>
      </c>
      <c r="B518" s="6" t="s">
        <v>1175</v>
      </c>
      <c r="C51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18" s="6">
        <v>175</v>
      </c>
      <c r="E518" s="6">
        <v>8</v>
      </c>
      <c r="F518" s="6">
        <v>32</v>
      </c>
      <c r="G518" s="6">
        <v>64</v>
      </c>
      <c r="H518" s="6">
        <v>2</v>
      </c>
      <c r="I518" s="6"/>
      <c r="J518" s="6" t="s">
        <v>1176</v>
      </c>
      <c r="K518" s="6" t="s">
        <v>2438</v>
      </c>
      <c r="L518" s="6">
        <v>48</v>
      </c>
      <c r="M518" s="6">
        <v>5000</v>
      </c>
      <c r="N518" s="6">
        <v>6.7</v>
      </c>
      <c r="O518" s="6">
        <v>499</v>
      </c>
      <c r="P518" s="6" t="s">
        <v>2368</v>
      </c>
      <c r="Q518" s="6">
        <f>Table2_1[[#This Row],[Specs Score]] / (Table2_1[[#This Row],[Launched Price (USA)]] ^ 0.85)</f>
        <v>0.18887541131669713</v>
      </c>
      <c r="R518" s="6">
        <f>IFERROR(Table2_1[[#This Row],[Launched Price (USA)]] / S518, "")</f>
        <v>13.444345315891962</v>
      </c>
      <c r="S51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37.115976142784305</v>
      </c>
      <c r="T518" s="6">
        <v>2024</v>
      </c>
    </row>
    <row r="519" spans="1:20" x14ac:dyDescent="0.25">
      <c r="A519" s="6" t="s">
        <v>1118</v>
      </c>
      <c r="B519" s="6" t="s">
        <v>1177</v>
      </c>
      <c r="C51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19" s="6">
        <v>175</v>
      </c>
      <c r="E519" s="6">
        <v>8</v>
      </c>
      <c r="F519" s="6">
        <v>32</v>
      </c>
      <c r="G519" s="6">
        <v>64</v>
      </c>
      <c r="H519" s="6">
        <v>2</v>
      </c>
      <c r="I519" s="6"/>
      <c r="J519" s="6" t="s">
        <v>1176</v>
      </c>
      <c r="K519" s="6" t="s">
        <v>2438</v>
      </c>
      <c r="L519" s="6">
        <v>48</v>
      </c>
      <c r="M519" s="6">
        <v>5000</v>
      </c>
      <c r="N519" s="6">
        <v>6.7</v>
      </c>
      <c r="O519" s="6">
        <v>549</v>
      </c>
      <c r="P519" s="6" t="s">
        <v>2368</v>
      </c>
      <c r="Q519" s="6">
        <f>Table2_1[[#This Row],[Specs Score]] / (Table2_1[[#This Row],[Launched Price (USA)]] ^ 0.85)</f>
        <v>0.19231317785883539</v>
      </c>
      <c r="R519" s="6">
        <f>IFERROR(Table2_1[[#This Row],[Launched Price (USA)]] / S519, "")</f>
        <v>13.394509274566111</v>
      </c>
      <c r="S51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40.986943884719793</v>
      </c>
      <c r="T519" s="6">
        <v>2024</v>
      </c>
    </row>
    <row r="520" spans="1:20" x14ac:dyDescent="0.25">
      <c r="A520" s="6" t="s">
        <v>1118</v>
      </c>
      <c r="B520" s="6" t="s">
        <v>1178</v>
      </c>
      <c r="C52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20" s="6">
        <v>177</v>
      </c>
      <c r="E520" s="6">
        <v>8</v>
      </c>
      <c r="F520" s="6">
        <v>32</v>
      </c>
      <c r="G520" s="6">
        <v>64</v>
      </c>
      <c r="H520" s="6">
        <v>2</v>
      </c>
      <c r="I520" s="6"/>
      <c r="J520" s="6" t="s">
        <v>1176</v>
      </c>
      <c r="K520" s="6" t="s">
        <v>2438</v>
      </c>
      <c r="L520" s="6">
        <v>48</v>
      </c>
      <c r="M520" s="6">
        <v>5000</v>
      </c>
      <c r="N520" s="6">
        <v>6.7</v>
      </c>
      <c r="O520" s="6">
        <v>599</v>
      </c>
      <c r="P520" s="6" t="s">
        <v>2368</v>
      </c>
      <c r="Q520" s="6">
        <f>Table2_1[[#This Row],[Specs Score]] / (Table2_1[[#This Row],[Launched Price (USA)]] ^ 0.85)</f>
        <v>0.17857996690015931</v>
      </c>
      <c r="R520" s="6">
        <f>IFERROR(Table2_1[[#This Row],[Launched Price (USA)]] / S520, "")</f>
        <v>14.6144099370949</v>
      </c>
      <c r="S52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40.986943884719793</v>
      </c>
      <c r="T520" s="6">
        <v>2024</v>
      </c>
    </row>
    <row r="521" spans="1:20" x14ac:dyDescent="0.25">
      <c r="A521" s="6" t="s">
        <v>1118</v>
      </c>
      <c r="B521" s="6" t="s">
        <v>1179</v>
      </c>
      <c r="C521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521" s="6">
        <v>177</v>
      </c>
      <c r="E521" s="6">
        <v>12</v>
      </c>
      <c r="F521" s="6">
        <v>32</v>
      </c>
      <c r="G521" s="6">
        <v>64</v>
      </c>
      <c r="H521" s="6">
        <v>2</v>
      </c>
      <c r="I521" s="6"/>
      <c r="J521" s="6" t="s">
        <v>1176</v>
      </c>
      <c r="K521" s="6" t="s">
        <v>2438</v>
      </c>
      <c r="L521" s="6">
        <v>48</v>
      </c>
      <c r="M521" s="6">
        <v>5000</v>
      </c>
      <c r="N521" s="6">
        <v>6.7</v>
      </c>
      <c r="O521" s="6">
        <v>699</v>
      </c>
      <c r="P521" s="6" t="s">
        <v>2368</v>
      </c>
      <c r="Q521" s="6">
        <f>Table2_1[[#This Row],[Specs Score]] / (Table2_1[[#This Row],[Launched Price (USA)]] ^ 0.85)</f>
        <v>0.20148510320395047</v>
      </c>
      <c r="R521" s="6">
        <f>IFERROR(Table2_1[[#This Row],[Launched Price (USA)]] / S521, "")</f>
        <v>13.256492616006106</v>
      </c>
      <c r="S52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52.728879368590754</v>
      </c>
      <c r="T521" s="6">
        <v>2024</v>
      </c>
    </row>
    <row r="522" spans="1:20" x14ac:dyDescent="0.25">
      <c r="A522" s="6" t="s">
        <v>1118</v>
      </c>
      <c r="B522" s="6" t="s">
        <v>1180</v>
      </c>
      <c r="C52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22" s="6">
        <v>173</v>
      </c>
      <c r="E522" s="6">
        <v>8</v>
      </c>
      <c r="F522" s="6">
        <v>32</v>
      </c>
      <c r="G522" s="6">
        <v>64</v>
      </c>
      <c r="H522" s="6">
        <v>2</v>
      </c>
      <c r="I522" s="6"/>
      <c r="J522" s="6" t="s">
        <v>708</v>
      </c>
      <c r="K522" s="6" t="s">
        <v>2438</v>
      </c>
      <c r="L522" s="6">
        <v>60</v>
      </c>
      <c r="M522" s="6">
        <v>4500</v>
      </c>
      <c r="N522" s="6">
        <v>6.55</v>
      </c>
      <c r="O522" s="6">
        <v>549</v>
      </c>
      <c r="P522" s="6" t="s">
        <v>2368</v>
      </c>
      <c r="Q522" s="6">
        <f>Table2_1[[#This Row],[Specs Score]] / (Table2_1[[#This Row],[Launched Price (USA)]] ^ 0.85)</f>
        <v>0.18381054627947258</v>
      </c>
      <c r="R522" s="6">
        <f>IFERROR(Table2_1[[#This Row],[Launched Price (USA)]] / S522, "")</f>
        <v>14.01410689751661</v>
      </c>
      <c r="S52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39.174811781782992</v>
      </c>
      <c r="T522" s="6">
        <v>2023</v>
      </c>
    </row>
    <row r="523" spans="1:20" x14ac:dyDescent="0.25">
      <c r="A523" s="6" t="s">
        <v>1118</v>
      </c>
      <c r="B523" s="6" t="s">
        <v>1181</v>
      </c>
      <c r="C52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23" s="6">
        <v>173</v>
      </c>
      <c r="E523" s="6">
        <v>8</v>
      </c>
      <c r="F523" s="6">
        <v>32</v>
      </c>
      <c r="G523" s="6">
        <v>64</v>
      </c>
      <c r="H523" s="6">
        <v>2</v>
      </c>
      <c r="I523" s="6"/>
      <c r="J523" s="6" t="s">
        <v>708</v>
      </c>
      <c r="K523" s="6" t="s">
        <v>2438</v>
      </c>
      <c r="L523" s="6">
        <v>60</v>
      </c>
      <c r="M523" s="6">
        <v>4500</v>
      </c>
      <c r="N523" s="6">
        <v>6.55</v>
      </c>
      <c r="O523" s="6">
        <v>599</v>
      </c>
      <c r="P523" s="6" t="s">
        <v>2368</v>
      </c>
      <c r="Q523" s="6">
        <f>Table2_1[[#This Row],[Specs Score]] / (Table2_1[[#This Row],[Launched Price (USA)]] ^ 0.85)</f>
        <v>0.18755030636482781</v>
      </c>
      <c r="R523" s="6">
        <f>IFERROR(Table2_1[[#This Row],[Launched Price (USA)]] / S523, "")</f>
        <v>13.915417646692806</v>
      </c>
      <c r="S52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43.04577952371848</v>
      </c>
      <c r="T523" s="6">
        <v>2023</v>
      </c>
    </row>
    <row r="524" spans="1:20" x14ac:dyDescent="0.25">
      <c r="A524" s="6" t="s">
        <v>1118</v>
      </c>
      <c r="B524" s="6" t="s">
        <v>1104</v>
      </c>
      <c r="C52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24" s="6">
        <v>533</v>
      </c>
      <c r="E524" s="6">
        <v>8</v>
      </c>
      <c r="F524" s="6">
        <v>8</v>
      </c>
      <c r="G524" s="6">
        <v>13</v>
      </c>
      <c r="H524" s="6"/>
      <c r="I524" s="6"/>
      <c r="J524" s="6" t="s">
        <v>1183</v>
      </c>
      <c r="K524" s="6" t="s">
        <v>2438</v>
      </c>
      <c r="L524" s="6">
        <v>75</v>
      </c>
      <c r="M524" s="6">
        <v>9510</v>
      </c>
      <c r="N524" s="6">
        <v>11.6</v>
      </c>
      <c r="O524" s="6">
        <v>699</v>
      </c>
      <c r="P524" s="6" t="s">
        <v>2369</v>
      </c>
      <c r="Q524" s="6">
        <f>Table2_1[[#This Row],[Specs Score]] / (Table2_1[[#This Row],[Launched Price (USA)]] ^ 0.85)</f>
        <v>0.18967541208570646</v>
      </c>
      <c r="R524" s="6">
        <f>IFERROR(Table2_1[[#This Row],[Launched Price (USA)]] / S524, "")</f>
        <v>14.081876788813775</v>
      </c>
      <c r="S52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49.638269847330641</v>
      </c>
      <c r="T524" s="6">
        <v>2024</v>
      </c>
    </row>
    <row r="525" spans="1:20" x14ac:dyDescent="0.25">
      <c r="A525" s="6" t="s">
        <v>1118</v>
      </c>
      <c r="B525" s="6" t="s">
        <v>1185</v>
      </c>
      <c r="C52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25" s="6">
        <v>533</v>
      </c>
      <c r="E525" s="6">
        <v>12</v>
      </c>
      <c r="F525" s="6">
        <v>8</v>
      </c>
      <c r="G525" s="6">
        <v>13</v>
      </c>
      <c r="H525" s="6"/>
      <c r="I525" s="6"/>
      <c r="J525" s="6" t="s">
        <v>1183</v>
      </c>
      <c r="K525" s="6" t="s">
        <v>2438</v>
      </c>
      <c r="L525" s="6">
        <v>75</v>
      </c>
      <c r="M525" s="6">
        <v>9510</v>
      </c>
      <c r="N525" s="6">
        <v>11.6</v>
      </c>
      <c r="O525" s="6">
        <v>799</v>
      </c>
      <c r="P525" s="6" t="s">
        <v>2369</v>
      </c>
      <c r="Q525" s="6">
        <f>Table2_1[[#This Row],[Specs Score]] / (Table2_1[[#This Row],[Launched Price (USA)]] ^ 0.85)</f>
        <v>0.19614301542910637</v>
      </c>
      <c r="R525" s="6">
        <f>IFERROR(Table2_1[[#This Row],[Launched Price (USA)]] / S525, "")</f>
        <v>13.893420144194891</v>
      </c>
      <c r="S52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57.509237589266121</v>
      </c>
      <c r="T525" s="6">
        <v>2024</v>
      </c>
    </row>
    <row r="526" spans="1:20" x14ac:dyDescent="0.25">
      <c r="A526" s="6" t="s">
        <v>1118</v>
      </c>
      <c r="B526" s="6" t="s">
        <v>1217</v>
      </c>
      <c r="C52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26" s="6">
        <v>180</v>
      </c>
      <c r="E526" s="6">
        <v>8</v>
      </c>
      <c r="F526" s="6">
        <v>32</v>
      </c>
      <c r="G526" s="6">
        <v>64</v>
      </c>
      <c r="H526" s="6">
        <v>32</v>
      </c>
      <c r="I526" s="6">
        <v>8</v>
      </c>
      <c r="J526" s="6" t="s">
        <v>1176</v>
      </c>
      <c r="K526" s="6" t="s">
        <v>2438</v>
      </c>
      <c r="L526" s="6">
        <v>48</v>
      </c>
      <c r="M526" s="6">
        <v>5000</v>
      </c>
      <c r="N526" s="6">
        <v>6.7</v>
      </c>
      <c r="O526" s="6">
        <v>499</v>
      </c>
      <c r="P526" s="6" t="s">
        <v>2368</v>
      </c>
      <c r="Q526" s="6">
        <f>Table2_1[[#This Row],[Specs Score]] / (Table2_1[[#This Row],[Launched Price (USA)]] ^ 0.85)</f>
        <v>0.18887541131669713</v>
      </c>
      <c r="R526" s="6">
        <f>IFERROR(Table2_1[[#This Row],[Launched Price (USA)]] / S526, "")</f>
        <v>13.444345315891962</v>
      </c>
      <c r="S52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37.115976142784305</v>
      </c>
      <c r="T526" s="6">
        <v>2023</v>
      </c>
    </row>
    <row r="527" spans="1:20" x14ac:dyDescent="0.25">
      <c r="A527" s="6" t="s">
        <v>1118</v>
      </c>
      <c r="B527" s="6" t="s">
        <v>1220</v>
      </c>
      <c r="C52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27" s="6">
        <v>180</v>
      </c>
      <c r="E527" s="6">
        <v>8</v>
      </c>
      <c r="F527" s="6">
        <v>32</v>
      </c>
      <c r="G527" s="6">
        <v>64</v>
      </c>
      <c r="H527" s="6">
        <v>32</v>
      </c>
      <c r="I527" s="6">
        <v>8</v>
      </c>
      <c r="J527" s="6" t="s">
        <v>1176</v>
      </c>
      <c r="K527" s="6" t="s">
        <v>2438</v>
      </c>
      <c r="L527" s="6">
        <v>48</v>
      </c>
      <c r="M527" s="6">
        <v>5000</v>
      </c>
      <c r="N527" s="6">
        <v>6.7</v>
      </c>
      <c r="O527" s="6">
        <v>549</v>
      </c>
      <c r="P527" s="6" t="s">
        <v>2368</v>
      </c>
      <c r="Q527" s="6">
        <f>Table2_1[[#This Row],[Specs Score]] / (Table2_1[[#This Row],[Launched Price (USA)]] ^ 0.85)</f>
        <v>0.19231317785883539</v>
      </c>
      <c r="R527" s="6">
        <f>IFERROR(Table2_1[[#This Row],[Launched Price (USA)]] / S527, "")</f>
        <v>13.394509274566111</v>
      </c>
      <c r="S52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40.986943884719793</v>
      </c>
      <c r="T527" s="6">
        <v>2023</v>
      </c>
    </row>
    <row r="528" spans="1:20" x14ac:dyDescent="0.25">
      <c r="A528" s="6" t="s">
        <v>1118</v>
      </c>
      <c r="B528" s="6" t="s">
        <v>1221</v>
      </c>
      <c r="C52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28" s="6">
        <v>186</v>
      </c>
      <c r="E528" s="6">
        <v>12</v>
      </c>
      <c r="F528" s="6">
        <v>32</v>
      </c>
      <c r="G528" s="6">
        <v>50</v>
      </c>
      <c r="H528" s="6">
        <v>32</v>
      </c>
      <c r="I528" s="6">
        <v>8</v>
      </c>
      <c r="J528" s="6" t="s">
        <v>708</v>
      </c>
      <c r="K528" s="6" t="s">
        <v>2438</v>
      </c>
      <c r="L528" s="6">
        <v>60</v>
      </c>
      <c r="M528" s="6">
        <v>4600</v>
      </c>
      <c r="N528" s="6">
        <v>6.7</v>
      </c>
      <c r="O528" s="6">
        <v>599</v>
      </c>
      <c r="P528" s="6" t="s">
        <v>2368</v>
      </c>
      <c r="Q528" s="6">
        <f>Table2_1[[#This Row],[Specs Score]] / (Table2_1[[#This Row],[Launched Price (USA)]] ^ 0.85)</f>
        <v>0.20324135251604786</v>
      </c>
      <c r="R528" s="6">
        <f>IFERROR(Table2_1[[#This Row],[Launched Price (USA)]] / S528, "")</f>
        <v>12.841091689870026</v>
      </c>
      <c r="S52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46.647124284030625</v>
      </c>
      <c r="T528" s="6">
        <v>2023</v>
      </c>
    </row>
    <row r="529" spans="1:20" x14ac:dyDescent="0.25">
      <c r="A529" s="6" t="s">
        <v>1118</v>
      </c>
      <c r="B529" s="6" t="s">
        <v>1226</v>
      </c>
      <c r="C52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29" s="6">
        <v>174</v>
      </c>
      <c r="E529" s="6">
        <v>8</v>
      </c>
      <c r="F529" s="6">
        <v>32</v>
      </c>
      <c r="G529" s="6">
        <v>64</v>
      </c>
      <c r="H529" s="6">
        <v>2</v>
      </c>
      <c r="I529" s="6"/>
      <c r="J529" s="6" t="s">
        <v>708</v>
      </c>
      <c r="K529" s="6" t="s">
        <v>2438</v>
      </c>
      <c r="L529" s="6">
        <v>60</v>
      </c>
      <c r="M529" s="6">
        <v>4500</v>
      </c>
      <c r="N529" s="6">
        <v>6.7</v>
      </c>
      <c r="O529" s="6">
        <v>449</v>
      </c>
      <c r="P529" s="6" t="s">
        <v>2368</v>
      </c>
      <c r="Q529" s="6">
        <f>Table2_1[[#This Row],[Specs Score]] / (Table2_1[[#This Row],[Launched Price (USA)]] ^ 0.85)</f>
        <v>0.21894058841169414</v>
      </c>
      <c r="R529" s="6">
        <f>IFERROR(Table2_1[[#This Row],[Launched Price (USA)]] / S529, "")</f>
        <v>11.415913521255707</v>
      </c>
      <c r="S52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39.331061781782992</v>
      </c>
      <c r="T529" s="6">
        <v>2022</v>
      </c>
    </row>
    <row r="530" spans="1:20" x14ac:dyDescent="0.25">
      <c r="A530" s="6" t="s">
        <v>1118</v>
      </c>
      <c r="B530" s="6" t="s">
        <v>1227</v>
      </c>
      <c r="C53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30" s="6">
        <v>174</v>
      </c>
      <c r="E530" s="6">
        <v>12</v>
      </c>
      <c r="F530" s="6">
        <v>32</v>
      </c>
      <c r="G530" s="6">
        <v>64</v>
      </c>
      <c r="H530" s="6">
        <v>2</v>
      </c>
      <c r="I530" s="6"/>
      <c r="J530" s="6" t="s">
        <v>708</v>
      </c>
      <c r="K530" s="6" t="s">
        <v>2438</v>
      </c>
      <c r="L530" s="6">
        <v>60</v>
      </c>
      <c r="M530" s="6">
        <v>4500</v>
      </c>
      <c r="N530" s="6">
        <v>6.7</v>
      </c>
      <c r="O530" s="6">
        <v>499</v>
      </c>
      <c r="P530" s="6" t="s">
        <v>2368</v>
      </c>
      <c r="Q530" s="6">
        <f>Table2_1[[#This Row],[Specs Score]] / (Table2_1[[#This Row],[Launched Price (USA)]] ^ 0.85)</f>
        <v>0.24020121973832093</v>
      </c>
      <c r="R530" s="6">
        <f>IFERROR(Table2_1[[#This Row],[Launched Price (USA)]] / S530, "")</f>
        <v>10.571579337478662</v>
      </c>
      <c r="S53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47.20202952371848</v>
      </c>
      <c r="T530" s="6">
        <v>2022</v>
      </c>
    </row>
    <row r="531" spans="1:20" x14ac:dyDescent="0.25">
      <c r="A531" s="6" t="s">
        <v>1118</v>
      </c>
      <c r="B531" s="6" t="s">
        <v>1228</v>
      </c>
      <c r="C53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31" s="6">
        <v>184</v>
      </c>
      <c r="E531" s="6">
        <v>16</v>
      </c>
      <c r="F531" s="6">
        <v>32</v>
      </c>
      <c r="G531" s="6">
        <v>50</v>
      </c>
      <c r="H531" s="6">
        <v>8</v>
      </c>
      <c r="I531" s="6"/>
      <c r="J531" s="6" t="s">
        <v>1229</v>
      </c>
      <c r="K531" s="6" t="s">
        <v>2438</v>
      </c>
      <c r="L531" s="6">
        <v>65</v>
      </c>
      <c r="M531" s="6">
        <v>4500</v>
      </c>
      <c r="N531" s="6">
        <v>6.7</v>
      </c>
      <c r="O531" s="6">
        <v>599</v>
      </c>
      <c r="P531" s="6" t="s">
        <v>2368</v>
      </c>
      <c r="Q531" s="6">
        <f>Table2_1[[#This Row],[Specs Score]] / (Table2_1[[#This Row],[Launched Price (USA)]] ^ 0.85)</f>
        <v>0.2254602163424895</v>
      </c>
      <c r="R531" s="6">
        <f>IFERROR(Table2_1[[#This Row],[Launched Price (USA)]] / S531, "")</f>
        <v>11.575615801180817</v>
      </c>
      <c r="S53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51.74670706839602</v>
      </c>
      <c r="T531" s="6">
        <v>2022</v>
      </c>
    </row>
    <row r="532" spans="1:20" x14ac:dyDescent="0.25">
      <c r="A532" s="6" t="s">
        <v>1118</v>
      </c>
      <c r="B532" s="6" t="s">
        <v>1232</v>
      </c>
      <c r="C53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32" s="6">
        <v>179</v>
      </c>
      <c r="E532" s="6">
        <v>8</v>
      </c>
      <c r="F532" s="6">
        <v>32</v>
      </c>
      <c r="G532" s="6">
        <v>50</v>
      </c>
      <c r="H532" s="6">
        <v>8</v>
      </c>
      <c r="I532" s="6">
        <v>2</v>
      </c>
      <c r="J532" s="6" t="s">
        <v>1233</v>
      </c>
      <c r="K532" s="6" t="s">
        <v>2438</v>
      </c>
      <c r="L532" s="6">
        <v>40</v>
      </c>
      <c r="M532" s="6">
        <v>4500</v>
      </c>
      <c r="N532" s="6">
        <v>6.4</v>
      </c>
      <c r="O532" s="6">
        <v>399</v>
      </c>
      <c r="P532" s="6" t="s">
        <v>2368</v>
      </c>
      <c r="Q532" s="6">
        <f>Table2_1[[#This Row],[Specs Score]] / (Table2_1[[#This Row],[Launched Price (USA)]] ^ 0.85)</f>
        <v>0.20462848981750664</v>
      </c>
      <c r="R532" s="6">
        <f>IFERROR(Table2_1[[#This Row],[Launched Price (USA)]] / S532, "")</f>
        <v>11.999961017872478</v>
      </c>
      <c r="S53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33.250108013329225</v>
      </c>
      <c r="T532" s="6">
        <v>2022</v>
      </c>
    </row>
    <row r="533" spans="1:20" x14ac:dyDescent="0.25">
      <c r="A533" s="6" t="s">
        <v>1118</v>
      </c>
      <c r="B533" s="6" t="s">
        <v>1234</v>
      </c>
      <c r="C53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33" s="6">
        <v>179</v>
      </c>
      <c r="E533" s="6">
        <v>12</v>
      </c>
      <c r="F533" s="6">
        <v>32</v>
      </c>
      <c r="G533" s="6">
        <v>50</v>
      </c>
      <c r="H533" s="6">
        <v>8</v>
      </c>
      <c r="I533" s="6">
        <v>2</v>
      </c>
      <c r="J533" s="6" t="s">
        <v>1233</v>
      </c>
      <c r="K533" s="6" t="s">
        <v>2438</v>
      </c>
      <c r="L533" s="6">
        <v>40</v>
      </c>
      <c r="M533" s="6">
        <v>4500</v>
      </c>
      <c r="N533" s="6">
        <v>6.4</v>
      </c>
      <c r="O533" s="6">
        <v>449</v>
      </c>
      <c r="P533" s="6" t="s">
        <v>2368</v>
      </c>
      <c r="Q533" s="6">
        <f>Table2_1[[#This Row],[Specs Score]] / (Table2_1[[#This Row],[Launched Price (USA)]] ^ 0.85)</f>
        <v>0.22890489384523732</v>
      </c>
      <c r="R533" s="6">
        <f>IFERROR(Table2_1[[#This Row],[Launched Price (USA)]] / S533, "")</f>
        <v>10.918975045114541</v>
      </c>
      <c r="S53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41.121075755264712</v>
      </c>
      <c r="T533" s="6">
        <v>2022</v>
      </c>
    </row>
    <row r="534" spans="1:20" x14ac:dyDescent="0.25">
      <c r="A534" s="6" t="s">
        <v>1118</v>
      </c>
      <c r="B534" s="6" t="s">
        <v>1235</v>
      </c>
      <c r="C53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34" s="6">
        <v>183</v>
      </c>
      <c r="E534" s="6">
        <v>12</v>
      </c>
      <c r="F534" s="6">
        <v>32</v>
      </c>
      <c r="G534" s="6">
        <v>50</v>
      </c>
      <c r="H534" s="6">
        <v>8</v>
      </c>
      <c r="I534" s="6">
        <v>2</v>
      </c>
      <c r="J534" s="6" t="s">
        <v>1229</v>
      </c>
      <c r="K534" s="6" t="s">
        <v>2438</v>
      </c>
      <c r="L534" s="6">
        <v>65</v>
      </c>
      <c r="M534" s="6">
        <v>4500</v>
      </c>
      <c r="N534" s="6">
        <v>6.7</v>
      </c>
      <c r="O534" s="6">
        <v>549</v>
      </c>
      <c r="P534" s="6" t="s">
        <v>2368</v>
      </c>
      <c r="Q534" s="6">
        <f>Table2_1[[#This Row],[Specs Score]] / (Table2_1[[#This Row],[Launched Price (USA)]] ^ 0.85)</f>
        <v>0.22403038866338576</v>
      </c>
      <c r="R534" s="6">
        <f>IFERROR(Table2_1[[#This Row],[Launched Price (USA)]] / S534, "")</f>
        <v>11.498175135168392</v>
      </c>
      <c r="S53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47.74670706839602</v>
      </c>
      <c r="T534" s="6">
        <v>2022</v>
      </c>
    </row>
    <row r="535" spans="1:20" x14ac:dyDescent="0.25">
      <c r="A535" s="6" t="s">
        <v>1118</v>
      </c>
      <c r="B535" s="6" t="s">
        <v>1236</v>
      </c>
      <c r="C53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35" s="6">
        <v>195</v>
      </c>
      <c r="E535" s="6">
        <v>12</v>
      </c>
      <c r="F535" s="6">
        <v>32</v>
      </c>
      <c r="G535" s="6">
        <v>50</v>
      </c>
      <c r="H535" s="6">
        <v>8</v>
      </c>
      <c r="I535" s="6">
        <v>2</v>
      </c>
      <c r="J535" s="6" t="s">
        <v>1229</v>
      </c>
      <c r="K535" s="6" t="s">
        <v>2438</v>
      </c>
      <c r="L535" s="6">
        <v>65</v>
      </c>
      <c r="M535" s="6">
        <v>4500</v>
      </c>
      <c r="N535" s="6">
        <v>6.7</v>
      </c>
      <c r="O535" s="6">
        <v>599</v>
      </c>
      <c r="P535" s="6" t="s">
        <v>2368</v>
      </c>
      <c r="Q535" s="6">
        <f>Table2_1[[#This Row],[Specs Score]] / (Table2_1[[#This Row],[Launched Price (USA)]] ^ 0.85)</f>
        <v>0.20803223074761962</v>
      </c>
      <c r="R535" s="6">
        <f>IFERROR(Table2_1[[#This Row],[Launched Price (USA)]] / S535, "")</f>
        <v>12.54536777042963</v>
      </c>
      <c r="S53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47.74670706839602</v>
      </c>
      <c r="T535" s="6">
        <v>2022</v>
      </c>
    </row>
    <row r="536" spans="1:20" x14ac:dyDescent="0.25">
      <c r="A536" s="6" t="s">
        <v>1118</v>
      </c>
      <c r="B536" s="6" t="s">
        <v>1239</v>
      </c>
      <c r="C53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36" s="6">
        <v>173</v>
      </c>
      <c r="E536" s="6">
        <v>8</v>
      </c>
      <c r="F536" s="6">
        <v>32</v>
      </c>
      <c r="G536" s="6">
        <v>64</v>
      </c>
      <c r="H536" s="6">
        <v>8</v>
      </c>
      <c r="I536" s="6">
        <v>2</v>
      </c>
      <c r="J536" s="6" t="s">
        <v>915</v>
      </c>
      <c r="K536" s="6" t="s">
        <v>2438</v>
      </c>
      <c r="L536" s="6">
        <v>28</v>
      </c>
      <c r="M536" s="6">
        <v>4500</v>
      </c>
      <c r="N536" s="6">
        <v>6.4</v>
      </c>
      <c r="O536" s="6">
        <v>349</v>
      </c>
      <c r="P536" s="6" t="s">
        <v>2368</v>
      </c>
      <c r="Q536" s="6">
        <f>Table2_1[[#This Row],[Specs Score]] / (Table2_1[[#This Row],[Launched Price (USA)]] ^ 0.85)</f>
        <v>0.21334730673074262</v>
      </c>
      <c r="R536" s="6">
        <f>IFERROR(Table2_1[[#This Row],[Launched Price (USA)]] / S536, "")</f>
        <v>11.280715574027029</v>
      </c>
      <c r="S53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30.937753700974909</v>
      </c>
      <c r="T536" s="6">
        <v>2021</v>
      </c>
    </row>
    <row r="537" spans="1:20" x14ac:dyDescent="0.25">
      <c r="A537" s="6" t="s">
        <v>1118</v>
      </c>
      <c r="B537" s="6" t="s">
        <v>1240</v>
      </c>
      <c r="C53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37" s="6">
        <v>173</v>
      </c>
      <c r="E537" s="6">
        <v>12</v>
      </c>
      <c r="F537" s="6">
        <v>32</v>
      </c>
      <c r="G537" s="6">
        <v>64</v>
      </c>
      <c r="H537" s="6">
        <v>8</v>
      </c>
      <c r="I537" s="6">
        <v>2</v>
      </c>
      <c r="J537" s="6" t="s">
        <v>915</v>
      </c>
      <c r="K537" s="6" t="s">
        <v>2438</v>
      </c>
      <c r="L537" s="6">
        <v>28</v>
      </c>
      <c r="M537" s="6">
        <v>4500</v>
      </c>
      <c r="N537" s="6">
        <v>6.4</v>
      </c>
      <c r="O537" s="6">
        <v>399</v>
      </c>
      <c r="P537" s="6" t="s">
        <v>2368</v>
      </c>
      <c r="Q537" s="6">
        <f>Table2_1[[#This Row],[Specs Score]] / (Table2_1[[#This Row],[Launched Price (USA)]] ^ 0.85)</f>
        <v>0.2388374214431882</v>
      </c>
      <c r="R537" s="6">
        <f>IFERROR(Table2_1[[#This Row],[Launched Price (USA)]] / S537, "")</f>
        <v>10.28119415340568</v>
      </c>
      <c r="S53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38.808721442910397</v>
      </c>
      <c r="T537" s="6">
        <v>2021</v>
      </c>
    </row>
    <row r="538" spans="1:20" x14ac:dyDescent="0.25">
      <c r="A538" s="6" t="s">
        <v>1118</v>
      </c>
      <c r="B538" s="6" t="s">
        <v>1241</v>
      </c>
      <c r="C53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38" s="6">
        <v>180</v>
      </c>
      <c r="E538" s="6">
        <v>12</v>
      </c>
      <c r="F538" s="6">
        <v>32</v>
      </c>
      <c r="G538" s="6">
        <v>50</v>
      </c>
      <c r="H538" s="6">
        <v>8</v>
      </c>
      <c r="I538" s="6">
        <v>2</v>
      </c>
      <c r="J538" s="6" t="s">
        <v>911</v>
      </c>
      <c r="K538" s="6" t="s">
        <v>2438</v>
      </c>
      <c r="L538" s="6">
        <v>38</v>
      </c>
      <c r="M538" s="6">
        <v>4500</v>
      </c>
      <c r="N538" s="6">
        <v>6.55</v>
      </c>
      <c r="O538" s="6">
        <v>499</v>
      </c>
      <c r="P538" s="6" t="s">
        <v>2368</v>
      </c>
      <c r="Q538" s="6">
        <f>Table2_1[[#This Row],[Specs Score]] / (Table2_1[[#This Row],[Launched Price (USA)]] ^ 0.85)</f>
        <v>0.20748154995511073</v>
      </c>
      <c r="R538" s="6">
        <f>IFERROR(Table2_1[[#This Row],[Launched Price (USA)]] / S538, "")</f>
        <v>12.238708704326683</v>
      </c>
      <c r="S53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40.772275250214207</v>
      </c>
      <c r="T538" s="6">
        <v>2021</v>
      </c>
    </row>
    <row r="539" spans="1:20" x14ac:dyDescent="0.25">
      <c r="A539" s="6" t="s">
        <v>1118</v>
      </c>
      <c r="B539" s="6" t="s">
        <v>1242</v>
      </c>
      <c r="C53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39" s="6">
        <v>182</v>
      </c>
      <c r="E539" s="6">
        <v>8</v>
      </c>
      <c r="F539" s="6">
        <v>32</v>
      </c>
      <c r="G539" s="6">
        <v>64</v>
      </c>
      <c r="H539" s="6">
        <v>8</v>
      </c>
      <c r="I539" s="6">
        <v>2</v>
      </c>
      <c r="J539" s="6" t="s">
        <v>915</v>
      </c>
      <c r="K539" s="6" t="s">
        <v>2438</v>
      </c>
      <c r="L539" s="6">
        <v>28</v>
      </c>
      <c r="M539" s="6">
        <v>4300</v>
      </c>
      <c r="N539" s="6">
        <v>6.43</v>
      </c>
      <c r="O539" s="6">
        <v>349</v>
      </c>
      <c r="P539" s="6" t="s">
        <v>2368</v>
      </c>
      <c r="Q539" s="6">
        <f>Table2_1[[#This Row],[Specs Score]] / (Table2_1[[#This Row],[Launched Price (USA)]] ^ 0.85)</f>
        <v>0.21131410576836571</v>
      </c>
      <c r="R539" s="6">
        <f>IFERROR(Table2_1[[#This Row],[Launched Price (USA)]] / S539, "")</f>
        <v>11.389255236715488</v>
      </c>
      <c r="S53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30.642916744453171</v>
      </c>
      <c r="T539" s="6">
        <v>2021</v>
      </c>
    </row>
    <row r="540" spans="1:20" x14ac:dyDescent="0.25">
      <c r="A540" s="6" t="s">
        <v>1118</v>
      </c>
      <c r="B540" s="6" t="s">
        <v>1243</v>
      </c>
      <c r="C54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40" s="6">
        <v>182</v>
      </c>
      <c r="E540" s="6">
        <v>12</v>
      </c>
      <c r="F540" s="6">
        <v>32</v>
      </c>
      <c r="G540" s="6">
        <v>64</v>
      </c>
      <c r="H540" s="6">
        <v>8</v>
      </c>
      <c r="I540" s="6">
        <v>2</v>
      </c>
      <c r="J540" s="6" t="s">
        <v>915</v>
      </c>
      <c r="K540" s="6" t="s">
        <v>2438</v>
      </c>
      <c r="L540" s="6">
        <v>28</v>
      </c>
      <c r="M540" s="6">
        <v>4300</v>
      </c>
      <c r="N540" s="6">
        <v>6.43</v>
      </c>
      <c r="O540" s="6">
        <v>399</v>
      </c>
      <c r="P540" s="6" t="s">
        <v>2368</v>
      </c>
      <c r="Q540" s="6">
        <f>Table2_1[[#This Row],[Specs Score]] / (Table2_1[[#This Row],[Launched Price (USA)]] ^ 0.85)</f>
        <v>0.23702292985924359</v>
      </c>
      <c r="R540" s="6">
        <f>IFERROR(Table2_1[[#This Row],[Launched Price (USA)]] / S540, "")</f>
        <v>10.359900210559449</v>
      </c>
      <c r="S54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38.513884486388648</v>
      </c>
      <c r="T540" s="6">
        <v>2021</v>
      </c>
    </row>
    <row r="541" spans="1:20" x14ac:dyDescent="0.25">
      <c r="A541" s="6" t="s">
        <v>1118</v>
      </c>
      <c r="B541" s="6" t="s">
        <v>1244</v>
      </c>
      <c r="C54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41" s="6">
        <v>177</v>
      </c>
      <c r="E541" s="6">
        <v>8</v>
      </c>
      <c r="F541" s="6">
        <v>32</v>
      </c>
      <c r="G541" s="6">
        <v>64</v>
      </c>
      <c r="H541" s="6">
        <v>8</v>
      </c>
      <c r="I541" s="6">
        <v>2</v>
      </c>
      <c r="J541" s="6" t="s">
        <v>911</v>
      </c>
      <c r="K541" s="6" t="s">
        <v>2438</v>
      </c>
      <c r="L541" s="6">
        <v>38</v>
      </c>
      <c r="M541" s="6">
        <v>4500</v>
      </c>
      <c r="N541" s="6">
        <v>6.55</v>
      </c>
      <c r="O541" s="6">
        <v>449</v>
      </c>
      <c r="P541" s="6" t="s">
        <v>2368</v>
      </c>
      <c r="Q541" s="6">
        <f>Table2_1[[#This Row],[Specs Score]] / (Table2_1[[#This Row],[Launched Price (USA)]] ^ 0.85)</f>
        <v>0.18714520805392984</v>
      </c>
      <c r="R541" s="6">
        <f>IFERROR(Table2_1[[#This Row],[Launched Price (USA)]] / S541, "")</f>
        <v>13.355441208414392</v>
      </c>
      <c r="S54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33.619256226227435</v>
      </c>
      <c r="T541" s="6">
        <v>2021</v>
      </c>
    </row>
    <row r="542" spans="1:20" x14ac:dyDescent="0.25">
      <c r="A542" s="6" t="s">
        <v>1118</v>
      </c>
      <c r="B542" s="6" t="s">
        <v>1246</v>
      </c>
      <c r="C54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42" s="6">
        <v>177</v>
      </c>
      <c r="E542" s="6">
        <v>12</v>
      </c>
      <c r="F542" s="6">
        <v>32</v>
      </c>
      <c r="G542" s="6">
        <v>64</v>
      </c>
      <c r="H542" s="6">
        <v>8</v>
      </c>
      <c r="I542" s="6">
        <v>2</v>
      </c>
      <c r="J542" s="6" t="s">
        <v>911</v>
      </c>
      <c r="K542" s="6" t="s">
        <v>2438</v>
      </c>
      <c r="L542" s="6">
        <v>38</v>
      </c>
      <c r="M542" s="6">
        <v>4500</v>
      </c>
      <c r="N542" s="6">
        <v>6.55</v>
      </c>
      <c r="O542" s="6">
        <v>499</v>
      </c>
      <c r="P542" s="6" t="s">
        <v>2368</v>
      </c>
      <c r="Q542" s="6">
        <f>Table2_1[[#This Row],[Specs Score]] / (Table2_1[[#This Row],[Launched Price (USA)]] ^ 0.85)</f>
        <v>0.21113504027111907</v>
      </c>
      <c r="R542" s="6">
        <f>IFERROR(Table2_1[[#This Row],[Launched Price (USA)]] / S542, "")</f>
        <v>12.026929533639112</v>
      </c>
      <c r="S54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41.490223968162923</v>
      </c>
      <c r="T542" s="6">
        <v>2021</v>
      </c>
    </row>
    <row r="543" spans="1:20" x14ac:dyDescent="0.25">
      <c r="A543" s="6" t="s">
        <v>1118</v>
      </c>
      <c r="B543" s="6" t="s">
        <v>1249</v>
      </c>
      <c r="C54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43" s="6">
        <v>180</v>
      </c>
      <c r="E543" s="6">
        <v>8</v>
      </c>
      <c r="F543" s="6">
        <v>32</v>
      </c>
      <c r="G543" s="6">
        <v>64</v>
      </c>
      <c r="H543" s="6">
        <v>8</v>
      </c>
      <c r="I543" s="6">
        <v>2</v>
      </c>
      <c r="J543" s="6" t="s">
        <v>821</v>
      </c>
      <c r="K543" s="6" t="s">
        <v>2438</v>
      </c>
      <c r="L543" s="6">
        <v>52</v>
      </c>
      <c r="M543" s="6">
        <v>4300</v>
      </c>
      <c r="N543" s="6">
        <v>6.43</v>
      </c>
      <c r="O543" s="6">
        <v>299</v>
      </c>
      <c r="P543" s="6" t="s">
        <v>2368</v>
      </c>
      <c r="Q543" s="6">
        <f>Table2_1[[#This Row],[Specs Score]] / (Table2_1[[#This Row],[Launched Price (USA)]] ^ 0.85)</f>
        <v>0.28866042039120904</v>
      </c>
      <c r="R543" s="6">
        <f>IFERROR(Table2_1[[#This Row],[Launched Price (USA)]] / S543, "")</f>
        <v>8.1463570019710936</v>
      </c>
      <c r="S54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36.703522805059237</v>
      </c>
      <c r="T543" s="6">
        <v>2020</v>
      </c>
    </row>
    <row r="544" spans="1:20" x14ac:dyDescent="0.25">
      <c r="A544" s="6" t="s">
        <v>1118</v>
      </c>
      <c r="B544" s="6" t="s">
        <v>1250</v>
      </c>
      <c r="C54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44" s="6">
        <v>180</v>
      </c>
      <c r="E544" s="6">
        <v>12</v>
      </c>
      <c r="F544" s="6">
        <v>32</v>
      </c>
      <c r="G544" s="6">
        <v>64</v>
      </c>
      <c r="H544" s="6">
        <v>8</v>
      </c>
      <c r="I544" s="6">
        <v>2</v>
      </c>
      <c r="J544" s="6" t="s">
        <v>821</v>
      </c>
      <c r="K544" s="6" t="s">
        <v>2438</v>
      </c>
      <c r="L544" s="6">
        <v>52</v>
      </c>
      <c r="M544" s="6">
        <v>4300</v>
      </c>
      <c r="N544" s="6">
        <v>6.43</v>
      </c>
      <c r="O544" s="6">
        <v>349</v>
      </c>
      <c r="P544" s="6" t="s">
        <v>2368</v>
      </c>
      <c r="Q544" s="6">
        <f>Table2_1[[#This Row],[Specs Score]] / (Table2_1[[#This Row],[Launched Price (USA)]] ^ 0.85)</f>
        <v>0.3073864896272866</v>
      </c>
      <c r="R544" s="6">
        <f>IFERROR(Table2_1[[#This Row],[Launched Price (USA)]] / S544, "")</f>
        <v>7.8295903266028484</v>
      </c>
      <c r="S54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44.574490546994724</v>
      </c>
      <c r="T544" s="6">
        <v>2020</v>
      </c>
    </row>
    <row r="545" spans="1:20" x14ac:dyDescent="0.25">
      <c r="A545" s="6" t="s">
        <v>1118</v>
      </c>
      <c r="B545" s="6" t="s">
        <v>1251</v>
      </c>
      <c r="C54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45" s="6">
        <v>173</v>
      </c>
      <c r="E545" s="6">
        <v>8</v>
      </c>
      <c r="F545" s="6">
        <v>32</v>
      </c>
      <c r="G545" s="6">
        <v>64</v>
      </c>
      <c r="H545" s="6">
        <v>8</v>
      </c>
      <c r="I545" s="6">
        <v>2</v>
      </c>
      <c r="J545" s="6" t="s">
        <v>1252</v>
      </c>
      <c r="K545" s="6" t="s">
        <v>2438</v>
      </c>
      <c r="L545" s="6">
        <v>32</v>
      </c>
      <c r="M545" s="6">
        <v>4350</v>
      </c>
      <c r="N545" s="6">
        <v>6.55</v>
      </c>
      <c r="O545" s="6">
        <v>399</v>
      </c>
      <c r="P545" s="6" t="s">
        <v>2368</v>
      </c>
      <c r="Q545" s="6">
        <f>Table2_1[[#This Row],[Specs Score]] / (Table2_1[[#This Row],[Launched Price (USA)]] ^ 0.85)</f>
        <v>0.19607062480099086</v>
      </c>
      <c r="R545" s="6">
        <f>IFERROR(Table2_1[[#This Row],[Launched Price (USA)]] / S545, "")</f>
        <v>12.523721508250052</v>
      </c>
      <c r="S54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31.859539493684618</v>
      </c>
      <c r="T545" s="6">
        <v>2020</v>
      </c>
    </row>
    <row r="546" spans="1:20" x14ac:dyDescent="0.25">
      <c r="A546" s="6" t="s">
        <v>1118</v>
      </c>
      <c r="B546" s="6" t="s">
        <v>1254</v>
      </c>
      <c r="C54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46" s="6">
        <v>173</v>
      </c>
      <c r="E546" s="6">
        <v>12</v>
      </c>
      <c r="F546" s="6">
        <v>32</v>
      </c>
      <c r="G546" s="6">
        <v>64</v>
      </c>
      <c r="H546" s="6">
        <v>8</v>
      </c>
      <c r="I546" s="6">
        <v>2</v>
      </c>
      <c r="J546" s="6" t="s">
        <v>1252</v>
      </c>
      <c r="K546" s="6" t="s">
        <v>2438</v>
      </c>
      <c r="L546" s="6">
        <v>32</v>
      </c>
      <c r="M546" s="6">
        <v>4350</v>
      </c>
      <c r="N546" s="6">
        <v>6.55</v>
      </c>
      <c r="O546" s="6">
        <v>449</v>
      </c>
      <c r="P546" s="6" t="s">
        <v>2368</v>
      </c>
      <c r="Q546" s="6">
        <f>Table2_1[[#This Row],[Specs Score]] / (Table2_1[[#This Row],[Launched Price (USA)]] ^ 0.85)</f>
        <v>0.22116414452077376</v>
      </c>
      <c r="R546" s="6">
        <f>IFERROR(Table2_1[[#This Row],[Launched Price (USA)]] / S546, "")</f>
        <v>11.301139382319597</v>
      </c>
      <c r="S54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39.730507235620095</v>
      </c>
      <c r="T546" s="6">
        <v>2020</v>
      </c>
    </row>
    <row r="547" spans="1:20" x14ac:dyDescent="0.25">
      <c r="A547" s="6" t="s">
        <v>1118</v>
      </c>
      <c r="B547" s="6" t="s">
        <v>1257</v>
      </c>
      <c r="C54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47" s="6">
        <v>183</v>
      </c>
      <c r="E547" s="6">
        <v>8</v>
      </c>
      <c r="F547" s="6">
        <v>32</v>
      </c>
      <c r="G547" s="6">
        <v>48</v>
      </c>
      <c r="H547" s="6">
        <v>8</v>
      </c>
      <c r="I547" s="6">
        <v>2</v>
      </c>
      <c r="J547" s="6" t="s">
        <v>821</v>
      </c>
      <c r="K547" s="6" t="s">
        <v>2438</v>
      </c>
      <c r="L547" s="6">
        <v>52</v>
      </c>
      <c r="M547" s="6">
        <v>4000</v>
      </c>
      <c r="N547" s="6">
        <v>6.43</v>
      </c>
      <c r="O547" s="6">
        <v>299</v>
      </c>
      <c r="P547" s="6" t="s">
        <v>2368</v>
      </c>
      <c r="Q547" s="6">
        <f>Table2_1[[#This Row],[Specs Score]] / (Table2_1[[#This Row],[Launched Price (USA)]] ^ 0.85)</f>
        <v>0.27836053243102715</v>
      </c>
      <c r="R547" s="6">
        <f>IFERROR(Table2_1[[#This Row],[Launched Price (USA)]] / S547, "")</f>
        <v>8.4477882561476747</v>
      </c>
      <c r="S54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35.393879549763803</v>
      </c>
      <c r="T547" s="6">
        <v>2020</v>
      </c>
    </row>
    <row r="548" spans="1:20" x14ac:dyDescent="0.25">
      <c r="A548" s="6" t="s">
        <v>1118</v>
      </c>
      <c r="B548" s="6" t="s">
        <v>1260</v>
      </c>
      <c r="C54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48" s="6">
        <v>183</v>
      </c>
      <c r="E548" s="6">
        <v>8</v>
      </c>
      <c r="F548" s="6">
        <v>32</v>
      </c>
      <c r="G548" s="6">
        <v>48</v>
      </c>
      <c r="H548" s="6">
        <v>8</v>
      </c>
      <c r="I548" s="6">
        <v>2</v>
      </c>
      <c r="J548" s="6" t="s">
        <v>821</v>
      </c>
      <c r="K548" s="6" t="s">
        <v>2438</v>
      </c>
      <c r="L548" s="6">
        <v>52</v>
      </c>
      <c r="M548" s="6">
        <v>4000</v>
      </c>
      <c r="N548" s="6">
        <v>6.43</v>
      </c>
      <c r="O548" s="6">
        <v>349</v>
      </c>
      <c r="P548" s="6" t="s">
        <v>2368</v>
      </c>
      <c r="Q548" s="6">
        <f>Table2_1[[#This Row],[Specs Score]] / (Table2_1[[#This Row],[Launched Price (USA)]] ^ 0.85)</f>
        <v>0.27077109410868311</v>
      </c>
      <c r="R548" s="6">
        <f>IFERROR(Table2_1[[#This Row],[Launched Price (USA)]] / S548, "")</f>
        <v>8.8883575022531609</v>
      </c>
      <c r="S54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39.264847291699283</v>
      </c>
      <c r="T548" s="6">
        <v>2020</v>
      </c>
    </row>
    <row r="549" spans="1:20" x14ac:dyDescent="0.25">
      <c r="A549" s="6" t="s">
        <v>1118</v>
      </c>
      <c r="B549" s="6" t="s">
        <v>1261</v>
      </c>
      <c r="C54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49" s="6">
        <v>172</v>
      </c>
      <c r="E549" s="6">
        <v>12</v>
      </c>
      <c r="F549" s="6">
        <v>32</v>
      </c>
      <c r="G549" s="6">
        <v>48</v>
      </c>
      <c r="H549" s="6">
        <v>13</v>
      </c>
      <c r="I549" s="6">
        <v>12</v>
      </c>
      <c r="J549" s="6" t="s">
        <v>821</v>
      </c>
      <c r="K549" s="6" t="s">
        <v>2438</v>
      </c>
      <c r="L549" s="6">
        <v>52</v>
      </c>
      <c r="M549" s="6">
        <v>4000</v>
      </c>
      <c r="N549" s="6">
        <v>6.55</v>
      </c>
      <c r="O549" s="6">
        <v>499</v>
      </c>
      <c r="P549" s="6" t="s">
        <v>2368</v>
      </c>
      <c r="Q549" s="6">
        <f>Table2_1[[#This Row],[Specs Score]] / (Table2_1[[#This Row],[Launched Price (USA)]] ^ 0.85)</f>
        <v>0.22080182460138856</v>
      </c>
      <c r="R549" s="6">
        <f>IFERROR(Table2_1[[#This Row],[Launched Price (USA)]] / S549, "")</f>
        <v>11.500386176640481</v>
      </c>
      <c r="S54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43.389847291699297</v>
      </c>
      <c r="T549" s="6">
        <v>2020</v>
      </c>
    </row>
    <row r="550" spans="1:20" x14ac:dyDescent="0.25">
      <c r="A550" s="6" t="s">
        <v>1118</v>
      </c>
      <c r="B550" s="6" t="s">
        <v>1263</v>
      </c>
      <c r="C55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50" s="6">
        <v>181</v>
      </c>
      <c r="E550" s="6">
        <v>8</v>
      </c>
      <c r="F550" s="6">
        <v>32</v>
      </c>
      <c r="G550" s="6">
        <v>64</v>
      </c>
      <c r="H550" s="6">
        <v>8</v>
      </c>
      <c r="I550" s="6">
        <v>2</v>
      </c>
      <c r="J550" s="6" t="s">
        <v>1264</v>
      </c>
      <c r="K550" s="6" t="s">
        <v>2438</v>
      </c>
      <c r="L550" s="6">
        <v>30</v>
      </c>
      <c r="M550" s="6">
        <v>4025</v>
      </c>
      <c r="N550" s="6">
        <v>6.4</v>
      </c>
      <c r="O550" s="6">
        <v>249</v>
      </c>
      <c r="P550" s="6" t="s">
        <v>2368</v>
      </c>
      <c r="Q550" s="6">
        <f>Table2_1[[#This Row],[Specs Score]] / (Table2_1[[#This Row],[Launched Price (USA)]] ^ 0.85)</f>
        <v>0.28178698683089076</v>
      </c>
      <c r="R550" s="6">
        <f>IFERROR(Table2_1[[#This Row],[Launched Price (USA)]] / S550, "")</f>
        <v>8.1191201613897679</v>
      </c>
      <c r="S55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30.668347684286289</v>
      </c>
      <c r="T550" s="6">
        <v>2019</v>
      </c>
    </row>
    <row r="551" spans="1:20" x14ac:dyDescent="0.25">
      <c r="A551" s="6" t="s">
        <v>1118</v>
      </c>
      <c r="B551" s="6" t="s">
        <v>1266</v>
      </c>
      <c r="C55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51" s="6">
        <v>181</v>
      </c>
      <c r="E551" s="6">
        <v>12</v>
      </c>
      <c r="F551" s="6">
        <v>32</v>
      </c>
      <c r="G551" s="6">
        <v>64</v>
      </c>
      <c r="H551" s="6">
        <v>8</v>
      </c>
      <c r="I551" s="6">
        <v>2</v>
      </c>
      <c r="J551" s="6" t="s">
        <v>1264</v>
      </c>
      <c r="K551" s="6" t="s">
        <v>2438</v>
      </c>
      <c r="L551" s="6">
        <v>30</v>
      </c>
      <c r="M551" s="6">
        <v>4025</v>
      </c>
      <c r="N551" s="6">
        <v>6.4</v>
      </c>
      <c r="O551" s="6">
        <v>299</v>
      </c>
      <c r="P551" s="6" t="s">
        <v>2368</v>
      </c>
      <c r="Q551" s="6">
        <f>Table2_1[[#This Row],[Specs Score]] / (Table2_1[[#This Row],[Launched Price (USA)]] ^ 0.85)</f>
        <v>0.30309828981835879</v>
      </c>
      <c r="R551" s="6">
        <f>IFERROR(Table2_1[[#This Row],[Launched Price (USA)]] / S551, "")</f>
        <v>7.7583111348304676</v>
      </c>
      <c r="S55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38.539315426221776</v>
      </c>
      <c r="T551" s="6">
        <v>2019</v>
      </c>
    </row>
    <row r="552" spans="1:20" x14ac:dyDescent="0.25">
      <c r="A552" s="6" t="s">
        <v>1118</v>
      </c>
      <c r="B552" s="6" t="s">
        <v>1267</v>
      </c>
      <c r="C55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52" s="6">
        <v>171</v>
      </c>
      <c r="E552" s="6">
        <v>12</v>
      </c>
      <c r="F552" s="6">
        <v>32</v>
      </c>
      <c r="G552" s="6">
        <v>48</v>
      </c>
      <c r="H552" s="6">
        <v>13</v>
      </c>
      <c r="I552" s="6">
        <v>8</v>
      </c>
      <c r="J552" s="6" t="s">
        <v>821</v>
      </c>
      <c r="K552" s="6" t="s">
        <v>2438</v>
      </c>
      <c r="L552" s="6">
        <v>52</v>
      </c>
      <c r="M552" s="6">
        <v>4025</v>
      </c>
      <c r="N552" s="6">
        <v>6.5</v>
      </c>
      <c r="O552" s="6">
        <v>499</v>
      </c>
      <c r="P552" s="6" t="s">
        <v>2368</v>
      </c>
      <c r="Q552" s="6">
        <f>Table2_1[[#This Row],[Specs Score]] / (Table2_1[[#This Row],[Launched Price (USA)]] ^ 0.85)</f>
        <v>0.22074420696005007</v>
      </c>
      <c r="R552" s="6">
        <f>IFERROR(Table2_1[[#This Row],[Launched Price (USA)]] / S552, "")</f>
        <v>11.503387954739688</v>
      </c>
      <c r="S55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43.378524827931173</v>
      </c>
      <c r="T552" s="6">
        <v>2019</v>
      </c>
    </row>
    <row r="553" spans="1:20" x14ac:dyDescent="0.25">
      <c r="A553" s="6" t="s">
        <v>1118</v>
      </c>
      <c r="B553" s="6" t="s">
        <v>1276</v>
      </c>
      <c r="C55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53" s="6">
        <v>186</v>
      </c>
      <c r="E553" s="6">
        <v>6</v>
      </c>
      <c r="F553" s="6">
        <v>8</v>
      </c>
      <c r="G553" s="6">
        <v>13</v>
      </c>
      <c r="H553" s="6">
        <v>2</v>
      </c>
      <c r="I553" s="6"/>
      <c r="J553" s="6" t="s">
        <v>2377</v>
      </c>
      <c r="K553" s="6" t="s">
        <v>2438</v>
      </c>
      <c r="L553" s="6">
        <v>25</v>
      </c>
      <c r="M553" s="6">
        <v>5000</v>
      </c>
      <c r="N553" s="6">
        <v>6.56</v>
      </c>
      <c r="O553" s="6">
        <v>219</v>
      </c>
      <c r="P553" s="6" t="s">
        <v>2368</v>
      </c>
      <c r="Q553" s="6">
        <f>Table2_1[[#This Row],[Specs Score]] / (Table2_1[[#This Row],[Launched Price (USA)]] ^ 0.85)</f>
        <v>0.22963604749555741</v>
      </c>
      <c r="R553" s="6">
        <f>IFERROR(Table2_1[[#This Row],[Launched Price (USA)]] / S553, "")</f>
        <v>9.772969739795963</v>
      </c>
      <c r="S55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22.408746351502796</v>
      </c>
      <c r="T553" s="6">
        <v>2022</v>
      </c>
    </row>
    <row r="554" spans="1:20" x14ac:dyDescent="0.25">
      <c r="A554" s="6" t="s">
        <v>1118</v>
      </c>
      <c r="B554" s="6" t="s">
        <v>1309</v>
      </c>
      <c r="C55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54" s="6">
        <v>195</v>
      </c>
      <c r="E554" s="6">
        <v>8</v>
      </c>
      <c r="F554" s="6">
        <v>16</v>
      </c>
      <c r="G554" s="6">
        <v>108</v>
      </c>
      <c r="H554" s="6">
        <v>2</v>
      </c>
      <c r="I554" s="6"/>
      <c r="J554" s="6" t="s">
        <v>680</v>
      </c>
      <c r="K554" s="6" t="s">
        <v>2438</v>
      </c>
      <c r="L554" s="6">
        <v>40</v>
      </c>
      <c r="M554" s="6">
        <v>5000</v>
      </c>
      <c r="N554" s="6">
        <v>6.72</v>
      </c>
      <c r="O554" s="6">
        <v>199</v>
      </c>
      <c r="P554" s="6" t="s">
        <v>2368</v>
      </c>
      <c r="Q554" s="6">
        <f>Table2_1[[#This Row],[Specs Score]] / (Table2_1[[#This Row],[Launched Price (USA)]] ^ 0.85)</f>
        <v>0.38479698072267232</v>
      </c>
      <c r="R554" s="6">
        <f>IFERROR(Table2_1[[#This Row],[Launched Price (USA)]] / S554, "")</f>
        <v>5.7490529119910683</v>
      </c>
      <c r="S55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34.614397022670708</v>
      </c>
      <c r="T554" s="6">
        <v>2023</v>
      </c>
    </row>
    <row r="555" spans="1:20" x14ac:dyDescent="0.25">
      <c r="A555" s="6" t="s">
        <v>1118</v>
      </c>
      <c r="B555" s="6" t="s">
        <v>1312</v>
      </c>
      <c r="C55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55" s="6">
        <v>195</v>
      </c>
      <c r="E555" s="6">
        <v>12</v>
      </c>
      <c r="F555" s="6">
        <v>16</v>
      </c>
      <c r="G555" s="6">
        <v>108</v>
      </c>
      <c r="H555" s="6">
        <v>2</v>
      </c>
      <c r="I555" s="6"/>
      <c r="J555" s="6" t="s">
        <v>680</v>
      </c>
      <c r="K555" s="6" t="s">
        <v>2438</v>
      </c>
      <c r="L555" s="6">
        <v>40</v>
      </c>
      <c r="M555" s="6">
        <v>5000</v>
      </c>
      <c r="N555" s="6">
        <v>6.72</v>
      </c>
      <c r="O555" s="6">
        <v>229</v>
      </c>
      <c r="P555" s="6" t="s">
        <v>2368</v>
      </c>
      <c r="Q555" s="6">
        <f>Table2_1[[#This Row],[Specs Score]] / (Table2_1[[#This Row],[Launched Price (USA)]] ^ 0.85)</f>
        <v>0.41915938194895697</v>
      </c>
      <c r="R555" s="6">
        <f>IFERROR(Table2_1[[#This Row],[Launched Price (USA)]] / S555, "")</f>
        <v>5.3900914178045571</v>
      </c>
      <c r="S55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42.485364764606196</v>
      </c>
      <c r="T555" s="6">
        <v>2023</v>
      </c>
    </row>
    <row r="556" spans="1:20" x14ac:dyDescent="0.25">
      <c r="A556" s="6" t="s">
        <v>1118</v>
      </c>
      <c r="B556" s="6" t="s">
        <v>1314</v>
      </c>
      <c r="C55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56" s="6">
        <v>195</v>
      </c>
      <c r="E556" s="6">
        <v>6</v>
      </c>
      <c r="F556" s="6">
        <v>16</v>
      </c>
      <c r="G556" s="6">
        <v>64</v>
      </c>
      <c r="H556" s="6">
        <v>2</v>
      </c>
      <c r="I556" s="6">
        <v>2</v>
      </c>
      <c r="J556" s="6" t="s">
        <v>680</v>
      </c>
      <c r="K556" s="6" t="s">
        <v>2438</v>
      </c>
      <c r="L556" s="6">
        <v>40</v>
      </c>
      <c r="M556" s="6">
        <v>5000</v>
      </c>
      <c r="N556" s="6">
        <v>6.59</v>
      </c>
      <c r="O556" s="6">
        <v>199</v>
      </c>
      <c r="P556" s="6" t="s">
        <v>2368</v>
      </c>
      <c r="Q556" s="6">
        <f>Table2_1[[#This Row],[Specs Score]] / (Table2_1[[#This Row],[Launched Price (USA)]] ^ 0.85)</f>
        <v>0.33597447086500515</v>
      </c>
      <c r="R556" s="6">
        <f>IFERROR(Table2_1[[#This Row],[Launched Price (USA)]] / S556, "")</f>
        <v>6.5844830318608389</v>
      </c>
      <c r="S55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30.222570099593781</v>
      </c>
      <c r="T556" s="6">
        <v>2022</v>
      </c>
    </row>
    <row r="557" spans="1:20" x14ac:dyDescent="0.25">
      <c r="A557" s="6" t="s">
        <v>1118</v>
      </c>
      <c r="B557" s="6" t="s">
        <v>1317</v>
      </c>
      <c r="C55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57" s="6">
        <v>195</v>
      </c>
      <c r="E557" s="6">
        <v>8</v>
      </c>
      <c r="F557" s="6">
        <v>16</v>
      </c>
      <c r="G557" s="6">
        <v>64</v>
      </c>
      <c r="H557" s="6">
        <v>2</v>
      </c>
      <c r="I557" s="6">
        <v>2</v>
      </c>
      <c r="J557" s="6" t="s">
        <v>680</v>
      </c>
      <c r="K557" s="6" t="s">
        <v>2438</v>
      </c>
      <c r="L557" s="6">
        <v>40</v>
      </c>
      <c r="M557" s="6">
        <v>5000</v>
      </c>
      <c r="N557" s="6">
        <v>6.59</v>
      </c>
      <c r="O557" s="6">
        <v>229</v>
      </c>
      <c r="P557" s="6" t="s">
        <v>2368</v>
      </c>
      <c r="Q557" s="6">
        <f>Table2_1[[#This Row],[Specs Score]] / (Table2_1[[#This Row],[Launched Price (USA)]] ^ 0.85)</f>
        <v>0.35609780209796754</v>
      </c>
      <c r="R557" s="6">
        <f>IFERROR(Table2_1[[#This Row],[Launched Price (USA)]] / S557, "")</f>
        <v>6.3446260381965747</v>
      </c>
      <c r="S55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36.093537841529269</v>
      </c>
      <c r="T557" s="6">
        <v>2022</v>
      </c>
    </row>
    <row r="558" spans="1:20" x14ac:dyDescent="0.25">
      <c r="A558" s="6" t="s">
        <v>1118</v>
      </c>
      <c r="B558" s="6" t="s">
        <v>1318</v>
      </c>
      <c r="C55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58" s="6">
        <v>205</v>
      </c>
      <c r="E558" s="6">
        <v>8</v>
      </c>
      <c r="F558" s="6">
        <v>16</v>
      </c>
      <c r="G558" s="6">
        <v>64</v>
      </c>
      <c r="H558" s="6">
        <v>8</v>
      </c>
      <c r="I558" s="6">
        <v>2</v>
      </c>
      <c r="J558" s="6" t="s">
        <v>2410</v>
      </c>
      <c r="K558" s="6" t="s">
        <v>2438</v>
      </c>
      <c r="L558" s="6">
        <v>67</v>
      </c>
      <c r="M558" s="6">
        <v>5000</v>
      </c>
      <c r="N558" s="6">
        <v>6.59</v>
      </c>
      <c r="O558" s="6">
        <v>249</v>
      </c>
      <c r="P558" s="6" t="s">
        <v>2368</v>
      </c>
      <c r="Q558" s="6">
        <f>Table2_1[[#This Row],[Specs Score]] / (Table2_1[[#This Row],[Launched Price (USA)]] ^ 0.85)</f>
        <v>0.35871433178511408</v>
      </c>
      <c r="R558" s="6">
        <f>IFERROR(Table2_1[[#This Row],[Launched Price (USA)]] / S558, "")</f>
        <v>6.3779509299519432</v>
      </c>
      <c r="S55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39.040751917775601</v>
      </c>
      <c r="T558" s="6">
        <v>2022</v>
      </c>
    </row>
    <row r="559" spans="1:20" x14ac:dyDescent="0.25">
      <c r="A559" s="6" t="s">
        <v>1118</v>
      </c>
      <c r="B559" s="6" t="s">
        <v>1320</v>
      </c>
      <c r="C55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59" s="6">
        <v>194</v>
      </c>
      <c r="E559" s="6">
        <v>6</v>
      </c>
      <c r="F559" s="6">
        <v>16</v>
      </c>
      <c r="G559" s="6">
        <v>64</v>
      </c>
      <c r="H559" s="6">
        <v>2</v>
      </c>
      <c r="I559" s="6">
        <v>2</v>
      </c>
      <c r="J559" s="6" t="s">
        <v>2377</v>
      </c>
      <c r="K559" s="6" t="s">
        <v>2438</v>
      </c>
      <c r="L559" s="6">
        <v>25</v>
      </c>
      <c r="M559" s="6">
        <v>5000</v>
      </c>
      <c r="N559" s="6">
        <v>6.5</v>
      </c>
      <c r="O559" s="6">
        <v>199</v>
      </c>
      <c r="P559" s="6" t="s">
        <v>2368</v>
      </c>
      <c r="Q559" s="6">
        <f>Table2_1[[#This Row],[Specs Score]] / (Table2_1[[#This Row],[Launched Price (USA)]] ^ 0.85)</f>
        <v>0.29282366754800088</v>
      </c>
      <c r="R559" s="6">
        <f>IFERROR(Table2_1[[#This Row],[Launched Price (USA)]] / S559, "")</f>
        <v>7.5547793696915368</v>
      </c>
      <c r="S55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26.340941311715</v>
      </c>
      <c r="T559" s="6">
        <v>2021</v>
      </c>
    </row>
    <row r="560" spans="1:20" x14ac:dyDescent="0.25">
      <c r="A560" s="6" t="s">
        <v>1118</v>
      </c>
      <c r="B560" s="6" t="s">
        <v>1321</v>
      </c>
      <c r="C56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60" s="6">
        <v>194</v>
      </c>
      <c r="E560" s="6">
        <v>8</v>
      </c>
      <c r="F560" s="6">
        <v>16</v>
      </c>
      <c r="G560" s="6">
        <v>64</v>
      </c>
      <c r="H560" s="6">
        <v>2</v>
      </c>
      <c r="I560" s="6">
        <v>2</v>
      </c>
      <c r="J560" s="6" t="s">
        <v>2377</v>
      </c>
      <c r="K560" s="6" t="s">
        <v>2438</v>
      </c>
      <c r="L560" s="6">
        <v>25</v>
      </c>
      <c r="M560" s="6">
        <v>5000</v>
      </c>
      <c r="N560" s="6">
        <v>6.5</v>
      </c>
      <c r="O560" s="6">
        <v>229</v>
      </c>
      <c r="P560" s="6" t="s">
        <v>2368</v>
      </c>
      <c r="Q560" s="6">
        <f>Table2_1[[#This Row],[Specs Score]] / (Table2_1[[#This Row],[Launched Price (USA)]] ^ 0.85)</f>
        <v>0.31780176456369652</v>
      </c>
      <c r="R560" s="6">
        <f>IFERROR(Table2_1[[#This Row],[Launched Price (USA)]] / S560, "")</f>
        <v>7.1091719406816125</v>
      </c>
      <c r="S56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32.21190905365048</v>
      </c>
      <c r="T560" s="6">
        <v>2021</v>
      </c>
    </row>
    <row r="561" spans="1:20" x14ac:dyDescent="0.25">
      <c r="A561" s="6" t="s">
        <v>1118</v>
      </c>
      <c r="B561" s="6" t="s">
        <v>1322</v>
      </c>
      <c r="C56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61" s="6">
        <v>180</v>
      </c>
      <c r="E561" s="6">
        <v>8</v>
      </c>
      <c r="F561" s="6">
        <v>16</v>
      </c>
      <c r="G561" s="6">
        <v>64</v>
      </c>
      <c r="H561" s="6">
        <v>8</v>
      </c>
      <c r="I561" s="6">
        <v>2</v>
      </c>
      <c r="J561" s="6" t="s">
        <v>911</v>
      </c>
      <c r="K561" s="6" t="s">
        <v>2438</v>
      </c>
      <c r="L561" s="6">
        <v>38</v>
      </c>
      <c r="M561" s="6">
        <v>4500</v>
      </c>
      <c r="N561" s="6">
        <v>6.43</v>
      </c>
      <c r="O561" s="6">
        <v>299</v>
      </c>
      <c r="P561" s="6" t="s">
        <v>2368</v>
      </c>
      <c r="Q561" s="6">
        <f>Table2_1[[#This Row],[Specs Score]] / (Table2_1[[#This Row],[Launched Price (USA)]] ^ 0.85)</f>
        <v>0.24172506606790864</v>
      </c>
      <c r="R561" s="6">
        <f>IFERROR(Table2_1[[#This Row],[Launched Price (USA)]] / S561, "")</f>
        <v>9.7281216015273397</v>
      </c>
      <c r="S56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30.735635536572268</v>
      </c>
      <c r="T561" s="6">
        <v>2021</v>
      </c>
    </row>
    <row r="562" spans="1:20" x14ac:dyDescent="0.25">
      <c r="A562" s="6" t="s">
        <v>1118</v>
      </c>
      <c r="B562" s="6" t="s">
        <v>1324</v>
      </c>
      <c r="C56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62" s="6">
        <v>180</v>
      </c>
      <c r="E562" s="6">
        <v>12</v>
      </c>
      <c r="F562" s="6">
        <v>16</v>
      </c>
      <c r="G562" s="6">
        <v>64</v>
      </c>
      <c r="H562" s="6">
        <v>8</v>
      </c>
      <c r="I562" s="6">
        <v>2</v>
      </c>
      <c r="J562" s="6" t="s">
        <v>911</v>
      </c>
      <c r="K562" s="6" t="s">
        <v>2438</v>
      </c>
      <c r="L562" s="6">
        <v>38</v>
      </c>
      <c r="M562" s="6">
        <v>4500</v>
      </c>
      <c r="N562" s="6">
        <v>6.43</v>
      </c>
      <c r="O562" s="6">
        <v>329</v>
      </c>
      <c r="P562" s="6" t="s">
        <v>2368</v>
      </c>
      <c r="Q562" s="6">
        <f>Table2_1[[#This Row],[Specs Score]] / (Table2_1[[#This Row],[Launched Price (USA)]] ^ 0.85)</f>
        <v>0.2799271867593483</v>
      </c>
      <c r="R562" s="6">
        <f>IFERROR(Table2_1[[#This Row],[Launched Price (USA)]] / S562, "")</f>
        <v>8.521858233074699</v>
      </c>
      <c r="S56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38.606603278507755</v>
      </c>
      <c r="T562" s="6">
        <v>2021</v>
      </c>
    </row>
    <row r="563" spans="1:20" x14ac:dyDescent="0.25">
      <c r="A563" s="6" t="s">
        <v>1118</v>
      </c>
      <c r="B563" s="6" t="s">
        <v>1326</v>
      </c>
      <c r="C56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63" s="6">
        <v>172</v>
      </c>
      <c r="E563" s="6">
        <v>8</v>
      </c>
      <c r="F563" s="6">
        <v>32</v>
      </c>
      <c r="G563" s="6">
        <v>64</v>
      </c>
      <c r="H563" s="6">
        <v>8</v>
      </c>
      <c r="I563" s="6">
        <v>2</v>
      </c>
      <c r="J563" s="6" t="s">
        <v>2411</v>
      </c>
      <c r="K563" s="6" t="s">
        <v>2438</v>
      </c>
      <c r="L563" s="6">
        <v>55</v>
      </c>
      <c r="M563" s="6">
        <v>4300</v>
      </c>
      <c r="N563" s="6">
        <v>6.43</v>
      </c>
      <c r="O563" s="6">
        <v>279</v>
      </c>
      <c r="P563" s="6" t="s">
        <v>2368</v>
      </c>
      <c r="Q563" s="6">
        <f>Table2_1[[#This Row],[Specs Score]] / (Table2_1[[#This Row],[Launched Price (USA)]] ^ 0.85)</f>
        <v>0.31247619407193461</v>
      </c>
      <c r="R563" s="6">
        <f>IFERROR(Table2_1[[#This Row],[Launched Price (USA)]] / S563, "")</f>
        <v>7.4477260599688977</v>
      </c>
      <c r="S56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37.461098562634987</v>
      </c>
      <c r="T563" s="6">
        <v>2021</v>
      </c>
    </row>
    <row r="564" spans="1:20" x14ac:dyDescent="0.25">
      <c r="A564" s="6" t="s">
        <v>1118</v>
      </c>
      <c r="B564" s="6" t="s">
        <v>1329</v>
      </c>
      <c r="C56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64" s="6">
        <v>172</v>
      </c>
      <c r="E564" s="6">
        <v>8</v>
      </c>
      <c r="F564" s="6">
        <v>32</v>
      </c>
      <c r="G564" s="6">
        <v>64</v>
      </c>
      <c r="H564" s="6">
        <v>8</v>
      </c>
      <c r="I564" s="6">
        <v>2</v>
      </c>
      <c r="J564" s="6" t="s">
        <v>2411</v>
      </c>
      <c r="K564" s="6" t="s">
        <v>2438</v>
      </c>
      <c r="L564" s="6">
        <v>55</v>
      </c>
      <c r="M564" s="6">
        <v>4300</v>
      </c>
      <c r="N564" s="6">
        <v>6.43</v>
      </c>
      <c r="O564" s="6">
        <v>299</v>
      </c>
      <c r="P564" s="6" t="s">
        <v>2368</v>
      </c>
      <c r="Q564" s="6">
        <f>Table2_1[[#This Row],[Specs Score]] / (Table2_1[[#This Row],[Launched Price (USA)]] ^ 0.85)</f>
        <v>0.32506230256105206</v>
      </c>
      <c r="R564" s="6">
        <f>IFERROR(Table2_1[[#This Row],[Launched Price (USA)]] / S564, "")</f>
        <v>7.2340927210536474</v>
      </c>
      <c r="S56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41.332066304570475</v>
      </c>
      <c r="T564" s="6">
        <v>2021</v>
      </c>
    </row>
    <row r="565" spans="1:20" x14ac:dyDescent="0.25">
      <c r="A565" s="6" t="s">
        <v>1118</v>
      </c>
      <c r="B565" s="6" t="s">
        <v>1331</v>
      </c>
      <c r="C56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65" s="6">
        <v>180</v>
      </c>
      <c r="E565" s="6">
        <v>8</v>
      </c>
      <c r="F565" s="6">
        <v>32</v>
      </c>
      <c r="G565" s="6">
        <v>48</v>
      </c>
      <c r="H565" s="6">
        <v>8</v>
      </c>
      <c r="I565" s="6">
        <v>2</v>
      </c>
      <c r="J565" s="6" t="s">
        <v>821</v>
      </c>
      <c r="K565" s="6" t="s">
        <v>2438</v>
      </c>
      <c r="L565" s="6">
        <v>52</v>
      </c>
      <c r="M565" s="6">
        <v>4025</v>
      </c>
      <c r="N565" s="6">
        <v>6.4</v>
      </c>
      <c r="O565" s="6">
        <v>279</v>
      </c>
      <c r="P565" s="6" t="s">
        <v>2368</v>
      </c>
      <c r="Q565" s="6">
        <f>Table2_1[[#This Row],[Specs Score]] / (Table2_1[[#This Row],[Launched Price (USA)]] ^ 0.85)</f>
        <v>0.29531212697827997</v>
      </c>
      <c r="R565" s="6">
        <f>IFERROR(Table2_1[[#This Row],[Launched Price (USA)]] / S565, "")</f>
        <v>7.8806011711148347</v>
      </c>
      <c r="S56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35.403390419329021</v>
      </c>
      <c r="T565" s="6">
        <v>2020</v>
      </c>
    </row>
    <row r="566" spans="1:20" x14ac:dyDescent="0.25">
      <c r="A566" s="6" t="s">
        <v>1118</v>
      </c>
      <c r="B566" s="6" t="s">
        <v>1332</v>
      </c>
      <c r="C56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66" s="6">
        <v>180</v>
      </c>
      <c r="E566" s="6">
        <v>8</v>
      </c>
      <c r="F566" s="6">
        <v>32</v>
      </c>
      <c r="G566" s="6">
        <v>48</v>
      </c>
      <c r="H566" s="6">
        <v>8</v>
      </c>
      <c r="I566" s="6">
        <v>2</v>
      </c>
      <c r="J566" s="6" t="s">
        <v>821</v>
      </c>
      <c r="K566" s="6" t="s">
        <v>2438</v>
      </c>
      <c r="L566" s="6">
        <v>52</v>
      </c>
      <c r="M566" s="6">
        <v>4025</v>
      </c>
      <c r="N566" s="6">
        <v>6.4</v>
      </c>
      <c r="O566" s="6">
        <v>299</v>
      </c>
      <c r="P566" s="6" t="s">
        <v>2368</v>
      </c>
      <c r="Q566" s="6">
        <f>Table2_1[[#This Row],[Specs Score]] / (Table2_1[[#This Row],[Launched Price (USA)]] ^ 0.85)</f>
        <v>0.30887914486134371</v>
      </c>
      <c r="R566" s="6">
        <f>IFERROR(Table2_1[[#This Row],[Launched Price (USA)]] / S566, "")</f>
        <v>7.6131097743793967</v>
      </c>
      <c r="S56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39.274358161264502</v>
      </c>
      <c r="T566" s="6">
        <v>2020</v>
      </c>
    </row>
    <row r="567" spans="1:20" x14ac:dyDescent="0.25">
      <c r="A567" s="6" t="s">
        <v>1118</v>
      </c>
      <c r="B567" s="6" t="s">
        <v>1309</v>
      </c>
      <c r="C56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67" s="6">
        <v>195</v>
      </c>
      <c r="E567" s="6">
        <v>8</v>
      </c>
      <c r="F567" s="6">
        <v>16</v>
      </c>
      <c r="G567" s="6">
        <v>108</v>
      </c>
      <c r="H567" s="6">
        <v>2</v>
      </c>
      <c r="I567" s="6"/>
      <c r="J567" s="6" t="s">
        <v>680</v>
      </c>
      <c r="K567" s="6" t="s">
        <v>2438</v>
      </c>
      <c r="L567" s="6">
        <v>40</v>
      </c>
      <c r="M567" s="6">
        <v>5000</v>
      </c>
      <c r="N567" s="6">
        <v>6.72</v>
      </c>
      <c r="O567" s="6">
        <v>199</v>
      </c>
      <c r="P567" s="6" t="s">
        <v>2368</v>
      </c>
      <c r="Q567" s="6">
        <f>Table2_1[[#This Row],[Specs Score]] / (Table2_1[[#This Row],[Launched Price (USA)]] ^ 0.85)</f>
        <v>0.38479698072267232</v>
      </c>
      <c r="R567" s="6">
        <f>IFERROR(Table2_1[[#This Row],[Launched Price (USA)]] / S567, "")</f>
        <v>5.7490529119910683</v>
      </c>
      <c r="S56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34.614397022670708</v>
      </c>
      <c r="T567" s="6">
        <v>2023</v>
      </c>
    </row>
    <row r="568" spans="1:20" x14ac:dyDescent="0.25">
      <c r="A568" s="6" t="s">
        <v>1118</v>
      </c>
      <c r="B568" s="6" t="s">
        <v>1312</v>
      </c>
      <c r="C56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68" s="6">
        <v>195</v>
      </c>
      <c r="E568" s="6">
        <v>12</v>
      </c>
      <c r="F568" s="6">
        <v>16</v>
      </c>
      <c r="G568" s="6">
        <v>108</v>
      </c>
      <c r="H568" s="6">
        <v>2</v>
      </c>
      <c r="I568" s="6"/>
      <c r="J568" s="6" t="s">
        <v>680</v>
      </c>
      <c r="K568" s="6" t="s">
        <v>2438</v>
      </c>
      <c r="L568" s="6">
        <v>40</v>
      </c>
      <c r="M568" s="6">
        <v>5000</v>
      </c>
      <c r="N568" s="6">
        <v>6.72</v>
      </c>
      <c r="O568" s="6">
        <v>229</v>
      </c>
      <c r="P568" s="6" t="s">
        <v>2368</v>
      </c>
      <c r="Q568" s="6">
        <f>Table2_1[[#This Row],[Specs Score]] / (Table2_1[[#This Row],[Launched Price (USA)]] ^ 0.85)</f>
        <v>0.41915938194895697</v>
      </c>
      <c r="R568" s="6">
        <f>IFERROR(Table2_1[[#This Row],[Launched Price (USA)]] / S568, "")</f>
        <v>5.3900914178045571</v>
      </c>
      <c r="S56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42.485364764606196</v>
      </c>
      <c r="T568" s="6">
        <v>2023</v>
      </c>
    </row>
    <row r="569" spans="1:20" x14ac:dyDescent="0.25">
      <c r="A569" s="6" t="s">
        <v>1118</v>
      </c>
      <c r="B569" s="6" t="s">
        <v>1333</v>
      </c>
      <c r="C56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69" s="6">
        <v>184</v>
      </c>
      <c r="E569" s="6">
        <v>8</v>
      </c>
      <c r="F569" s="6">
        <v>16</v>
      </c>
      <c r="G569" s="6">
        <v>64</v>
      </c>
      <c r="H569" s="6">
        <v>8</v>
      </c>
      <c r="I569" s="6">
        <v>2</v>
      </c>
      <c r="J569" s="6" t="s">
        <v>749</v>
      </c>
      <c r="K569" s="6" t="s">
        <v>2438</v>
      </c>
      <c r="L569" s="6">
        <v>65</v>
      </c>
      <c r="M569" s="6">
        <v>5000</v>
      </c>
      <c r="N569" s="6">
        <v>6.7</v>
      </c>
      <c r="O569" s="6">
        <v>259</v>
      </c>
      <c r="P569" s="6" t="s">
        <v>2368</v>
      </c>
      <c r="Q569" s="6">
        <f>Table2_1[[#This Row],[Specs Score]] / (Table2_1[[#This Row],[Launched Price (USA)]] ^ 0.85)</f>
        <v>0.34343764570120688</v>
      </c>
      <c r="R569" s="6">
        <f>IFERROR(Table2_1[[#This Row],[Launched Price (USA)]] / S569, "")</f>
        <v>6.7011149258457365</v>
      </c>
      <c r="S56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38.650284746058439</v>
      </c>
      <c r="T569" s="6">
        <v>2023</v>
      </c>
    </row>
    <row r="570" spans="1:20" x14ac:dyDescent="0.25">
      <c r="A570" s="6" t="s">
        <v>1118</v>
      </c>
      <c r="B570" s="6" t="s">
        <v>1336</v>
      </c>
      <c r="C57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70" s="6">
        <v>184</v>
      </c>
      <c r="E570" s="6">
        <v>12</v>
      </c>
      <c r="F570" s="6">
        <v>16</v>
      </c>
      <c r="G570" s="6">
        <v>64</v>
      </c>
      <c r="H570" s="6">
        <v>8</v>
      </c>
      <c r="I570" s="6">
        <v>2</v>
      </c>
      <c r="J570" s="6" t="s">
        <v>749</v>
      </c>
      <c r="K570" s="6" t="s">
        <v>2438</v>
      </c>
      <c r="L570" s="6">
        <v>65</v>
      </c>
      <c r="M570" s="6">
        <v>5000</v>
      </c>
      <c r="N570" s="6">
        <v>6.7</v>
      </c>
      <c r="O570" s="6">
        <v>299</v>
      </c>
      <c r="P570" s="6" t="s">
        <v>2368</v>
      </c>
      <c r="Q570" s="6">
        <f>Table2_1[[#This Row],[Specs Score]] / (Table2_1[[#This Row],[Launched Price (USA)]] ^ 0.85)</f>
        <v>0.36587344412778988</v>
      </c>
      <c r="R570" s="6">
        <f>IFERROR(Table2_1[[#This Row],[Launched Price (USA)]] / S570, "")</f>
        <v>6.4271700353975891</v>
      </c>
      <c r="S57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46.521252487993912</v>
      </c>
      <c r="T570" s="6">
        <v>2023</v>
      </c>
    </row>
    <row r="571" spans="1:20" x14ac:dyDescent="0.25">
      <c r="A571" s="6" t="s">
        <v>1118</v>
      </c>
      <c r="B571" s="6" t="s">
        <v>1314</v>
      </c>
      <c r="C57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71" s="6">
        <v>195</v>
      </c>
      <c r="E571" s="6">
        <v>6</v>
      </c>
      <c r="F571" s="6">
        <v>16</v>
      </c>
      <c r="G571" s="6">
        <v>64</v>
      </c>
      <c r="H571" s="6">
        <v>2</v>
      </c>
      <c r="I571" s="6">
        <v>2</v>
      </c>
      <c r="J571" s="6" t="s">
        <v>680</v>
      </c>
      <c r="K571" s="6" t="s">
        <v>2438</v>
      </c>
      <c r="L571" s="6">
        <v>40</v>
      </c>
      <c r="M571" s="6">
        <v>5000</v>
      </c>
      <c r="N571" s="6">
        <v>6.59</v>
      </c>
      <c r="O571" s="6">
        <v>199</v>
      </c>
      <c r="P571" s="6" t="s">
        <v>2368</v>
      </c>
      <c r="Q571" s="6">
        <f>Table2_1[[#This Row],[Specs Score]] / (Table2_1[[#This Row],[Launched Price (USA)]] ^ 0.85)</f>
        <v>0.33597447086500515</v>
      </c>
      <c r="R571" s="6">
        <f>IFERROR(Table2_1[[#This Row],[Launched Price (USA)]] / S571, "")</f>
        <v>6.5844830318608389</v>
      </c>
      <c r="S57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30.222570099593781</v>
      </c>
      <c r="T571" s="6">
        <v>2022</v>
      </c>
    </row>
    <row r="572" spans="1:20" x14ac:dyDescent="0.25">
      <c r="A572" s="6" t="s">
        <v>1118</v>
      </c>
      <c r="B572" s="6" t="s">
        <v>1317</v>
      </c>
      <c r="C57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72" s="6">
        <v>195</v>
      </c>
      <c r="E572" s="6">
        <v>8</v>
      </c>
      <c r="F572" s="6">
        <v>16</v>
      </c>
      <c r="G572" s="6">
        <v>64</v>
      </c>
      <c r="H572" s="6">
        <v>2</v>
      </c>
      <c r="I572" s="6">
        <v>2</v>
      </c>
      <c r="J572" s="6" t="s">
        <v>680</v>
      </c>
      <c r="K572" s="6" t="s">
        <v>2438</v>
      </c>
      <c r="L572" s="6">
        <v>40</v>
      </c>
      <c r="M572" s="6">
        <v>5000</v>
      </c>
      <c r="N572" s="6">
        <v>6.59</v>
      </c>
      <c r="O572" s="6">
        <v>229</v>
      </c>
      <c r="P572" s="6" t="s">
        <v>2368</v>
      </c>
      <c r="Q572" s="6">
        <f>Table2_1[[#This Row],[Specs Score]] / (Table2_1[[#This Row],[Launched Price (USA)]] ^ 0.85)</f>
        <v>0.35609780209796754</v>
      </c>
      <c r="R572" s="6">
        <f>IFERROR(Table2_1[[#This Row],[Launched Price (USA)]] / S572, "")</f>
        <v>6.3446260381965747</v>
      </c>
      <c r="S57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36.093537841529269</v>
      </c>
      <c r="T572" s="6">
        <v>2022</v>
      </c>
    </row>
    <row r="573" spans="1:20" x14ac:dyDescent="0.25">
      <c r="A573" s="6" t="s">
        <v>1118</v>
      </c>
      <c r="B573" s="6" t="s">
        <v>1318</v>
      </c>
      <c r="C57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73" s="6">
        <v>205</v>
      </c>
      <c r="E573" s="6">
        <v>8</v>
      </c>
      <c r="F573" s="6">
        <v>16</v>
      </c>
      <c r="G573" s="6">
        <v>64</v>
      </c>
      <c r="H573" s="6">
        <v>8</v>
      </c>
      <c r="I573" s="6">
        <v>2</v>
      </c>
      <c r="J573" s="6" t="s">
        <v>2410</v>
      </c>
      <c r="K573" s="6" t="s">
        <v>2438</v>
      </c>
      <c r="L573" s="6">
        <v>67</v>
      </c>
      <c r="M573" s="6">
        <v>5000</v>
      </c>
      <c r="N573" s="6">
        <v>6.59</v>
      </c>
      <c r="O573" s="6">
        <v>249</v>
      </c>
      <c r="P573" s="6" t="s">
        <v>2368</v>
      </c>
      <c r="Q573" s="6">
        <f>Table2_1[[#This Row],[Specs Score]] / (Table2_1[[#This Row],[Launched Price (USA)]] ^ 0.85)</f>
        <v>0.35871433178511408</v>
      </c>
      <c r="R573" s="6">
        <f>IFERROR(Table2_1[[#This Row],[Launched Price (USA)]] / S573, "")</f>
        <v>6.3779509299519432</v>
      </c>
      <c r="S57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39.040751917775601</v>
      </c>
      <c r="T573" s="6">
        <v>2022</v>
      </c>
    </row>
    <row r="574" spans="1:20" x14ac:dyDescent="0.25">
      <c r="A574" s="6" t="s">
        <v>1118</v>
      </c>
      <c r="B574" s="6" t="s">
        <v>1337</v>
      </c>
      <c r="C57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74" s="6">
        <v>205</v>
      </c>
      <c r="E574" s="6">
        <v>12</v>
      </c>
      <c r="F574" s="6">
        <v>16</v>
      </c>
      <c r="G574" s="6">
        <v>64</v>
      </c>
      <c r="H574" s="6">
        <v>8</v>
      </c>
      <c r="I574" s="6">
        <v>2</v>
      </c>
      <c r="J574" s="6" t="s">
        <v>2410</v>
      </c>
      <c r="K574" s="6" t="s">
        <v>2438</v>
      </c>
      <c r="L574" s="6">
        <v>67</v>
      </c>
      <c r="M574" s="6">
        <v>5000</v>
      </c>
      <c r="N574" s="6">
        <v>6.59</v>
      </c>
      <c r="O574" s="6">
        <v>279</v>
      </c>
      <c r="P574" s="6" t="s">
        <v>2368</v>
      </c>
      <c r="Q574" s="6">
        <f>Table2_1[[#This Row],[Specs Score]] / (Table2_1[[#This Row],[Launched Price (USA)]] ^ 0.85)</f>
        <v>0.39130714738988642</v>
      </c>
      <c r="R574" s="6">
        <f>IFERROR(Table2_1[[#This Row],[Launched Price (USA)]] / S574, "")</f>
        <v>5.9473411340239544</v>
      </c>
      <c r="S57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46.911719659711089</v>
      </c>
      <c r="T574" s="6">
        <v>2022</v>
      </c>
    </row>
    <row r="575" spans="1:20" x14ac:dyDescent="0.25">
      <c r="A575" s="6" t="s">
        <v>1118</v>
      </c>
      <c r="B575" s="6" t="s">
        <v>1320</v>
      </c>
      <c r="C57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75" s="6">
        <v>194</v>
      </c>
      <c r="E575" s="6">
        <v>6</v>
      </c>
      <c r="F575" s="6">
        <v>16</v>
      </c>
      <c r="G575" s="6">
        <v>64</v>
      </c>
      <c r="H575" s="6">
        <v>2</v>
      </c>
      <c r="I575" s="6">
        <v>2</v>
      </c>
      <c r="J575" s="6" t="s">
        <v>2377</v>
      </c>
      <c r="K575" s="6" t="s">
        <v>2438</v>
      </c>
      <c r="L575" s="6">
        <v>25</v>
      </c>
      <c r="M575" s="6">
        <v>5000</v>
      </c>
      <c r="N575" s="6">
        <v>6.5</v>
      </c>
      <c r="O575" s="6">
        <v>199</v>
      </c>
      <c r="P575" s="6" t="s">
        <v>2368</v>
      </c>
      <c r="Q575" s="6">
        <f>Table2_1[[#This Row],[Specs Score]] / (Table2_1[[#This Row],[Launched Price (USA)]] ^ 0.85)</f>
        <v>0.29282366754800088</v>
      </c>
      <c r="R575" s="6">
        <f>IFERROR(Table2_1[[#This Row],[Launched Price (USA)]] / S575, "")</f>
        <v>7.5547793696915368</v>
      </c>
      <c r="S57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26.340941311715</v>
      </c>
      <c r="T575" s="6">
        <v>2021</v>
      </c>
    </row>
    <row r="576" spans="1:20" x14ac:dyDescent="0.25">
      <c r="A576" s="6" t="s">
        <v>1118</v>
      </c>
      <c r="B576" s="6" t="s">
        <v>1321</v>
      </c>
      <c r="C57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76" s="6">
        <v>194</v>
      </c>
      <c r="E576" s="6">
        <v>8</v>
      </c>
      <c r="F576" s="6">
        <v>16</v>
      </c>
      <c r="G576" s="6">
        <v>64</v>
      </c>
      <c r="H576" s="6">
        <v>2</v>
      </c>
      <c r="I576" s="6">
        <v>2</v>
      </c>
      <c r="J576" s="6" t="s">
        <v>2377</v>
      </c>
      <c r="K576" s="6" t="s">
        <v>2438</v>
      </c>
      <c r="L576" s="6">
        <v>25</v>
      </c>
      <c r="M576" s="6">
        <v>5000</v>
      </c>
      <c r="N576" s="6">
        <v>6.5</v>
      </c>
      <c r="O576" s="6">
        <v>229</v>
      </c>
      <c r="P576" s="6" t="s">
        <v>2368</v>
      </c>
      <c r="Q576" s="6">
        <f>Table2_1[[#This Row],[Specs Score]] / (Table2_1[[#This Row],[Launched Price (USA)]] ^ 0.85)</f>
        <v>0.31780176456369652</v>
      </c>
      <c r="R576" s="6">
        <f>IFERROR(Table2_1[[#This Row],[Launched Price (USA)]] / S576, "")</f>
        <v>7.1091719406816125</v>
      </c>
      <c r="S57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32.21190905365048</v>
      </c>
      <c r="T576" s="6">
        <v>2021</v>
      </c>
    </row>
    <row r="577" spans="1:20" x14ac:dyDescent="0.25">
      <c r="A577" s="6" t="s">
        <v>1118</v>
      </c>
      <c r="B577" s="6" t="s">
        <v>1322</v>
      </c>
      <c r="C57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77" s="6">
        <v>180</v>
      </c>
      <c r="E577" s="6">
        <v>8</v>
      </c>
      <c r="F577" s="6">
        <v>16</v>
      </c>
      <c r="G577" s="6">
        <v>64</v>
      </c>
      <c r="H577" s="6">
        <v>8</v>
      </c>
      <c r="I577" s="6">
        <v>2</v>
      </c>
      <c r="J577" s="6" t="s">
        <v>911</v>
      </c>
      <c r="K577" s="6" t="s">
        <v>2438</v>
      </c>
      <c r="L577" s="6">
        <v>38</v>
      </c>
      <c r="M577" s="6">
        <v>4500</v>
      </c>
      <c r="N577" s="6">
        <v>6.43</v>
      </c>
      <c r="O577" s="6">
        <v>299</v>
      </c>
      <c r="P577" s="6" t="s">
        <v>2368</v>
      </c>
      <c r="Q577" s="6">
        <f>Table2_1[[#This Row],[Specs Score]] / (Table2_1[[#This Row],[Launched Price (USA)]] ^ 0.85)</f>
        <v>0.24172506606790864</v>
      </c>
      <c r="R577" s="6">
        <f>IFERROR(Table2_1[[#This Row],[Launched Price (USA)]] / S577, "")</f>
        <v>9.7281216015273397</v>
      </c>
      <c r="S57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30.735635536572268</v>
      </c>
      <c r="T577" s="6">
        <v>2021</v>
      </c>
    </row>
    <row r="578" spans="1:20" x14ac:dyDescent="0.25">
      <c r="A578" s="6" t="s">
        <v>1118</v>
      </c>
      <c r="B578" s="6" t="s">
        <v>1324</v>
      </c>
      <c r="C57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78" s="6">
        <v>180</v>
      </c>
      <c r="E578" s="6">
        <v>12</v>
      </c>
      <c r="F578" s="6">
        <v>16</v>
      </c>
      <c r="G578" s="6">
        <v>64</v>
      </c>
      <c r="H578" s="6">
        <v>8</v>
      </c>
      <c r="I578" s="6">
        <v>2</v>
      </c>
      <c r="J578" s="6" t="s">
        <v>911</v>
      </c>
      <c r="K578" s="6" t="s">
        <v>2438</v>
      </c>
      <c r="L578" s="6">
        <v>38</v>
      </c>
      <c r="M578" s="6">
        <v>4500</v>
      </c>
      <c r="N578" s="6">
        <v>6.43</v>
      </c>
      <c r="O578" s="6">
        <v>329</v>
      </c>
      <c r="P578" s="6" t="s">
        <v>2368</v>
      </c>
      <c r="Q578" s="6">
        <f>Table2_1[[#This Row],[Specs Score]] / (Table2_1[[#This Row],[Launched Price (USA)]] ^ 0.85)</f>
        <v>0.2799271867593483</v>
      </c>
      <c r="R578" s="6">
        <f>IFERROR(Table2_1[[#This Row],[Launched Price (USA)]] / S578, "")</f>
        <v>8.521858233074699</v>
      </c>
      <c r="S57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38.606603278507755</v>
      </c>
      <c r="T578" s="6">
        <v>2021</v>
      </c>
    </row>
    <row r="579" spans="1:20" x14ac:dyDescent="0.25">
      <c r="A579" s="6" t="s">
        <v>1118</v>
      </c>
      <c r="B579" s="6" t="s">
        <v>1326</v>
      </c>
      <c r="C57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79" s="6">
        <v>172</v>
      </c>
      <c r="E579" s="6">
        <v>8</v>
      </c>
      <c r="F579" s="6">
        <v>32</v>
      </c>
      <c r="G579" s="6">
        <v>64</v>
      </c>
      <c r="H579" s="6">
        <v>8</v>
      </c>
      <c r="I579" s="6">
        <v>2</v>
      </c>
      <c r="J579" s="6" t="s">
        <v>2411</v>
      </c>
      <c r="K579" s="6" t="s">
        <v>2438</v>
      </c>
      <c r="L579" s="6">
        <v>55</v>
      </c>
      <c r="M579" s="6">
        <v>4300</v>
      </c>
      <c r="N579" s="6">
        <v>6.43</v>
      </c>
      <c r="O579" s="6">
        <v>279</v>
      </c>
      <c r="P579" s="6" t="s">
        <v>2368</v>
      </c>
      <c r="Q579" s="6">
        <f>Table2_1[[#This Row],[Specs Score]] / (Table2_1[[#This Row],[Launched Price (USA)]] ^ 0.85)</f>
        <v>0.31247619407193461</v>
      </c>
      <c r="R579" s="6">
        <f>IFERROR(Table2_1[[#This Row],[Launched Price (USA)]] / S579, "")</f>
        <v>7.4477260599688977</v>
      </c>
      <c r="S57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37.461098562634987</v>
      </c>
      <c r="T579" s="6">
        <v>2021</v>
      </c>
    </row>
    <row r="580" spans="1:20" x14ac:dyDescent="0.25">
      <c r="A580" s="6" t="s">
        <v>1118</v>
      </c>
      <c r="B580" s="6" t="s">
        <v>1329</v>
      </c>
      <c r="C58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80" s="6">
        <v>172</v>
      </c>
      <c r="E580" s="6">
        <v>8</v>
      </c>
      <c r="F580" s="6">
        <v>32</v>
      </c>
      <c r="G580" s="6">
        <v>64</v>
      </c>
      <c r="H580" s="6">
        <v>8</v>
      </c>
      <c r="I580" s="6">
        <v>2</v>
      </c>
      <c r="J580" s="6" t="s">
        <v>2411</v>
      </c>
      <c r="K580" s="6" t="s">
        <v>2438</v>
      </c>
      <c r="L580" s="6">
        <v>55</v>
      </c>
      <c r="M580" s="6">
        <v>4300</v>
      </c>
      <c r="N580" s="6">
        <v>6.43</v>
      </c>
      <c r="O580" s="6">
        <v>299</v>
      </c>
      <c r="P580" s="6" t="s">
        <v>2368</v>
      </c>
      <c r="Q580" s="6">
        <f>Table2_1[[#This Row],[Specs Score]] / (Table2_1[[#This Row],[Launched Price (USA)]] ^ 0.85)</f>
        <v>0.32506230256105206</v>
      </c>
      <c r="R580" s="6">
        <f>IFERROR(Table2_1[[#This Row],[Launched Price (USA)]] / S580, "")</f>
        <v>7.2340927210536474</v>
      </c>
      <c r="S58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41.332066304570475</v>
      </c>
      <c r="T580" s="6">
        <v>2021</v>
      </c>
    </row>
    <row r="581" spans="1:20" x14ac:dyDescent="0.25">
      <c r="A581" s="6" t="s">
        <v>1118</v>
      </c>
      <c r="B581" s="6" t="s">
        <v>1331</v>
      </c>
      <c r="C58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81" s="6">
        <v>180</v>
      </c>
      <c r="E581" s="6">
        <v>8</v>
      </c>
      <c r="F581" s="6">
        <v>32</v>
      </c>
      <c r="G581" s="6">
        <v>48</v>
      </c>
      <c r="H581" s="6">
        <v>8</v>
      </c>
      <c r="I581" s="6">
        <v>2</v>
      </c>
      <c r="J581" s="6" t="s">
        <v>821</v>
      </c>
      <c r="K581" s="6" t="s">
        <v>2438</v>
      </c>
      <c r="L581" s="6">
        <v>52</v>
      </c>
      <c r="M581" s="6">
        <v>4025</v>
      </c>
      <c r="N581" s="6">
        <v>6.4</v>
      </c>
      <c r="O581" s="6">
        <v>279</v>
      </c>
      <c r="P581" s="6" t="s">
        <v>2368</v>
      </c>
      <c r="Q581" s="6">
        <f>Table2_1[[#This Row],[Specs Score]] / (Table2_1[[#This Row],[Launched Price (USA)]] ^ 0.85)</f>
        <v>0.29531212697827997</v>
      </c>
      <c r="R581" s="6">
        <f>IFERROR(Table2_1[[#This Row],[Launched Price (USA)]] / S581, "")</f>
        <v>7.8806011711148347</v>
      </c>
      <c r="S58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35.403390419329021</v>
      </c>
      <c r="T581" s="6">
        <v>2020</v>
      </c>
    </row>
    <row r="582" spans="1:20" x14ac:dyDescent="0.25">
      <c r="A582" s="6" t="s">
        <v>2291</v>
      </c>
      <c r="B582" s="6" t="s">
        <v>2298</v>
      </c>
      <c r="C582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582" s="6">
        <v>198</v>
      </c>
      <c r="E582" s="6">
        <v>4</v>
      </c>
      <c r="F582" s="6">
        <v>8</v>
      </c>
      <c r="G582" s="6">
        <v>48</v>
      </c>
      <c r="H582" s="6"/>
      <c r="I582" s="6"/>
      <c r="J582" s="6" t="s">
        <v>1623</v>
      </c>
      <c r="K582" s="6" t="s">
        <v>2439</v>
      </c>
      <c r="L582" s="6">
        <v>20</v>
      </c>
      <c r="M582" s="6">
        <v>6000</v>
      </c>
      <c r="N582" s="6">
        <v>6.53</v>
      </c>
      <c r="O582" s="6">
        <v>149</v>
      </c>
      <c r="P582" s="6" t="s">
        <v>2368</v>
      </c>
      <c r="Q582" s="6">
        <f>Table2_1[[#This Row],[Specs Score]] / (Table2_1[[#This Row],[Launched Price (USA)]] ^ 0.85)</f>
        <v>0.29292592881611168</v>
      </c>
      <c r="R582" s="6">
        <f>IFERROR(Table2_1[[#This Row],[Launched Price (USA)]] / S582, "")</f>
        <v>7.2313623638854638</v>
      </c>
      <c r="S58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20.60469279538928</v>
      </c>
      <c r="T582" s="6">
        <v>2020</v>
      </c>
    </row>
    <row r="583" spans="1:20" x14ac:dyDescent="0.25">
      <c r="A583" s="6" t="s">
        <v>2291</v>
      </c>
      <c r="B583" s="6" t="s">
        <v>2302</v>
      </c>
      <c r="C583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583" s="6">
        <v>190</v>
      </c>
      <c r="E583" s="6">
        <v>4</v>
      </c>
      <c r="F583" s="6">
        <v>8</v>
      </c>
      <c r="G583" s="6">
        <v>48</v>
      </c>
      <c r="H583" s="6"/>
      <c r="I583" s="6"/>
      <c r="J583" s="6" t="s">
        <v>2373</v>
      </c>
      <c r="K583" s="6" t="s">
        <v>2439</v>
      </c>
      <c r="L583" s="6">
        <v>18</v>
      </c>
      <c r="M583" s="6">
        <v>5000</v>
      </c>
      <c r="N583" s="6">
        <v>6.5</v>
      </c>
      <c r="O583" s="6">
        <v>199</v>
      </c>
      <c r="P583" s="6" t="s">
        <v>2368</v>
      </c>
      <c r="Q583" s="6">
        <f>Table2_1[[#This Row],[Specs Score]] / (Table2_1[[#This Row],[Launched Price (USA)]] ^ 0.85)</f>
        <v>0.20496876993179097</v>
      </c>
      <c r="R583" s="6">
        <f>IFERROR(Table2_1[[#This Row],[Launched Price (USA)]] / S583, "")</f>
        <v>10.792952522890326</v>
      </c>
      <c r="S58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18.437957507730079</v>
      </c>
      <c r="T583" s="6">
        <v>2021</v>
      </c>
    </row>
    <row r="584" spans="1:20" x14ac:dyDescent="0.25">
      <c r="A584" s="6" t="s">
        <v>2291</v>
      </c>
      <c r="B584" s="6" t="s">
        <v>2311</v>
      </c>
      <c r="C58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84" s="6">
        <v>179</v>
      </c>
      <c r="E584" s="6">
        <v>6</v>
      </c>
      <c r="F584" s="6">
        <v>16</v>
      </c>
      <c r="G584" s="6">
        <v>64</v>
      </c>
      <c r="H584" s="6"/>
      <c r="I584" s="6"/>
      <c r="J584" s="6" t="s">
        <v>2397</v>
      </c>
      <c r="K584" s="6" t="s">
        <v>2439</v>
      </c>
      <c r="L584" s="6">
        <v>20</v>
      </c>
      <c r="M584" s="6">
        <v>5000</v>
      </c>
      <c r="N584" s="6">
        <v>6.43</v>
      </c>
      <c r="O584" s="6">
        <v>219</v>
      </c>
      <c r="P584" s="6" t="s">
        <v>2368</v>
      </c>
      <c r="Q584" s="6">
        <f>Table2_1[[#This Row],[Specs Score]] / (Table2_1[[#This Row],[Launched Price (USA)]] ^ 0.85)</f>
        <v>0.25624551951814667</v>
      </c>
      <c r="R584" s="6">
        <f>IFERROR(Table2_1[[#This Row],[Launched Price (USA)]] / S584, "")</f>
        <v>8.7581088151728661</v>
      </c>
      <c r="S58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25.005398382422065</v>
      </c>
      <c r="T584" s="6">
        <v>2022</v>
      </c>
    </row>
    <row r="585" spans="1:20" x14ac:dyDescent="0.25">
      <c r="A585" s="6" t="s">
        <v>2291</v>
      </c>
      <c r="B585" s="6" t="s">
        <v>2312</v>
      </c>
      <c r="C58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85" s="6">
        <v>201</v>
      </c>
      <c r="E585" s="6">
        <v>4</v>
      </c>
      <c r="F585" s="6">
        <v>5</v>
      </c>
      <c r="G585" s="6">
        <v>50</v>
      </c>
      <c r="H585" s="6"/>
      <c r="I585" s="6"/>
      <c r="J585" s="6" t="s">
        <v>2390</v>
      </c>
      <c r="K585" s="6" t="s">
        <v>2439</v>
      </c>
      <c r="L585" s="6">
        <v>22</v>
      </c>
      <c r="M585" s="6">
        <v>5000</v>
      </c>
      <c r="N585" s="6">
        <v>6.58</v>
      </c>
      <c r="O585" s="6">
        <v>199</v>
      </c>
      <c r="P585" s="6" t="s">
        <v>2368</v>
      </c>
      <c r="Q585" s="6">
        <f>Table2_1[[#This Row],[Specs Score]] / (Table2_1[[#This Row],[Launched Price (USA)]] ^ 0.85)</f>
        <v>0.23403043519878169</v>
      </c>
      <c r="R585" s="6">
        <f>IFERROR(Table2_1[[#This Row],[Launched Price (USA)]] / S585, "")</f>
        <v>9.4526944782631706</v>
      </c>
      <c r="S58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21.052198445385923</v>
      </c>
      <c r="T585" s="6">
        <v>2022</v>
      </c>
    </row>
    <row r="586" spans="1:20" x14ac:dyDescent="0.25">
      <c r="A586" s="6" t="s">
        <v>2291</v>
      </c>
      <c r="B586" s="6" t="s">
        <v>2313</v>
      </c>
      <c r="C58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86" s="6">
        <v>178.8</v>
      </c>
      <c r="E586" s="6">
        <v>4</v>
      </c>
      <c r="F586" s="6">
        <v>13</v>
      </c>
      <c r="G586" s="6">
        <v>64</v>
      </c>
      <c r="H586" s="6"/>
      <c r="I586" s="6"/>
      <c r="J586" s="6" t="s">
        <v>2412</v>
      </c>
      <c r="K586" s="6" t="s">
        <v>2439</v>
      </c>
      <c r="L586" s="6">
        <v>18</v>
      </c>
      <c r="M586" s="6">
        <v>5000</v>
      </c>
      <c r="N586" s="6">
        <v>6.43</v>
      </c>
      <c r="O586" s="6">
        <v>229</v>
      </c>
      <c r="P586" s="6" t="s">
        <v>2368</v>
      </c>
      <c r="Q586" s="6">
        <f>Table2_1[[#This Row],[Specs Score]] / (Table2_1[[#This Row],[Launched Price (USA)]] ^ 0.85)</f>
        <v>0.2168846939198652</v>
      </c>
      <c r="R586" s="6">
        <f>IFERROR(Table2_1[[#This Row],[Launched Price (USA)]] / S586, "")</f>
        <v>10.417090051408179</v>
      </c>
      <c r="S58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21.983106498061218</v>
      </c>
      <c r="T586" s="6">
        <v>2022</v>
      </c>
    </row>
    <row r="587" spans="1:20" x14ac:dyDescent="0.25">
      <c r="A587" s="6" t="s">
        <v>2291</v>
      </c>
      <c r="B587" s="6" t="s">
        <v>2321</v>
      </c>
      <c r="C587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587" s="6">
        <v>199</v>
      </c>
      <c r="E587" s="6">
        <v>4</v>
      </c>
      <c r="F587" s="6">
        <v>8</v>
      </c>
      <c r="G587" s="6">
        <v>50</v>
      </c>
      <c r="H587" s="6"/>
      <c r="I587" s="6"/>
      <c r="J587" s="6" t="s">
        <v>2394</v>
      </c>
      <c r="K587" s="6" t="s">
        <v>2439</v>
      </c>
      <c r="L587" s="6">
        <v>14</v>
      </c>
      <c r="M587" s="6">
        <v>5000</v>
      </c>
      <c r="N587" s="6">
        <v>6.58</v>
      </c>
      <c r="O587" s="6">
        <v>199</v>
      </c>
      <c r="P587" s="6" t="s">
        <v>2368</v>
      </c>
      <c r="Q587" s="6">
        <f>Table2_1[[#This Row],[Specs Score]] / (Table2_1[[#This Row],[Launched Price (USA)]] ^ 0.85)</f>
        <v>0.19580636717068983</v>
      </c>
      <c r="R587" s="6">
        <f>IFERROR(Table2_1[[#This Row],[Launched Price (USA)]] / S587, "")</f>
        <v>11.297989102778248</v>
      </c>
      <c r="S58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17.61375393352651</v>
      </c>
      <c r="T587" s="6">
        <v>2023</v>
      </c>
    </row>
    <row r="588" spans="1:20" x14ac:dyDescent="0.25">
      <c r="A588" s="6" t="s">
        <v>2291</v>
      </c>
      <c r="B588" s="6" t="s">
        <v>2322</v>
      </c>
      <c r="C58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88" s="6">
        <v>202</v>
      </c>
      <c r="E588" s="6">
        <v>6</v>
      </c>
      <c r="F588" s="6">
        <v>8</v>
      </c>
      <c r="G588" s="6">
        <v>50</v>
      </c>
      <c r="H588" s="6"/>
      <c r="I588" s="6"/>
      <c r="J588" s="6" t="s">
        <v>2323</v>
      </c>
      <c r="K588" s="6" t="s">
        <v>2439</v>
      </c>
      <c r="L588" s="6">
        <v>18</v>
      </c>
      <c r="M588" s="6">
        <v>5000</v>
      </c>
      <c r="N588" s="6">
        <v>6.79</v>
      </c>
      <c r="O588" s="6">
        <v>219</v>
      </c>
      <c r="P588" s="6" t="s">
        <v>2368</v>
      </c>
      <c r="Q588" s="6">
        <f>Table2_1[[#This Row],[Specs Score]] / (Table2_1[[#This Row],[Launched Price (USA)]] ^ 0.85)</f>
        <v>0.23342092426047908</v>
      </c>
      <c r="R588" s="6">
        <f>IFERROR(Table2_1[[#This Row],[Launched Price (USA)]] / S588, "")</f>
        <v>9.6145028576617833</v>
      </c>
      <c r="S58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22.778088814595257</v>
      </c>
      <c r="T588" s="6">
        <v>2023</v>
      </c>
    </row>
    <row r="589" spans="1:20" x14ac:dyDescent="0.25">
      <c r="A589" s="6" t="s">
        <v>2291</v>
      </c>
      <c r="B589" s="6" t="s">
        <v>2331</v>
      </c>
      <c r="C589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589" s="6">
        <v>190</v>
      </c>
      <c r="E589" s="6">
        <v>4</v>
      </c>
      <c r="F589" s="6">
        <v>5</v>
      </c>
      <c r="G589" s="6">
        <v>50</v>
      </c>
      <c r="H589" s="6"/>
      <c r="I589" s="6"/>
      <c r="J589" s="6" t="s">
        <v>2391</v>
      </c>
      <c r="K589" s="6" t="s">
        <v>2439</v>
      </c>
      <c r="L589" s="6">
        <v>12</v>
      </c>
      <c r="M589" s="6">
        <v>5000</v>
      </c>
      <c r="N589" s="6">
        <v>6.5</v>
      </c>
      <c r="O589" s="6">
        <v>149</v>
      </c>
      <c r="P589" s="6" t="s">
        <v>2368</v>
      </c>
      <c r="Q589" s="6">
        <f>Table2_1[[#This Row],[Specs Score]] / (Table2_1[[#This Row],[Launched Price (USA)]] ^ 0.85)</f>
        <v>0.2346872620291231</v>
      </c>
      <c r="R589" s="6">
        <f>IFERROR(Table2_1[[#This Row],[Launched Price (USA)]] / S589, "")</f>
        <v>9.0258564471392635</v>
      </c>
      <c r="S58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16.508128715832324</v>
      </c>
      <c r="T589" s="6">
        <v>2024</v>
      </c>
    </row>
    <row r="590" spans="1:20" x14ac:dyDescent="0.25">
      <c r="A590" s="6" t="s">
        <v>2291</v>
      </c>
      <c r="B590" s="6" t="s">
        <v>2292</v>
      </c>
      <c r="C59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90" s="6">
        <v>219</v>
      </c>
      <c r="E590" s="6">
        <v>6</v>
      </c>
      <c r="F590" s="6">
        <v>20</v>
      </c>
      <c r="G590" s="6">
        <v>64</v>
      </c>
      <c r="H590" s="6"/>
      <c r="I590" s="6"/>
      <c r="J590" s="6" t="s">
        <v>795</v>
      </c>
      <c r="K590" s="6" t="s">
        <v>2437</v>
      </c>
      <c r="L590" s="6">
        <v>80</v>
      </c>
      <c r="M590" s="6">
        <v>4700</v>
      </c>
      <c r="N590" s="6">
        <v>6.67</v>
      </c>
      <c r="O590" s="6">
        <v>499</v>
      </c>
      <c r="P590" s="6" t="s">
        <v>2368</v>
      </c>
      <c r="Q590" s="6">
        <f>Table2_1[[#This Row],[Specs Score]] / (Table2_1[[#This Row],[Launched Price (USA)]] ^ 0.85)</f>
        <v>0.20664272917286436</v>
      </c>
      <c r="R590" s="6">
        <f>IFERROR(Table2_1[[#This Row],[Launched Price (USA)]] / S590, "")</f>
        <v>12.288389054804732</v>
      </c>
      <c r="S59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40.607438271568405</v>
      </c>
      <c r="T590" s="6">
        <v>2020</v>
      </c>
    </row>
    <row r="591" spans="1:20" x14ac:dyDescent="0.25">
      <c r="A591" s="6" t="s">
        <v>2291</v>
      </c>
      <c r="B591" s="6" t="s">
        <v>2299</v>
      </c>
      <c r="C59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91" s="6">
        <v>196</v>
      </c>
      <c r="E591" s="6">
        <v>6</v>
      </c>
      <c r="F591" s="6">
        <v>20</v>
      </c>
      <c r="G591" s="6">
        <v>48</v>
      </c>
      <c r="H591" s="6"/>
      <c r="I591" s="6"/>
      <c r="J591" s="6" t="s">
        <v>804</v>
      </c>
      <c r="K591" s="6" t="s">
        <v>2437</v>
      </c>
      <c r="L591" s="6">
        <v>82</v>
      </c>
      <c r="M591" s="6">
        <v>4520</v>
      </c>
      <c r="N591" s="6">
        <v>6.67</v>
      </c>
      <c r="O591" s="6">
        <v>349</v>
      </c>
      <c r="P591" s="6" t="s">
        <v>2368</v>
      </c>
      <c r="Q591" s="6">
        <f>Table2_1[[#This Row],[Specs Score]] / (Table2_1[[#This Row],[Launched Price (USA)]] ^ 0.85)</f>
        <v>0.27583036050499105</v>
      </c>
      <c r="R591" s="6">
        <f>IFERROR(Table2_1[[#This Row],[Launched Price (USA)]] / S591, "")</f>
        <v>8.7253277025342584</v>
      </c>
      <c r="S59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39.99849769523653</v>
      </c>
      <c r="T591" s="6">
        <v>2021</v>
      </c>
    </row>
    <row r="592" spans="1:20" x14ac:dyDescent="0.25">
      <c r="A592" s="6" t="s">
        <v>2291</v>
      </c>
      <c r="B592" s="6" t="s">
        <v>2308</v>
      </c>
      <c r="C59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92" s="6">
        <v>195</v>
      </c>
      <c r="E592" s="6">
        <v>6</v>
      </c>
      <c r="F592" s="6">
        <v>20</v>
      </c>
      <c r="G592" s="6">
        <v>64</v>
      </c>
      <c r="H592" s="6"/>
      <c r="I592" s="6"/>
      <c r="J592" s="6" t="s">
        <v>804</v>
      </c>
      <c r="K592" s="6" t="s">
        <v>2437</v>
      </c>
      <c r="L592" s="6">
        <v>82</v>
      </c>
      <c r="M592" s="6">
        <v>4500</v>
      </c>
      <c r="N592" s="6">
        <v>6.67</v>
      </c>
      <c r="O592" s="6">
        <v>349</v>
      </c>
      <c r="P592" s="6" t="s">
        <v>2368</v>
      </c>
      <c r="Q592" s="6">
        <f>Table2_1[[#This Row],[Specs Score]] / (Table2_1[[#This Row],[Launched Price (USA)]] ^ 0.85)</f>
        <v>0.28126376154068949</v>
      </c>
      <c r="R592" s="6">
        <f>IFERROR(Table2_1[[#This Row],[Launched Price (USA)]] / S592, "")</f>
        <v>8.5567734447227703</v>
      </c>
      <c r="S59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40.786401820097176</v>
      </c>
      <c r="T592" s="6">
        <v>2022</v>
      </c>
    </row>
    <row r="593" spans="1:20" x14ac:dyDescent="0.25">
      <c r="A593" s="6" t="s">
        <v>2291</v>
      </c>
      <c r="B593" s="6" t="s">
        <v>2309</v>
      </c>
      <c r="C59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93" s="6">
        <v>210</v>
      </c>
      <c r="E593" s="6">
        <v>8</v>
      </c>
      <c r="F593" s="6">
        <v>20</v>
      </c>
      <c r="G593" s="6">
        <v>64</v>
      </c>
      <c r="H593" s="6"/>
      <c r="I593" s="6"/>
      <c r="J593" s="6" t="s">
        <v>451</v>
      </c>
      <c r="K593" s="6" t="s">
        <v>2437</v>
      </c>
      <c r="L593" s="6">
        <v>90</v>
      </c>
      <c r="M593" s="6">
        <v>4700</v>
      </c>
      <c r="N593" s="6">
        <v>6.67</v>
      </c>
      <c r="O593" s="6">
        <v>499</v>
      </c>
      <c r="P593" s="6" t="s">
        <v>2368</v>
      </c>
      <c r="Q593" s="6">
        <f>Table2_1[[#This Row],[Specs Score]] / (Table2_1[[#This Row],[Launched Price (USA)]] ^ 0.85)</f>
        <v>0.22967078934649277</v>
      </c>
      <c r="R593" s="6">
        <f>IFERROR(Table2_1[[#This Row],[Launched Price (USA)]] / S593, "")</f>
        <v>11.056287387038504</v>
      </c>
      <c r="S59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45.132690796820931</v>
      </c>
      <c r="T593" s="6">
        <v>2022</v>
      </c>
    </row>
    <row r="594" spans="1:20" x14ac:dyDescent="0.25">
      <c r="A594" s="6" t="s">
        <v>2291</v>
      </c>
      <c r="B594" s="6" t="s">
        <v>2318</v>
      </c>
      <c r="C59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94" s="6">
        <v>204</v>
      </c>
      <c r="E594" s="6">
        <v>8</v>
      </c>
      <c r="F594" s="6">
        <v>20</v>
      </c>
      <c r="G594" s="6">
        <v>64</v>
      </c>
      <c r="H594" s="6"/>
      <c r="I594" s="6"/>
      <c r="J594" s="6" t="s">
        <v>767</v>
      </c>
      <c r="K594" s="6" t="s">
        <v>2437</v>
      </c>
      <c r="L594" s="6">
        <v>92</v>
      </c>
      <c r="M594" s="6">
        <v>5160</v>
      </c>
      <c r="N594" s="6">
        <v>6.67</v>
      </c>
      <c r="O594" s="6">
        <v>499</v>
      </c>
      <c r="P594" s="6" t="s">
        <v>2368</v>
      </c>
      <c r="Q594" s="6">
        <f>Table2_1[[#This Row],[Specs Score]] / (Table2_1[[#This Row],[Launched Price (USA)]] ^ 0.85)</f>
        <v>0.25575602016709176</v>
      </c>
      <c r="R594" s="6">
        <f>IFERROR(Table2_1[[#This Row],[Launched Price (USA)]] / S594, "")</f>
        <v>9.9286274855380263</v>
      </c>
      <c r="S59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50.258709043806924</v>
      </c>
      <c r="T594" s="6">
        <v>2023</v>
      </c>
    </row>
    <row r="595" spans="1:20" x14ac:dyDescent="0.25">
      <c r="A595" s="6" t="s">
        <v>2291</v>
      </c>
      <c r="B595" s="6" t="s">
        <v>2328</v>
      </c>
      <c r="C59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95" s="6">
        <v>190</v>
      </c>
      <c r="E595" s="6">
        <v>6</v>
      </c>
      <c r="F595" s="6">
        <v>20</v>
      </c>
      <c r="G595" s="6">
        <v>64</v>
      </c>
      <c r="H595" s="6"/>
      <c r="I595" s="6"/>
      <c r="J595" s="6" t="s">
        <v>401</v>
      </c>
      <c r="K595" s="6" t="s">
        <v>2437</v>
      </c>
      <c r="L595" s="6">
        <v>95</v>
      </c>
      <c r="M595" s="6">
        <v>5000</v>
      </c>
      <c r="N595" s="6">
        <v>6.67</v>
      </c>
      <c r="O595" s="6">
        <v>449</v>
      </c>
      <c r="P595" s="6" t="s">
        <v>2368</v>
      </c>
      <c r="Q595" s="6">
        <f>Table2_1[[#This Row],[Specs Score]] / (Table2_1[[#This Row],[Launched Price (USA)]] ^ 0.85)</f>
        <v>0.24985410766286661</v>
      </c>
      <c r="R595" s="6">
        <f>IFERROR(Table2_1[[#This Row],[Launched Price (USA)]] / S595, "")</f>
        <v>10.0034650099619</v>
      </c>
      <c r="S59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44.884447494229811</v>
      </c>
      <c r="T595" s="6">
        <v>2024</v>
      </c>
    </row>
    <row r="596" spans="1:20" x14ac:dyDescent="0.25">
      <c r="A596" s="6" t="s">
        <v>2291</v>
      </c>
      <c r="B596" s="6" t="s">
        <v>2329</v>
      </c>
      <c r="C59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596" s="6">
        <v>210</v>
      </c>
      <c r="E596" s="6">
        <v>8</v>
      </c>
      <c r="F596" s="6">
        <v>20</v>
      </c>
      <c r="G596" s="6">
        <v>108</v>
      </c>
      <c r="H596" s="6"/>
      <c r="I596" s="6"/>
      <c r="J596" s="6" t="s">
        <v>2330</v>
      </c>
      <c r="K596" s="6" t="s">
        <v>2437</v>
      </c>
      <c r="L596" s="6">
        <v>95</v>
      </c>
      <c r="M596" s="6">
        <v>5160</v>
      </c>
      <c r="N596" s="6">
        <v>6.67</v>
      </c>
      <c r="O596" s="6">
        <v>549</v>
      </c>
      <c r="P596" s="6" t="s">
        <v>2368</v>
      </c>
      <c r="Q596" s="6">
        <f>Table2_1[[#This Row],[Specs Score]] / (Table2_1[[#This Row],[Launched Price (USA)]] ^ 0.85)</f>
        <v>0.24995865289405619</v>
      </c>
      <c r="R596" s="6">
        <f>IFERROR(Table2_1[[#This Row],[Launched Price (USA)]] / S596, "")</f>
        <v>10.305466982746355</v>
      </c>
      <c r="S59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53.272695057792937</v>
      </c>
      <c r="T596" s="6">
        <v>2024</v>
      </c>
    </row>
    <row r="597" spans="1:20" x14ac:dyDescent="0.25">
      <c r="A597" s="6" t="s">
        <v>2291</v>
      </c>
      <c r="B597" s="6" t="s">
        <v>2293</v>
      </c>
      <c r="C597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597" s="6">
        <v>209</v>
      </c>
      <c r="E597" s="6">
        <v>4</v>
      </c>
      <c r="F597" s="6">
        <v>16</v>
      </c>
      <c r="G597" s="6">
        <v>48</v>
      </c>
      <c r="H597" s="6"/>
      <c r="I597" s="6"/>
      <c r="J597" s="6" t="s">
        <v>2294</v>
      </c>
      <c r="K597" s="6" t="s">
        <v>2438</v>
      </c>
      <c r="L597" s="6">
        <v>45</v>
      </c>
      <c r="M597" s="6">
        <v>5000</v>
      </c>
      <c r="N597" s="6">
        <v>6.67</v>
      </c>
      <c r="O597" s="6">
        <v>199</v>
      </c>
      <c r="P597" s="6" t="s">
        <v>2368</v>
      </c>
      <c r="Q597" s="6">
        <f>Table2_1[[#This Row],[Specs Score]] / (Table2_1[[#This Row],[Launched Price (USA)]] ^ 0.85)</f>
        <v>0.29806619883445756</v>
      </c>
      <c r="R597" s="6">
        <f>IFERROR(Table2_1[[#This Row],[Launched Price (USA)]] / S597, "")</f>
        <v>7.4219022861350679</v>
      </c>
      <c r="S59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26.812533004072819</v>
      </c>
      <c r="T597" s="6">
        <v>2020</v>
      </c>
    </row>
    <row r="598" spans="1:20" x14ac:dyDescent="0.25">
      <c r="A598" s="6" t="s">
        <v>2291</v>
      </c>
      <c r="B598" s="6" t="s">
        <v>2295</v>
      </c>
      <c r="C59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98" s="6">
        <v>215</v>
      </c>
      <c r="E598" s="6">
        <v>6</v>
      </c>
      <c r="F598" s="6">
        <v>20</v>
      </c>
      <c r="G598" s="6">
        <v>64</v>
      </c>
      <c r="H598" s="6"/>
      <c r="I598" s="6"/>
      <c r="J598" s="6" t="s">
        <v>2296</v>
      </c>
      <c r="K598" s="6" t="s">
        <v>2438</v>
      </c>
      <c r="L598" s="6">
        <v>48</v>
      </c>
      <c r="M598" s="6">
        <v>5160</v>
      </c>
      <c r="N598" s="6">
        <v>6.67</v>
      </c>
      <c r="O598" s="6">
        <v>229</v>
      </c>
      <c r="P598" s="6" t="s">
        <v>2368</v>
      </c>
      <c r="Q598" s="6">
        <f>Table2_1[[#This Row],[Specs Score]] / (Table2_1[[#This Row],[Launched Price (USA)]] ^ 0.85)</f>
        <v>0.32830627255725264</v>
      </c>
      <c r="R598" s="6">
        <f>IFERROR(Table2_1[[#This Row],[Launched Price (USA)]] / S598, "")</f>
        <v>6.8817064314278058</v>
      </c>
      <c r="S59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33.276630190760322</v>
      </c>
      <c r="T598" s="6">
        <v>2020</v>
      </c>
    </row>
    <row r="599" spans="1:20" x14ac:dyDescent="0.25">
      <c r="A599" s="6" t="s">
        <v>2291</v>
      </c>
      <c r="B599" s="6" t="s">
        <v>2300</v>
      </c>
      <c r="C59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599" s="6">
        <v>215</v>
      </c>
      <c r="E599" s="6">
        <v>6</v>
      </c>
      <c r="F599" s="6">
        <v>20</v>
      </c>
      <c r="G599" s="6">
        <v>48</v>
      </c>
      <c r="H599" s="6"/>
      <c r="I599" s="6"/>
      <c r="J599" s="6" t="s">
        <v>2301</v>
      </c>
      <c r="K599" s="6" t="s">
        <v>2438</v>
      </c>
      <c r="L599" s="6">
        <v>48</v>
      </c>
      <c r="M599" s="6">
        <v>5160</v>
      </c>
      <c r="N599" s="6">
        <v>6.67</v>
      </c>
      <c r="O599" s="6">
        <v>249</v>
      </c>
      <c r="P599" s="6" t="s">
        <v>2368</v>
      </c>
      <c r="Q599" s="6">
        <f>Table2_1[[#This Row],[Specs Score]] / (Table2_1[[#This Row],[Launched Price (USA)]] ^ 0.85)</f>
        <v>0.29821337661036806</v>
      </c>
      <c r="R599" s="6">
        <f>IFERROR(Table2_1[[#This Row],[Launched Price (USA)]] / S599, "")</f>
        <v>7.6718973239928614</v>
      </c>
      <c r="S59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32.456117370247497</v>
      </c>
      <c r="T599" s="6">
        <v>2021</v>
      </c>
    </row>
    <row r="600" spans="1:20" x14ac:dyDescent="0.25">
      <c r="A600" s="6" t="s">
        <v>2291</v>
      </c>
      <c r="B600" s="6" t="s">
        <v>2303</v>
      </c>
      <c r="C60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00" s="6">
        <v>205</v>
      </c>
      <c r="E600" s="6">
        <v>6</v>
      </c>
      <c r="F600" s="6">
        <v>16</v>
      </c>
      <c r="G600" s="6">
        <v>64</v>
      </c>
      <c r="H600" s="6"/>
      <c r="I600" s="6"/>
      <c r="J600" s="6" t="s">
        <v>911</v>
      </c>
      <c r="K600" s="6" t="s">
        <v>2438</v>
      </c>
      <c r="L600" s="6">
        <v>38</v>
      </c>
      <c r="M600" s="6">
        <v>5065</v>
      </c>
      <c r="N600" s="6">
        <v>6.67</v>
      </c>
      <c r="O600" s="6">
        <v>399</v>
      </c>
      <c r="P600" s="6" t="s">
        <v>2368</v>
      </c>
      <c r="Q600" s="6">
        <f>Table2_1[[#This Row],[Specs Score]] / (Table2_1[[#This Row],[Launched Price (USA)]] ^ 0.85)</f>
        <v>0.1840532277046123</v>
      </c>
      <c r="R600" s="6">
        <f>IFERROR(Table2_1[[#This Row],[Launched Price (USA)]] / S600, "")</f>
        <v>13.341433516705777</v>
      </c>
      <c r="S60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29.906831188746182</v>
      </c>
      <c r="T600" s="6">
        <v>2021</v>
      </c>
    </row>
    <row r="601" spans="1:20" x14ac:dyDescent="0.25">
      <c r="A601" s="6" t="s">
        <v>2291</v>
      </c>
      <c r="B601" s="6" t="s">
        <v>2305</v>
      </c>
      <c r="C60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01" s="6">
        <v>193</v>
      </c>
      <c r="E601" s="6">
        <v>6</v>
      </c>
      <c r="F601" s="6">
        <v>16</v>
      </c>
      <c r="G601" s="6">
        <v>64</v>
      </c>
      <c r="H601" s="6"/>
      <c r="I601" s="6"/>
      <c r="J601" s="6" t="s">
        <v>921</v>
      </c>
      <c r="K601" s="6" t="s">
        <v>2438</v>
      </c>
      <c r="L601" s="6">
        <v>35</v>
      </c>
      <c r="M601" s="6">
        <v>5000</v>
      </c>
      <c r="N601" s="6">
        <v>6.6</v>
      </c>
      <c r="O601" s="6">
        <v>279</v>
      </c>
      <c r="P601" s="6" t="s">
        <v>2368</v>
      </c>
      <c r="Q601" s="6">
        <f>Table2_1[[#This Row],[Specs Score]] / (Table2_1[[#This Row],[Launched Price (USA)]] ^ 0.85)</f>
        <v>0.24165196266018837</v>
      </c>
      <c r="R601" s="6">
        <f>IFERROR(Table2_1[[#This Row],[Launched Price (USA)]] / S601, "")</f>
        <v>9.6305325563691486</v>
      </c>
      <c r="S60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28.97036050363419</v>
      </c>
      <c r="T601" s="6">
        <v>2021</v>
      </c>
    </row>
    <row r="602" spans="1:20" x14ac:dyDescent="0.25">
      <c r="A602" s="6" t="s">
        <v>2291</v>
      </c>
      <c r="B602" s="6" t="s">
        <v>2307</v>
      </c>
      <c r="C60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02" s="6">
        <v>195</v>
      </c>
      <c r="E602" s="6">
        <v>4</v>
      </c>
      <c r="F602" s="6">
        <v>16</v>
      </c>
      <c r="G602" s="6">
        <v>50</v>
      </c>
      <c r="H602" s="6"/>
      <c r="I602" s="6"/>
      <c r="J602" s="6" t="s">
        <v>2377</v>
      </c>
      <c r="K602" s="6" t="s">
        <v>2438</v>
      </c>
      <c r="L602" s="6">
        <v>25</v>
      </c>
      <c r="M602" s="6">
        <v>5000</v>
      </c>
      <c r="N602" s="6">
        <v>6.6</v>
      </c>
      <c r="O602" s="6">
        <v>219</v>
      </c>
      <c r="P602" s="6" t="s">
        <v>2368</v>
      </c>
      <c r="Q602" s="6">
        <f>Table2_1[[#This Row],[Specs Score]] / (Table2_1[[#This Row],[Launched Price (USA)]] ^ 0.85)</f>
        <v>0.24314662611628141</v>
      </c>
      <c r="R602" s="6">
        <f>IFERROR(Table2_1[[#This Row],[Launched Price (USA)]] / S602, "")</f>
        <v>9.2299291961680847</v>
      </c>
      <c r="S60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23.727159260432948</v>
      </c>
      <c r="T602" s="6">
        <v>2021</v>
      </c>
    </row>
    <row r="603" spans="1:20" x14ac:dyDescent="0.25">
      <c r="A603" s="6" t="s">
        <v>2291</v>
      </c>
      <c r="B603" s="6" t="s">
        <v>2310</v>
      </c>
      <c r="C60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03" s="6">
        <v>205</v>
      </c>
      <c r="E603" s="6">
        <v>6</v>
      </c>
      <c r="F603" s="6">
        <v>16</v>
      </c>
      <c r="G603" s="6">
        <v>108</v>
      </c>
      <c r="H603" s="6"/>
      <c r="I603" s="6"/>
      <c r="J603" s="6" t="s">
        <v>680</v>
      </c>
      <c r="K603" s="6" t="s">
        <v>2438</v>
      </c>
      <c r="L603" s="6">
        <v>40</v>
      </c>
      <c r="M603" s="6">
        <v>5000</v>
      </c>
      <c r="N603" s="6">
        <v>6.67</v>
      </c>
      <c r="O603" s="6">
        <v>299</v>
      </c>
      <c r="P603" s="6" t="s">
        <v>2368</v>
      </c>
      <c r="Q603" s="6">
        <f>Table2_1[[#This Row],[Specs Score]] / (Table2_1[[#This Row],[Launched Price (USA)]] ^ 0.85)</f>
        <v>0.25609125337633587</v>
      </c>
      <c r="R603" s="6">
        <f>IFERROR(Table2_1[[#This Row],[Launched Price (USA)]] / S603, "")</f>
        <v>9.1823941889580301</v>
      </c>
      <c r="S60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32.562313689337373</v>
      </c>
      <c r="T603" s="6">
        <v>2022</v>
      </c>
    </row>
    <row r="604" spans="1:20" x14ac:dyDescent="0.25">
      <c r="A604" s="6" t="s">
        <v>2291</v>
      </c>
      <c r="B604" s="6" t="s">
        <v>2316</v>
      </c>
      <c r="C60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04" s="6">
        <v>181</v>
      </c>
      <c r="E604" s="6">
        <v>6</v>
      </c>
      <c r="F604" s="6">
        <v>16</v>
      </c>
      <c r="G604" s="6">
        <v>64</v>
      </c>
      <c r="H604" s="6"/>
      <c r="I604" s="6"/>
      <c r="J604" s="6" t="s">
        <v>2317</v>
      </c>
      <c r="K604" s="6" t="s">
        <v>2438</v>
      </c>
      <c r="L604" s="6">
        <v>65</v>
      </c>
      <c r="M604" s="6">
        <v>5000</v>
      </c>
      <c r="N604" s="6">
        <v>6.67</v>
      </c>
      <c r="O604" s="6">
        <v>349</v>
      </c>
      <c r="P604" s="6" t="s">
        <v>2368</v>
      </c>
      <c r="Q604" s="6">
        <f>Table2_1[[#This Row],[Specs Score]] / (Table2_1[[#This Row],[Launched Price (USA)]] ^ 0.85)</f>
        <v>0.25252552314116006</v>
      </c>
      <c r="R604" s="6">
        <f>IFERROR(Table2_1[[#This Row],[Launched Price (USA)]] / S604, "")</f>
        <v>9.5305625181058424</v>
      </c>
      <c r="S60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36.619034746058432</v>
      </c>
      <c r="T604" s="6">
        <v>2023</v>
      </c>
    </row>
    <row r="605" spans="1:20" x14ac:dyDescent="0.25">
      <c r="A605" s="6" t="s">
        <v>2291</v>
      </c>
      <c r="B605" s="6" t="s">
        <v>2319</v>
      </c>
      <c r="C60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05" s="6">
        <v>189</v>
      </c>
      <c r="E605" s="6">
        <v>6</v>
      </c>
      <c r="F605" s="6">
        <v>13</v>
      </c>
      <c r="G605" s="6">
        <v>48</v>
      </c>
      <c r="H605" s="6"/>
      <c r="I605" s="6"/>
      <c r="J605" s="6" t="s">
        <v>680</v>
      </c>
      <c r="K605" s="6" t="s">
        <v>2438</v>
      </c>
      <c r="L605" s="6">
        <v>40</v>
      </c>
      <c r="M605" s="6">
        <v>5000</v>
      </c>
      <c r="N605" s="6">
        <v>6.67</v>
      </c>
      <c r="O605" s="6">
        <v>279</v>
      </c>
      <c r="P605" s="6" t="s">
        <v>2368</v>
      </c>
      <c r="Q605" s="6">
        <f>Table2_1[[#This Row],[Specs Score]] / (Table2_1[[#This Row],[Launched Price (USA)]] ^ 0.85)</f>
        <v>0.24163351767523425</v>
      </c>
      <c r="R605" s="6">
        <f>IFERROR(Table2_1[[#This Row],[Launched Price (USA)]] / S605, "")</f>
        <v>9.631267698702926</v>
      </c>
      <c r="S60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28.968149233103951</v>
      </c>
      <c r="T605" s="6">
        <v>2023</v>
      </c>
    </row>
    <row r="606" spans="1:20" x14ac:dyDescent="0.25">
      <c r="A606" s="6" t="s">
        <v>2291</v>
      </c>
      <c r="B606" s="6" t="s">
        <v>2320</v>
      </c>
      <c r="C60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06" s="6">
        <v>181</v>
      </c>
      <c r="E606" s="6">
        <v>6</v>
      </c>
      <c r="F606" s="6">
        <v>16</v>
      </c>
      <c r="G606" s="6">
        <v>108</v>
      </c>
      <c r="H606" s="6"/>
      <c r="I606" s="6"/>
      <c r="J606" s="6" t="s">
        <v>708</v>
      </c>
      <c r="K606" s="6" t="s">
        <v>2438</v>
      </c>
      <c r="L606" s="6">
        <v>60</v>
      </c>
      <c r="M606" s="6">
        <v>5000</v>
      </c>
      <c r="N606" s="6">
        <v>6.67</v>
      </c>
      <c r="O606" s="6">
        <v>329</v>
      </c>
      <c r="P606" s="6" t="s">
        <v>2368</v>
      </c>
      <c r="Q606" s="6">
        <f>Table2_1[[#This Row],[Specs Score]] / (Table2_1[[#This Row],[Launched Price (USA)]] ^ 0.85)</f>
        <v>0.27272149429926107</v>
      </c>
      <c r="R606" s="6">
        <f>IFERROR(Table2_1[[#This Row],[Launched Price (USA)]] / S606, "")</f>
        <v>8.747017932253442</v>
      </c>
      <c r="S60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37.612818739842425</v>
      </c>
      <c r="T606" s="6">
        <v>2023</v>
      </c>
    </row>
    <row r="607" spans="1:20" x14ac:dyDescent="0.25">
      <c r="A607" s="6" t="s">
        <v>2291</v>
      </c>
      <c r="B607" s="6" t="s">
        <v>2325</v>
      </c>
      <c r="C60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07" s="6">
        <v>193</v>
      </c>
      <c r="E607" s="6">
        <v>6</v>
      </c>
      <c r="F607" s="6">
        <v>16</v>
      </c>
      <c r="G607" s="6">
        <v>64</v>
      </c>
      <c r="H607" s="6"/>
      <c r="I607" s="6"/>
      <c r="J607" s="6" t="s">
        <v>1229</v>
      </c>
      <c r="K607" s="6" t="s">
        <v>2438</v>
      </c>
      <c r="L607" s="6">
        <v>65</v>
      </c>
      <c r="M607" s="6">
        <v>5000</v>
      </c>
      <c r="N607" s="6">
        <v>6.67</v>
      </c>
      <c r="O607" s="6">
        <v>349</v>
      </c>
      <c r="P607" s="6" t="s">
        <v>2368</v>
      </c>
      <c r="Q607" s="6">
        <f>Table2_1[[#This Row],[Specs Score]] / (Table2_1[[#This Row],[Launched Price (USA)]] ^ 0.85)</f>
        <v>0.25252552314116006</v>
      </c>
      <c r="R607" s="6">
        <f>IFERROR(Table2_1[[#This Row],[Launched Price (USA)]] / S607, "")</f>
        <v>9.5305625181058424</v>
      </c>
      <c r="S60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36.619034746058432</v>
      </c>
      <c r="T607" s="6">
        <v>2024</v>
      </c>
    </row>
    <row r="608" spans="1:20" x14ac:dyDescent="0.25">
      <c r="A608" s="6" t="s">
        <v>2291</v>
      </c>
      <c r="B608" s="6" t="s">
        <v>2326</v>
      </c>
      <c r="C60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08" s="6">
        <v>205</v>
      </c>
      <c r="E608" s="6">
        <v>8</v>
      </c>
      <c r="F608" s="6">
        <v>20</v>
      </c>
      <c r="G608" s="6">
        <v>108</v>
      </c>
      <c r="H608" s="6"/>
      <c r="I608" s="6"/>
      <c r="J608" s="6" t="s">
        <v>2413</v>
      </c>
      <c r="K608" s="6" t="s">
        <v>2438</v>
      </c>
      <c r="L608" s="6">
        <v>75</v>
      </c>
      <c r="M608" s="6">
        <v>5000</v>
      </c>
      <c r="N608" s="6">
        <v>6.67</v>
      </c>
      <c r="O608" s="6">
        <v>399</v>
      </c>
      <c r="P608" s="6" t="s">
        <v>2368</v>
      </c>
      <c r="Q608" s="6">
        <f>Table2_1[[#This Row],[Specs Score]] / (Table2_1[[#This Row],[Launched Price (USA)]] ^ 0.85)</f>
        <v>0.29516453203039461</v>
      </c>
      <c r="R608" s="6">
        <f>IFERROR(Table2_1[[#This Row],[Launched Price (USA)]] / S608, "")</f>
        <v>8.3192038151227994</v>
      </c>
      <c r="S60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47.961320442070495</v>
      </c>
      <c r="T608" s="6">
        <v>2024</v>
      </c>
    </row>
    <row r="609" spans="1:20" x14ac:dyDescent="0.25">
      <c r="A609" s="6" t="s">
        <v>2291</v>
      </c>
      <c r="B609" s="6" t="s">
        <v>2332</v>
      </c>
      <c r="C60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09" s="6">
        <v>195</v>
      </c>
      <c r="E609" s="6">
        <v>6</v>
      </c>
      <c r="F609" s="6">
        <v>16</v>
      </c>
      <c r="G609" s="6">
        <v>64</v>
      </c>
      <c r="H609" s="6"/>
      <c r="I609" s="6"/>
      <c r="J609" s="6" t="s">
        <v>2392</v>
      </c>
      <c r="K609" s="6" t="s">
        <v>2438</v>
      </c>
      <c r="L609" s="6">
        <v>70</v>
      </c>
      <c r="M609" s="6">
        <v>5000</v>
      </c>
      <c r="N609" s="6">
        <v>6.67</v>
      </c>
      <c r="O609" s="6">
        <v>329</v>
      </c>
      <c r="P609" s="6" t="s">
        <v>2368</v>
      </c>
      <c r="Q609" s="6">
        <f>Table2_1[[#This Row],[Specs Score]] / (Table2_1[[#This Row],[Launched Price (USA)]] ^ 0.85)</f>
        <v>0.27467080487331286</v>
      </c>
      <c r="R609" s="6">
        <f>IFERROR(Table2_1[[#This Row],[Launched Price (USA)]] / S609, "")</f>
        <v>8.6849412417415888</v>
      </c>
      <c r="S60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37.881661008684695</v>
      </c>
      <c r="T609" s="6">
        <v>2025</v>
      </c>
    </row>
    <row r="610" spans="1:20" x14ac:dyDescent="0.25">
      <c r="A610" s="6" t="s">
        <v>2291</v>
      </c>
      <c r="B610" s="6" t="s">
        <v>2333</v>
      </c>
      <c r="C61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10" s="6">
        <v>207</v>
      </c>
      <c r="E610" s="6">
        <v>8</v>
      </c>
      <c r="F610" s="6">
        <v>20</v>
      </c>
      <c r="G610" s="6">
        <v>108</v>
      </c>
      <c r="H610" s="6"/>
      <c r="I610" s="6"/>
      <c r="J610" s="6" t="s">
        <v>2414</v>
      </c>
      <c r="K610" s="6" t="s">
        <v>2438</v>
      </c>
      <c r="L610" s="6">
        <v>80</v>
      </c>
      <c r="M610" s="6">
        <v>6000</v>
      </c>
      <c r="N610" s="6">
        <v>6.67</v>
      </c>
      <c r="O610" s="6">
        <v>399</v>
      </c>
      <c r="P610" s="6" t="s">
        <v>2368</v>
      </c>
      <c r="Q610" s="6">
        <f>Table2_1[[#This Row],[Specs Score]] / (Table2_1[[#This Row],[Launched Price (USA)]] ^ 0.85)</f>
        <v>0.31296906705322725</v>
      </c>
      <c r="R610" s="6">
        <f>IFERROR(Table2_1[[#This Row],[Launched Price (USA)]] / S610, "")</f>
        <v>7.8459316253723488</v>
      </c>
      <c r="S61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50.85438148730546</v>
      </c>
      <c r="T610" s="6">
        <v>2025</v>
      </c>
    </row>
    <row r="611" spans="1:20" x14ac:dyDescent="0.25">
      <c r="A611" s="6" t="s">
        <v>2291</v>
      </c>
      <c r="B611" s="6" t="s">
        <v>2335</v>
      </c>
      <c r="C61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11" s="6">
        <v>198</v>
      </c>
      <c r="E611" s="6">
        <v>6</v>
      </c>
      <c r="F611" s="6">
        <v>8</v>
      </c>
      <c r="G611" s="6">
        <v>50</v>
      </c>
      <c r="H611" s="6"/>
      <c r="I611" s="6"/>
      <c r="J611" s="6" t="s">
        <v>2404</v>
      </c>
      <c r="K611" s="6" t="s">
        <v>2438</v>
      </c>
      <c r="L611" s="6">
        <v>45</v>
      </c>
      <c r="M611" s="6">
        <v>5110</v>
      </c>
      <c r="N611" s="6">
        <v>6.67</v>
      </c>
      <c r="O611" s="6">
        <v>229</v>
      </c>
      <c r="P611" s="6" t="s">
        <v>2368</v>
      </c>
      <c r="Q611" s="6">
        <f>Table2_1[[#This Row],[Specs Score]] / (Table2_1[[#This Row],[Launched Price (USA)]] ^ 0.85)</f>
        <v>0.29253214551603918</v>
      </c>
      <c r="R611" s="6">
        <f>IFERROR(Table2_1[[#This Row],[Launched Price (USA)]] / S611, "")</f>
        <v>7.7232790377612046</v>
      </c>
      <c r="S61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29.650618458864031</v>
      </c>
      <c r="T611" s="6">
        <v>2024</v>
      </c>
    </row>
    <row r="612" spans="1:20" x14ac:dyDescent="0.25">
      <c r="A612" s="6" t="s">
        <v>2337</v>
      </c>
      <c r="B612" s="6" t="s">
        <v>2338</v>
      </c>
      <c r="C61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12" s="6">
        <v>571</v>
      </c>
      <c r="E612" s="6">
        <v>8</v>
      </c>
      <c r="F612" s="6">
        <v>8</v>
      </c>
      <c r="G612" s="6">
        <v>8</v>
      </c>
      <c r="H612" s="6"/>
      <c r="I612" s="6"/>
      <c r="J612" s="6" t="s">
        <v>1701</v>
      </c>
      <c r="K612" s="6" t="s">
        <v>2438</v>
      </c>
      <c r="L612" s="6">
        <v>50</v>
      </c>
      <c r="M612" s="6">
        <v>10000</v>
      </c>
      <c r="N612" s="6">
        <v>12.1</v>
      </c>
      <c r="O612" s="6">
        <v>280</v>
      </c>
      <c r="P612" s="6" t="s">
        <v>2369</v>
      </c>
      <c r="Q612" s="6">
        <f>Table2_1[[#This Row],[Specs Score]] / (Table2_1[[#This Row],[Launched Price (USA)]] ^ 0.85)</f>
        <v>0.36913556898051503</v>
      </c>
      <c r="R612" s="6">
        <f>IFERROR(Table2_1[[#This Row],[Launched Price (USA)]] / S612, "")</f>
        <v>6.307943721399746</v>
      </c>
      <c r="S61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44.388474654600664</v>
      </c>
      <c r="T612" s="6">
        <v>2024</v>
      </c>
    </row>
    <row r="613" spans="1:20" x14ac:dyDescent="0.25">
      <c r="A613" s="6" t="s">
        <v>2337</v>
      </c>
      <c r="B613" s="6" t="s">
        <v>2342</v>
      </c>
      <c r="C61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13" s="6">
        <v>571</v>
      </c>
      <c r="E613" s="6">
        <v>8</v>
      </c>
      <c r="F613" s="6">
        <v>8</v>
      </c>
      <c r="G613" s="6">
        <v>8</v>
      </c>
      <c r="H613" s="6"/>
      <c r="I613" s="6"/>
      <c r="J613" s="6" t="s">
        <v>1701</v>
      </c>
      <c r="K613" s="6" t="s">
        <v>2438</v>
      </c>
      <c r="L613" s="6">
        <v>50</v>
      </c>
      <c r="M613" s="6">
        <v>10000</v>
      </c>
      <c r="N613" s="6">
        <v>12.1</v>
      </c>
      <c r="O613" s="6">
        <v>300</v>
      </c>
      <c r="P613" s="6" t="s">
        <v>2369</v>
      </c>
      <c r="Q613" s="6">
        <f>Table2_1[[#This Row],[Specs Score]] / (Table2_1[[#This Row],[Launched Price (USA)]] ^ 0.85)</f>
        <v>0.37846805921165166</v>
      </c>
      <c r="R613" s="6">
        <f>IFERROR(Table2_1[[#This Row],[Launched Price (USA)]] / S613, "")</f>
        <v>6.216400047372546</v>
      </c>
      <c r="S61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48.259442396536151</v>
      </c>
      <c r="T613" s="6">
        <v>2024</v>
      </c>
    </row>
    <row r="614" spans="1:20" x14ac:dyDescent="0.25">
      <c r="A614" s="6" t="s">
        <v>1338</v>
      </c>
      <c r="B614" s="6" t="s">
        <v>1406</v>
      </c>
      <c r="C61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14" s="6">
        <v>190</v>
      </c>
      <c r="E614" s="6">
        <v>6</v>
      </c>
      <c r="F614" s="6">
        <v>16</v>
      </c>
      <c r="G614" s="6">
        <v>50</v>
      </c>
      <c r="H614" s="6">
        <v>2</v>
      </c>
      <c r="I614" s="6"/>
      <c r="J614" s="6" t="s">
        <v>2383</v>
      </c>
      <c r="K614" s="6" t="s">
        <v>2439</v>
      </c>
      <c r="L614" s="6">
        <v>22</v>
      </c>
      <c r="M614" s="6">
        <v>5000</v>
      </c>
      <c r="N614" s="6">
        <v>6.6</v>
      </c>
      <c r="O614" s="6">
        <v>220</v>
      </c>
      <c r="P614" s="6" t="s">
        <v>2368</v>
      </c>
      <c r="Q614" s="6">
        <f>Table2_1[[#This Row],[Specs Score]] / (Table2_1[[#This Row],[Launched Price (USA)]] ^ 0.85)</f>
        <v>0.25488954356687271</v>
      </c>
      <c r="R614" s="6">
        <f>IFERROR(Table2_1[[#This Row],[Launched Price (USA)]] / S614, "")</f>
        <v>8.8107196491613919</v>
      </c>
      <c r="S61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24.969583502857191</v>
      </c>
      <c r="T614" s="6">
        <v>2024</v>
      </c>
    </row>
    <row r="615" spans="1:20" x14ac:dyDescent="0.25">
      <c r="A615" s="6" t="s">
        <v>1338</v>
      </c>
      <c r="B615" s="6" t="s">
        <v>1410</v>
      </c>
      <c r="C61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15" s="6">
        <v>190</v>
      </c>
      <c r="E615" s="6">
        <v>8</v>
      </c>
      <c r="F615" s="6">
        <v>16</v>
      </c>
      <c r="G615" s="6">
        <v>50</v>
      </c>
      <c r="H615" s="6">
        <v>2</v>
      </c>
      <c r="I615" s="6"/>
      <c r="J615" s="6" t="s">
        <v>2383</v>
      </c>
      <c r="K615" s="6" t="s">
        <v>2439</v>
      </c>
      <c r="L615" s="6">
        <v>22</v>
      </c>
      <c r="M615" s="6">
        <v>5000</v>
      </c>
      <c r="N615" s="6">
        <v>6.6</v>
      </c>
      <c r="O615" s="6">
        <v>240</v>
      </c>
      <c r="P615" s="6" t="s">
        <v>2368</v>
      </c>
      <c r="Q615" s="6">
        <f>Table2_1[[#This Row],[Specs Score]] / (Table2_1[[#This Row],[Launched Price (USA)]] ^ 0.85)</f>
        <v>0.29237657652453281</v>
      </c>
      <c r="R615" s="6">
        <f>IFERROR(Table2_1[[#This Row],[Launched Price (USA)]] / S615, "")</f>
        <v>7.7819620698421605</v>
      </c>
      <c r="S61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30.840551244792671</v>
      </c>
      <c r="T615" s="6">
        <v>2024</v>
      </c>
    </row>
    <row r="616" spans="1:20" x14ac:dyDescent="0.25">
      <c r="A616" s="6" t="s">
        <v>1338</v>
      </c>
      <c r="B616" s="6" t="s">
        <v>1432</v>
      </c>
      <c r="C61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16" s="6">
        <v>184</v>
      </c>
      <c r="E616" s="6">
        <v>6</v>
      </c>
      <c r="F616" s="6">
        <v>16</v>
      </c>
      <c r="G616" s="6">
        <v>50</v>
      </c>
      <c r="H616" s="6">
        <v>2</v>
      </c>
      <c r="I616" s="6"/>
      <c r="J616" s="6" t="s">
        <v>2383</v>
      </c>
      <c r="K616" s="6" t="s">
        <v>2439</v>
      </c>
      <c r="L616" s="6">
        <v>22</v>
      </c>
      <c r="M616" s="6">
        <v>5000</v>
      </c>
      <c r="N616" s="6">
        <v>6.6</v>
      </c>
      <c r="O616" s="6">
        <v>200</v>
      </c>
      <c r="P616" s="6" t="s">
        <v>2368</v>
      </c>
      <c r="Q616" s="6">
        <f>Table2_1[[#This Row],[Specs Score]] / (Table2_1[[#This Row],[Launched Price (USA)]] ^ 0.85)</f>
        <v>0.27639857648113525</v>
      </c>
      <c r="R616" s="6">
        <f>IFERROR(Table2_1[[#This Row],[Launched Price (USA)]] / S616, "")</f>
        <v>8.0097451356012659</v>
      </c>
      <c r="S61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24.969583502857191</v>
      </c>
      <c r="T616" s="6">
        <v>2024</v>
      </c>
    </row>
    <row r="617" spans="1:20" x14ac:dyDescent="0.25">
      <c r="A617" s="6" t="s">
        <v>1338</v>
      </c>
      <c r="B617" s="6" t="s">
        <v>1436</v>
      </c>
      <c r="C61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17" s="6">
        <v>184</v>
      </c>
      <c r="E617" s="6">
        <v>8</v>
      </c>
      <c r="F617" s="6">
        <v>16</v>
      </c>
      <c r="G617" s="6">
        <v>50</v>
      </c>
      <c r="H617" s="6">
        <v>2</v>
      </c>
      <c r="I617" s="6"/>
      <c r="J617" s="6" t="s">
        <v>2383</v>
      </c>
      <c r="K617" s="6" t="s">
        <v>2439</v>
      </c>
      <c r="L617" s="6">
        <v>22</v>
      </c>
      <c r="M617" s="6">
        <v>5000</v>
      </c>
      <c r="N617" s="6">
        <v>6.6</v>
      </c>
      <c r="O617" s="6">
        <v>220</v>
      </c>
      <c r="P617" s="6" t="s">
        <v>2368</v>
      </c>
      <c r="Q617" s="6">
        <f>Table2_1[[#This Row],[Specs Score]] / (Table2_1[[#This Row],[Launched Price (USA)]] ^ 0.85)</f>
        <v>0.31482039054581945</v>
      </c>
      <c r="R617" s="6">
        <f>IFERROR(Table2_1[[#This Row],[Launched Price (USA)]] / S617, "")</f>
        <v>7.133465230688647</v>
      </c>
      <c r="S61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30.840551244792671</v>
      </c>
      <c r="T617" s="6">
        <v>2024</v>
      </c>
    </row>
    <row r="618" spans="1:20" x14ac:dyDescent="0.25">
      <c r="A618" s="6" t="s">
        <v>1338</v>
      </c>
      <c r="B618" s="6" t="s">
        <v>1447</v>
      </c>
      <c r="C61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18" s="6">
        <v>195</v>
      </c>
      <c r="E618" s="6">
        <v>6</v>
      </c>
      <c r="F618" s="6">
        <v>16</v>
      </c>
      <c r="G618" s="6">
        <v>50</v>
      </c>
      <c r="H618" s="6">
        <v>2</v>
      </c>
      <c r="I618" s="6"/>
      <c r="J618" s="6" t="s">
        <v>2390</v>
      </c>
      <c r="K618" s="6" t="s">
        <v>2439</v>
      </c>
      <c r="L618" s="6">
        <v>22</v>
      </c>
      <c r="M618" s="6">
        <v>5000</v>
      </c>
      <c r="N618" s="6">
        <v>6.5</v>
      </c>
      <c r="O618" s="6">
        <v>180</v>
      </c>
      <c r="P618" s="6" t="s">
        <v>2368</v>
      </c>
      <c r="Q618" s="6">
        <f>Table2_1[[#This Row],[Specs Score]] / (Table2_1[[#This Row],[Launched Price (USA)]] ^ 0.85)</f>
        <v>0.30103300554917584</v>
      </c>
      <c r="R618" s="6">
        <f>IFERROR(Table2_1[[#This Row],[Launched Price (USA)]] / S618, "")</f>
        <v>7.2389697380024582</v>
      </c>
      <c r="S61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24.865416836190519</v>
      </c>
      <c r="T618" s="6">
        <v>2024</v>
      </c>
    </row>
    <row r="619" spans="1:20" x14ac:dyDescent="0.25">
      <c r="A619" s="6" t="s">
        <v>1338</v>
      </c>
      <c r="B619" s="6" t="s">
        <v>1451</v>
      </c>
      <c r="C61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19" s="6">
        <v>193</v>
      </c>
      <c r="E619" s="6">
        <v>6</v>
      </c>
      <c r="F619" s="6">
        <v>16</v>
      </c>
      <c r="G619" s="6">
        <v>50</v>
      </c>
      <c r="H619" s="6">
        <v>2</v>
      </c>
      <c r="I619" s="6"/>
      <c r="J619" s="6" t="s">
        <v>2394</v>
      </c>
      <c r="K619" s="6" t="s">
        <v>2439</v>
      </c>
      <c r="L619" s="6">
        <v>14</v>
      </c>
      <c r="M619" s="6">
        <v>5000</v>
      </c>
      <c r="N619" s="6">
        <v>6.5</v>
      </c>
      <c r="O619" s="6">
        <v>160</v>
      </c>
      <c r="P619" s="6" t="s">
        <v>2368</v>
      </c>
      <c r="Q619" s="6">
        <f>Table2_1[[#This Row],[Specs Score]] / (Table2_1[[#This Row],[Launched Price (USA)]] ^ 0.85)</f>
        <v>0.30569846701083797</v>
      </c>
      <c r="R619" s="6">
        <f>IFERROR(Table2_1[[#This Row],[Launched Price (USA)]] / S619, "")</f>
        <v>7.0036548699039622</v>
      </c>
      <c r="S61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22.845214815988498</v>
      </c>
      <c r="T619" s="6">
        <v>2024</v>
      </c>
    </row>
    <row r="620" spans="1:20" x14ac:dyDescent="0.25">
      <c r="A620" s="6" t="s">
        <v>1338</v>
      </c>
      <c r="B620" s="6" t="s">
        <v>1457</v>
      </c>
      <c r="C62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20" s="6">
        <v>198</v>
      </c>
      <c r="E620" s="6">
        <v>8</v>
      </c>
      <c r="F620" s="6">
        <v>16</v>
      </c>
      <c r="G620" s="6">
        <v>50</v>
      </c>
      <c r="H620" s="6">
        <v>2</v>
      </c>
      <c r="I620" s="6"/>
      <c r="J620" s="6" t="s">
        <v>2373</v>
      </c>
      <c r="K620" s="6" t="s">
        <v>2439</v>
      </c>
      <c r="L620" s="6">
        <v>18</v>
      </c>
      <c r="M620" s="6">
        <v>5000</v>
      </c>
      <c r="N620" s="6">
        <v>6.6</v>
      </c>
      <c r="O620" s="6">
        <v>210</v>
      </c>
      <c r="P620" s="6" t="s">
        <v>2368</v>
      </c>
      <c r="Q620" s="6">
        <f>Table2_1[[#This Row],[Specs Score]] / (Table2_1[[#This Row],[Launched Price (USA)]] ^ 0.85)</f>
        <v>0.27568277388852214</v>
      </c>
      <c r="R620" s="6">
        <f>IFERROR(Table2_1[[#This Row],[Launched Price (USA)]] / S620, "")</f>
        <v>8.0895295219617385</v>
      </c>
      <c r="S62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25.95948249275618</v>
      </c>
      <c r="T620" s="6">
        <v>2024</v>
      </c>
    </row>
    <row r="621" spans="1:20" x14ac:dyDescent="0.25">
      <c r="A621" s="6" t="s">
        <v>1338</v>
      </c>
      <c r="B621" s="6" t="s">
        <v>1465</v>
      </c>
      <c r="C62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21" s="6">
        <v>190</v>
      </c>
      <c r="E621" s="6">
        <v>6</v>
      </c>
      <c r="F621" s="6">
        <v>8</v>
      </c>
      <c r="G621" s="6">
        <v>50</v>
      </c>
      <c r="H621" s="6">
        <v>2</v>
      </c>
      <c r="I621" s="6"/>
      <c r="J621" s="6" t="s">
        <v>2391</v>
      </c>
      <c r="K621" s="6" t="s">
        <v>2439</v>
      </c>
      <c r="L621" s="6">
        <v>12</v>
      </c>
      <c r="M621" s="6">
        <v>5000</v>
      </c>
      <c r="N621" s="6">
        <v>6.6</v>
      </c>
      <c r="O621" s="6">
        <v>160</v>
      </c>
      <c r="P621" s="6" t="s">
        <v>2368</v>
      </c>
      <c r="Q621" s="6">
        <f>Table2_1[[#This Row],[Specs Score]] / (Table2_1[[#This Row],[Launched Price (USA)]] ^ 0.85)</f>
        <v>0.28187717063990275</v>
      </c>
      <c r="R621" s="6">
        <f>IFERROR(Table2_1[[#This Row],[Launched Price (USA)]] / S621, "")</f>
        <v>7.5955301819662457</v>
      </c>
      <c r="S62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21.065020632777077</v>
      </c>
      <c r="T621" s="6">
        <v>2024</v>
      </c>
    </row>
    <row r="622" spans="1:20" x14ac:dyDescent="0.25">
      <c r="A622" s="6" t="s">
        <v>1338</v>
      </c>
      <c r="B622" s="6" t="s">
        <v>1467</v>
      </c>
      <c r="C62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22" s="6">
        <v>190</v>
      </c>
      <c r="E622" s="6">
        <v>8</v>
      </c>
      <c r="F622" s="6">
        <v>8</v>
      </c>
      <c r="G622" s="6">
        <v>50</v>
      </c>
      <c r="H622" s="6">
        <v>2</v>
      </c>
      <c r="I622" s="6"/>
      <c r="J622" s="6" t="s">
        <v>2391</v>
      </c>
      <c r="K622" s="6" t="s">
        <v>2439</v>
      </c>
      <c r="L622" s="6">
        <v>12</v>
      </c>
      <c r="M622" s="6">
        <v>5000</v>
      </c>
      <c r="N622" s="6">
        <v>6.6</v>
      </c>
      <c r="O622" s="6">
        <v>180</v>
      </c>
      <c r="P622" s="6" t="s">
        <v>2368</v>
      </c>
      <c r="Q622" s="6">
        <f>Table2_1[[#This Row],[Specs Score]] / (Table2_1[[#This Row],[Launched Price (USA)]] ^ 0.85)</f>
        <v>0.32610036627560735</v>
      </c>
      <c r="R622" s="6">
        <f>IFERROR(Table2_1[[#This Row],[Launched Price (USA)]] / S622, "")</f>
        <v>6.6825095666058258</v>
      </c>
      <c r="S62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26.935988374712561</v>
      </c>
      <c r="T622" s="6">
        <v>2024</v>
      </c>
    </row>
    <row r="623" spans="1:20" x14ac:dyDescent="0.25">
      <c r="A623" s="6" t="s">
        <v>1338</v>
      </c>
      <c r="B623" s="6" t="s">
        <v>1468</v>
      </c>
      <c r="C62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23" s="6">
        <v>189</v>
      </c>
      <c r="E623" s="6">
        <v>4</v>
      </c>
      <c r="F623" s="6">
        <v>8</v>
      </c>
      <c r="G623" s="6">
        <v>50</v>
      </c>
      <c r="H623" s="6">
        <v>2</v>
      </c>
      <c r="I623" s="6"/>
      <c r="J623" s="6" t="s">
        <v>1469</v>
      </c>
      <c r="K623" s="6" t="s">
        <v>2439</v>
      </c>
      <c r="L623" s="6">
        <v>6</v>
      </c>
      <c r="M623" s="6">
        <v>5000</v>
      </c>
      <c r="N623" s="6">
        <v>6.5</v>
      </c>
      <c r="O623" s="6">
        <v>130</v>
      </c>
      <c r="P623" s="6" t="s">
        <v>2368</v>
      </c>
      <c r="Q623" s="6">
        <f>Table2_1[[#This Row],[Specs Score]] / (Table2_1[[#This Row],[Launched Price (USA)]] ^ 0.85)</f>
        <v>0.27850731828593572</v>
      </c>
      <c r="R623" s="6">
        <f>IFERROR(Table2_1[[#This Row],[Launched Price (USA)]] / S623, "")</f>
        <v>7.4516919204279226</v>
      </c>
      <c r="S62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17.445702450958894</v>
      </c>
      <c r="T623" s="6">
        <v>2024</v>
      </c>
    </row>
    <row r="624" spans="1:20" x14ac:dyDescent="0.25">
      <c r="A624" s="6" t="s">
        <v>1338</v>
      </c>
      <c r="B624" s="6" t="s">
        <v>1473</v>
      </c>
      <c r="C62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24" s="6">
        <v>195</v>
      </c>
      <c r="E624" s="6">
        <v>6</v>
      </c>
      <c r="F624" s="6">
        <v>8</v>
      </c>
      <c r="G624" s="6">
        <v>50</v>
      </c>
      <c r="H624" s="6">
        <v>2</v>
      </c>
      <c r="I624" s="6"/>
      <c r="J624" s="6" t="s">
        <v>2394</v>
      </c>
      <c r="K624" s="6" t="s">
        <v>2439</v>
      </c>
      <c r="L624" s="6">
        <v>14</v>
      </c>
      <c r="M624" s="6">
        <v>5000</v>
      </c>
      <c r="N624" s="6">
        <v>6.6</v>
      </c>
      <c r="O624" s="6">
        <v>170</v>
      </c>
      <c r="P624" s="6" t="s">
        <v>2368</v>
      </c>
      <c r="Q624" s="6">
        <f>Table2_1[[#This Row],[Specs Score]] / (Table2_1[[#This Row],[Launched Price (USA)]] ^ 0.85)</f>
        <v>0.27413847608198999</v>
      </c>
      <c r="R624" s="6">
        <f>IFERROR(Table2_1[[#This Row],[Launched Price (USA)]] / S624, "")</f>
        <v>7.881290651001601</v>
      </c>
      <c r="S62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21.570071137827583</v>
      </c>
      <c r="T624" s="6">
        <v>2024</v>
      </c>
    </row>
    <row r="625" spans="1:20" x14ac:dyDescent="0.25">
      <c r="A625" s="6" t="s">
        <v>1338</v>
      </c>
      <c r="B625" s="6" t="s">
        <v>1476</v>
      </c>
      <c r="C62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25" s="6">
        <v>195</v>
      </c>
      <c r="E625" s="6">
        <v>8</v>
      </c>
      <c r="F625" s="6">
        <v>8</v>
      </c>
      <c r="G625" s="6">
        <v>50</v>
      </c>
      <c r="H625" s="6">
        <v>2</v>
      </c>
      <c r="I625" s="6"/>
      <c r="J625" s="6" t="s">
        <v>2394</v>
      </c>
      <c r="K625" s="6" t="s">
        <v>2439</v>
      </c>
      <c r="L625" s="6">
        <v>14</v>
      </c>
      <c r="M625" s="6">
        <v>5000</v>
      </c>
      <c r="N625" s="6">
        <v>6.6</v>
      </c>
      <c r="O625" s="6">
        <v>190</v>
      </c>
      <c r="P625" s="6" t="s">
        <v>2368</v>
      </c>
      <c r="Q625" s="6">
        <f>Table2_1[[#This Row],[Specs Score]] / (Table2_1[[#This Row],[Launched Price (USA)]] ^ 0.85)</f>
        <v>0.31729263277528474</v>
      </c>
      <c r="R625" s="6">
        <f>IFERROR(Table2_1[[#This Row],[Launched Price (USA)]] / S625, "")</f>
        <v>6.9239361101637895</v>
      </c>
      <c r="S62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27.441038879763067</v>
      </c>
      <c r="T625" s="6">
        <v>2024</v>
      </c>
    </row>
    <row r="626" spans="1:20" x14ac:dyDescent="0.25">
      <c r="A626" s="6" t="s">
        <v>1338</v>
      </c>
      <c r="B626" s="6" t="s">
        <v>1483</v>
      </c>
      <c r="C62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26" s="6">
        <v>191</v>
      </c>
      <c r="E626" s="6">
        <v>6</v>
      </c>
      <c r="F626" s="6">
        <v>8</v>
      </c>
      <c r="G626" s="6">
        <v>50</v>
      </c>
      <c r="H626" s="6">
        <v>2</v>
      </c>
      <c r="I626" s="6"/>
      <c r="J626" s="6" t="s">
        <v>2391</v>
      </c>
      <c r="K626" s="6" t="s">
        <v>2439</v>
      </c>
      <c r="L626" s="6">
        <v>12</v>
      </c>
      <c r="M626" s="6">
        <v>5000</v>
      </c>
      <c r="N626" s="6">
        <v>6.6</v>
      </c>
      <c r="O626" s="6">
        <v>150</v>
      </c>
      <c r="P626" s="6" t="s">
        <v>2368</v>
      </c>
      <c r="Q626" s="6">
        <f>Table2_1[[#This Row],[Specs Score]] / (Table2_1[[#This Row],[Launched Price (USA)]] ^ 0.85)</f>
        <v>0.29777231591152009</v>
      </c>
      <c r="R626" s="6">
        <f>IFERROR(Table2_1[[#This Row],[Launched Price (USA)]] / S626, "")</f>
        <v>7.1208095455933558</v>
      </c>
      <c r="S62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21.065020632777077</v>
      </c>
      <c r="T626" s="6">
        <v>2024</v>
      </c>
    </row>
    <row r="627" spans="1:20" x14ac:dyDescent="0.25">
      <c r="A627" s="6" t="s">
        <v>1338</v>
      </c>
      <c r="B627" s="6" t="s">
        <v>1489</v>
      </c>
      <c r="C62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27" s="6">
        <v>189</v>
      </c>
      <c r="E627" s="6">
        <v>6</v>
      </c>
      <c r="F627" s="6">
        <v>8</v>
      </c>
      <c r="G627" s="6">
        <v>64</v>
      </c>
      <c r="H627" s="6">
        <v>2</v>
      </c>
      <c r="I627" s="6"/>
      <c r="J627" s="6" t="s">
        <v>2394</v>
      </c>
      <c r="K627" s="6" t="s">
        <v>2439</v>
      </c>
      <c r="L627" s="6">
        <v>14</v>
      </c>
      <c r="M627" s="6">
        <v>5000</v>
      </c>
      <c r="N627" s="6">
        <v>6.72</v>
      </c>
      <c r="O627" s="6">
        <v>170</v>
      </c>
      <c r="P627" s="6" t="s">
        <v>2368</v>
      </c>
      <c r="Q627" s="6">
        <f>Table2_1[[#This Row],[Specs Score]] / (Table2_1[[#This Row],[Launched Price (USA)]] ^ 0.85)</f>
        <v>0.28485168492943208</v>
      </c>
      <c r="R627" s="6">
        <f>IFERROR(Table2_1[[#This Row],[Launched Price (USA)]] / S627, "")</f>
        <v>7.5848770533341341</v>
      </c>
      <c r="S62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22.413019855776302</v>
      </c>
      <c r="T627" s="6">
        <v>2023</v>
      </c>
    </row>
    <row r="628" spans="1:20" x14ac:dyDescent="0.25">
      <c r="A628" s="6" t="s">
        <v>1338</v>
      </c>
      <c r="B628" s="6" t="s">
        <v>1490</v>
      </c>
      <c r="C62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28" s="6">
        <v>189</v>
      </c>
      <c r="E628" s="6">
        <v>8</v>
      </c>
      <c r="F628" s="6">
        <v>8</v>
      </c>
      <c r="G628" s="6">
        <v>64</v>
      </c>
      <c r="H628" s="6">
        <v>2</v>
      </c>
      <c r="I628" s="6"/>
      <c r="J628" s="6" t="s">
        <v>2394</v>
      </c>
      <c r="K628" s="6" t="s">
        <v>2439</v>
      </c>
      <c r="L628" s="6">
        <v>14</v>
      </c>
      <c r="M628" s="6">
        <v>5000</v>
      </c>
      <c r="N628" s="6">
        <v>6.72</v>
      </c>
      <c r="O628" s="6">
        <v>190</v>
      </c>
      <c r="P628" s="6" t="s">
        <v>2368</v>
      </c>
      <c r="Q628" s="6">
        <f>Table2_1[[#This Row],[Specs Score]] / (Table2_1[[#This Row],[Launched Price (USA)]] ^ 0.85)</f>
        <v>0.32703939998713927</v>
      </c>
      <c r="R628" s="6">
        <f>IFERROR(Table2_1[[#This Row],[Launched Price (USA)]] / S628, "")</f>
        <v>6.717581788763451</v>
      </c>
      <c r="S62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28.283987597711786</v>
      </c>
      <c r="T628" s="6">
        <v>2023</v>
      </c>
    </row>
    <row r="629" spans="1:20" x14ac:dyDescent="0.25">
      <c r="A629" s="6" t="s">
        <v>1338</v>
      </c>
      <c r="B629" s="6" t="s">
        <v>1491</v>
      </c>
      <c r="C62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29" s="6">
        <v>198</v>
      </c>
      <c r="E629" s="6">
        <v>6</v>
      </c>
      <c r="F629" s="6">
        <v>16</v>
      </c>
      <c r="G629" s="6">
        <v>50</v>
      </c>
      <c r="H629" s="6">
        <v>2</v>
      </c>
      <c r="I629" s="6"/>
      <c r="J629" s="6" t="s">
        <v>2383</v>
      </c>
      <c r="K629" s="6" t="s">
        <v>2439</v>
      </c>
      <c r="L629" s="6">
        <v>22</v>
      </c>
      <c r="M629" s="6">
        <v>5200</v>
      </c>
      <c r="N629" s="6">
        <v>6.6</v>
      </c>
      <c r="O629" s="6">
        <v>210</v>
      </c>
      <c r="P629" s="6" t="s">
        <v>2368</v>
      </c>
      <c r="Q629" s="6">
        <f>Table2_1[[#This Row],[Specs Score]] / (Table2_1[[#This Row],[Launched Price (USA)]] ^ 0.85)</f>
        <v>0.26863326730636716</v>
      </c>
      <c r="R629" s="6">
        <f>IFERROR(Table2_1[[#This Row],[Launched Price (USA)]] / S629, "")</f>
        <v>8.3018159308024142</v>
      </c>
      <c r="S62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25.295670459378925</v>
      </c>
      <c r="T629" s="6">
        <v>2024</v>
      </c>
    </row>
    <row r="630" spans="1:20" x14ac:dyDescent="0.25">
      <c r="A630" s="6" t="s">
        <v>1338</v>
      </c>
      <c r="B630" s="6" t="s">
        <v>1496</v>
      </c>
      <c r="C63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30" s="6">
        <v>195</v>
      </c>
      <c r="E630" s="6">
        <v>6</v>
      </c>
      <c r="F630" s="6">
        <v>16</v>
      </c>
      <c r="G630" s="6">
        <v>50</v>
      </c>
      <c r="H630" s="6">
        <v>2</v>
      </c>
      <c r="I630" s="6"/>
      <c r="J630" s="6" t="s">
        <v>2390</v>
      </c>
      <c r="K630" s="6" t="s">
        <v>2439</v>
      </c>
      <c r="L630" s="6">
        <v>22</v>
      </c>
      <c r="M630" s="6">
        <v>5000</v>
      </c>
      <c r="N630" s="6">
        <v>6.5</v>
      </c>
      <c r="O630" s="6">
        <v>170</v>
      </c>
      <c r="P630" s="6" t="s">
        <v>2368</v>
      </c>
      <c r="Q630" s="6">
        <f>Table2_1[[#This Row],[Specs Score]] / (Table2_1[[#This Row],[Launched Price (USA)]] ^ 0.85)</f>
        <v>0.31601970318319744</v>
      </c>
      <c r="R630" s="6">
        <f>IFERROR(Table2_1[[#This Row],[Launched Price (USA)]] / S630, "")</f>
        <v>6.8368047525578772</v>
      </c>
      <c r="S63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24.865416836190519</v>
      </c>
      <c r="T630" s="6">
        <v>2024</v>
      </c>
    </row>
    <row r="631" spans="1:20" x14ac:dyDescent="0.25">
      <c r="A631" s="6" t="s">
        <v>1338</v>
      </c>
      <c r="B631" s="6" t="s">
        <v>1511</v>
      </c>
      <c r="C631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631" s="6">
        <v>440</v>
      </c>
      <c r="E631" s="6">
        <v>4</v>
      </c>
      <c r="F631" s="6">
        <v>8</v>
      </c>
      <c r="G631" s="6">
        <v>8</v>
      </c>
      <c r="H631" s="6"/>
      <c r="I631" s="6"/>
      <c r="J631" s="6" t="s">
        <v>2385</v>
      </c>
      <c r="K631" s="6" t="s">
        <v>2439</v>
      </c>
      <c r="L631" s="6">
        <v>10</v>
      </c>
      <c r="M631" s="6">
        <v>7100</v>
      </c>
      <c r="N631" s="6">
        <v>10.4</v>
      </c>
      <c r="O631" s="6">
        <v>200</v>
      </c>
      <c r="P631" s="6" t="s">
        <v>2369</v>
      </c>
      <c r="Q631" s="6">
        <f>Table2_1[[#This Row],[Specs Score]] / (Table2_1[[#This Row],[Launched Price (USA)]] ^ 0.85)</f>
        <v>0.24189857689490438</v>
      </c>
      <c r="R631" s="6">
        <f>IFERROR(Table2_1[[#This Row],[Launched Price (USA)]] / S631, "")</f>
        <v>9.1521090445221347</v>
      </c>
      <c r="S63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21.852886479724273</v>
      </c>
      <c r="T631" s="6">
        <v>2021</v>
      </c>
    </row>
    <row r="632" spans="1:20" x14ac:dyDescent="0.25">
      <c r="A632" s="6" t="s">
        <v>1338</v>
      </c>
      <c r="B632" s="6" t="s">
        <v>1094</v>
      </c>
      <c r="C63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32" s="6">
        <v>440</v>
      </c>
      <c r="E632" s="6">
        <v>6</v>
      </c>
      <c r="F632" s="6">
        <v>8</v>
      </c>
      <c r="G632" s="6">
        <v>8</v>
      </c>
      <c r="H632" s="6"/>
      <c r="I632" s="6"/>
      <c r="J632" s="6" t="s">
        <v>2385</v>
      </c>
      <c r="K632" s="6" t="s">
        <v>2439</v>
      </c>
      <c r="L632" s="6">
        <v>10</v>
      </c>
      <c r="M632" s="6">
        <v>7100</v>
      </c>
      <c r="N632" s="6">
        <v>10.4</v>
      </c>
      <c r="O632" s="6">
        <v>230</v>
      </c>
      <c r="P632" s="6" t="s">
        <v>2369</v>
      </c>
      <c r="Q632" s="6">
        <f>Table2_1[[#This Row],[Specs Score]] / (Table2_1[[#This Row],[Launched Price (USA)]] ^ 0.85)</f>
        <v>0.25348673521658416</v>
      </c>
      <c r="R632" s="6">
        <f>IFERROR(Table2_1[[#This Row],[Launched Price (USA)]] / S632, "")</f>
        <v>8.9187489117096579</v>
      </c>
      <c r="S63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25.788370350692013</v>
      </c>
      <c r="T632" s="6">
        <v>2021</v>
      </c>
    </row>
    <row r="633" spans="1:20" x14ac:dyDescent="0.25">
      <c r="A633" s="6" t="s">
        <v>1338</v>
      </c>
      <c r="B633" s="6" t="s">
        <v>1516</v>
      </c>
      <c r="C63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33" s="6">
        <v>482</v>
      </c>
      <c r="E633" s="6">
        <v>6</v>
      </c>
      <c r="F633" s="6">
        <v>8</v>
      </c>
      <c r="G633" s="6">
        <v>8</v>
      </c>
      <c r="H633" s="6"/>
      <c r="I633" s="6"/>
      <c r="J633" s="6" t="s">
        <v>2390</v>
      </c>
      <c r="K633" s="6" t="s">
        <v>2439</v>
      </c>
      <c r="L633" s="6">
        <v>22</v>
      </c>
      <c r="M633" s="6">
        <v>8360</v>
      </c>
      <c r="N633" s="6">
        <v>11.5</v>
      </c>
      <c r="O633" s="6">
        <v>280</v>
      </c>
      <c r="P633" s="6" t="s">
        <v>2369</v>
      </c>
      <c r="Q633" s="6">
        <f>Table2_1[[#This Row],[Specs Score]] / (Table2_1[[#This Row],[Launched Price (USA)]] ^ 0.85)</f>
        <v>0.26626952561109335</v>
      </c>
      <c r="R633" s="6">
        <f>IFERROR(Table2_1[[#This Row],[Launched Price (USA)]] / S633, "")</f>
        <v>8.7448474974822741</v>
      </c>
      <c r="S63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32.018854540415333</v>
      </c>
      <c r="T633" s="6">
        <v>2023</v>
      </c>
    </row>
    <row r="634" spans="1:20" x14ac:dyDescent="0.25">
      <c r="A634" s="6" t="s">
        <v>1338</v>
      </c>
      <c r="B634" s="6" t="s">
        <v>1096</v>
      </c>
      <c r="C63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34" s="6">
        <v>482</v>
      </c>
      <c r="E634" s="6">
        <v>8</v>
      </c>
      <c r="F634" s="6">
        <v>8</v>
      </c>
      <c r="G634" s="6">
        <v>8</v>
      </c>
      <c r="H634" s="6"/>
      <c r="I634" s="6"/>
      <c r="J634" s="6" t="s">
        <v>2390</v>
      </c>
      <c r="K634" s="6" t="s">
        <v>2439</v>
      </c>
      <c r="L634" s="6">
        <v>22</v>
      </c>
      <c r="M634" s="6">
        <v>8360</v>
      </c>
      <c r="N634" s="6">
        <v>11.5</v>
      </c>
      <c r="O634" s="6">
        <v>320</v>
      </c>
      <c r="P634" s="6" t="s">
        <v>2369</v>
      </c>
      <c r="Q634" s="6">
        <f>Table2_1[[#This Row],[Specs Score]] / (Table2_1[[#This Row],[Launched Price (USA)]] ^ 0.85)</f>
        <v>0.28128403716276695</v>
      </c>
      <c r="R634" s="6">
        <f>IFERROR(Table2_1[[#This Row],[Launched Price (USA)]] / S634, "")</f>
        <v>8.445539744562403</v>
      </c>
      <c r="S63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37.889822282350821</v>
      </c>
      <c r="T634" s="6">
        <v>2023</v>
      </c>
    </row>
    <row r="635" spans="1:20" x14ac:dyDescent="0.25">
      <c r="A635" s="6" t="s">
        <v>1338</v>
      </c>
      <c r="B635" s="6" t="s">
        <v>1523</v>
      </c>
      <c r="C635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635" s="6">
        <v>466</v>
      </c>
      <c r="E635" s="6">
        <v>4</v>
      </c>
      <c r="F635" s="6">
        <v>8</v>
      </c>
      <c r="G635" s="6">
        <v>8</v>
      </c>
      <c r="H635" s="6"/>
      <c r="I635" s="6"/>
      <c r="J635" s="6" t="s">
        <v>2391</v>
      </c>
      <c r="K635" s="6" t="s">
        <v>2439</v>
      </c>
      <c r="L635" s="6">
        <v>12</v>
      </c>
      <c r="M635" s="6">
        <v>7100</v>
      </c>
      <c r="N635" s="6">
        <v>10.4</v>
      </c>
      <c r="O635" s="6">
        <v>190</v>
      </c>
      <c r="P635" s="6" t="s">
        <v>2369</v>
      </c>
      <c r="Q635" s="6">
        <f>Table2_1[[#This Row],[Specs Score]] / (Table2_1[[#This Row],[Launched Price (USA)]] ^ 0.85)</f>
        <v>0.2585182259464206</v>
      </c>
      <c r="R635" s="6">
        <f>IFERROR(Table2_1[[#This Row],[Launched Price (USA)]] / S635, "")</f>
        <v>8.4981007026446793</v>
      </c>
      <c r="S63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22.357936984774778</v>
      </c>
      <c r="T635" s="6">
        <v>2023</v>
      </c>
    </row>
    <row r="636" spans="1:20" x14ac:dyDescent="0.25">
      <c r="A636" s="6" t="s">
        <v>1338</v>
      </c>
      <c r="B636" s="6" t="s">
        <v>1525</v>
      </c>
      <c r="C63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36" s="6">
        <v>466</v>
      </c>
      <c r="E636" s="6">
        <v>6</v>
      </c>
      <c r="F636" s="6">
        <v>8</v>
      </c>
      <c r="G636" s="6">
        <v>8</v>
      </c>
      <c r="H636" s="6"/>
      <c r="I636" s="6"/>
      <c r="J636" s="6" t="s">
        <v>2391</v>
      </c>
      <c r="K636" s="6" t="s">
        <v>2439</v>
      </c>
      <c r="L636" s="6">
        <v>12</v>
      </c>
      <c r="M636" s="6">
        <v>7100</v>
      </c>
      <c r="N636" s="6">
        <v>10.4</v>
      </c>
      <c r="O636" s="6">
        <v>210</v>
      </c>
      <c r="P636" s="6" t="s">
        <v>2369</v>
      </c>
      <c r="Q636" s="6">
        <f>Table2_1[[#This Row],[Specs Score]] / (Table2_1[[#This Row],[Launched Price (USA)]] ^ 0.85)</f>
        <v>0.27922911015472296</v>
      </c>
      <c r="R636" s="6">
        <f>IFERROR(Table2_1[[#This Row],[Launched Price (USA)]] / S636, "")</f>
        <v>7.9867888302611538</v>
      </c>
      <c r="S63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26.293420855742518</v>
      </c>
      <c r="T636" s="6">
        <v>2023</v>
      </c>
    </row>
    <row r="637" spans="1:20" x14ac:dyDescent="0.25">
      <c r="A637" s="6" t="s">
        <v>1338</v>
      </c>
      <c r="B637" s="6" t="s">
        <v>1534</v>
      </c>
      <c r="C637" s="6">
        <f>IF(ISNUMBER(SEARCH("GB", Table2_1[[#This Row],[Model Name]])), IFERROR(VALUE(TRIM(RIGHT(SUBSTITUTE(LEFT(Table2_1[[#This Row],[Model Name]], SEARCH("GB", Table2_1[[#This Row],[Model Name]])-1), " ", REPT(" ", 100)), 100))), 128), 128)</f>
        <v>32</v>
      </c>
      <c r="D637" s="6">
        <v>372</v>
      </c>
      <c r="E637" s="6">
        <v>3</v>
      </c>
      <c r="F637" s="6">
        <v>5</v>
      </c>
      <c r="G637" s="6">
        <v>8</v>
      </c>
      <c r="H637" s="6"/>
      <c r="I637" s="6"/>
      <c r="J637" s="6" t="s">
        <v>1536</v>
      </c>
      <c r="K637" s="6" t="s">
        <v>2439</v>
      </c>
      <c r="L637" s="6">
        <v>8</v>
      </c>
      <c r="M637" s="6">
        <v>6400</v>
      </c>
      <c r="N637" s="6">
        <v>8.6999999999999993</v>
      </c>
      <c r="O637" s="6">
        <v>160</v>
      </c>
      <c r="P637" s="6" t="s">
        <v>2369</v>
      </c>
      <c r="Q637" s="6">
        <f>Table2_1[[#This Row],[Specs Score]] / (Table2_1[[#This Row],[Launched Price (USA)]] ^ 0.85)</f>
        <v>0.21344115850943762</v>
      </c>
      <c r="R637" s="6">
        <f>IFERROR(Table2_1[[#This Row],[Launched Price (USA)]] / S637, "")</f>
        <v>10.030898314806342</v>
      </c>
      <c r="S63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15.950714978720127</v>
      </c>
      <c r="T637" s="6">
        <v>2022</v>
      </c>
    </row>
    <row r="638" spans="1:20" x14ac:dyDescent="0.25">
      <c r="A638" s="6" t="s">
        <v>1338</v>
      </c>
      <c r="B638" s="6" t="s">
        <v>1538</v>
      </c>
      <c r="C638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638" s="6">
        <v>372</v>
      </c>
      <c r="E638" s="6">
        <v>4</v>
      </c>
      <c r="F638" s="6">
        <v>5</v>
      </c>
      <c r="G638" s="6">
        <v>8</v>
      </c>
      <c r="H638" s="6"/>
      <c r="I638" s="6"/>
      <c r="J638" s="6" t="s">
        <v>1536</v>
      </c>
      <c r="K638" s="6" t="s">
        <v>2439</v>
      </c>
      <c r="L638" s="6">
        <v>8</v>
      </c>
      <c r="M638" s="6">
        <v>6400</v>
      </c>
      <c r="N638" s="6">
        <v>8.6999999999999993</v>
      </c>
      <c r="O638" s="6">
        <v>180</v>
      </c>
      <c r="P638" s="6" t="s">
        <v>2369</v>
      </c>
      <c r="Q638" s="6">
        <f>Table2_1[[#This Row],[Specs Score]] / (Table2_1[[#This Row],[Launched Price (USA)]] ^ 0.85)</f>
        <v>0.21692968089863035</v>
      </c>
      <c r="R638" s="6">
        <f>IFERROR(Table2_1[[#This Row],[Launched Price (USA)]] / S638, "")</f>
        <v>10.045507872796437</v>
      </c>
      <c r="S63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17.918456914203997</v>
      </c>
      <c r="T638" s="6">
        <v>2022</v>
      </c>
    </row>
    <row r="639" spans="1:20" x14ac:dyDescent="0.25">
      <c r="A639" s="6" t="s">
        <v>1338</v>
      </c>
      <c r="B639" s="6" t="s">
        <v>1539</v>
      </c>
      <c r="C639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639" s="6">
        <v>440</v>
      </c>
      <c r="E639" s="6">
        <v>4</v>
      </c>
      <c r="F639" s="6">
        <v>8</v>
      </c>
      <c r="G639" s="6">
        <v>8</v>
      </c>
      <c r="H639" s="6"/>
      <c r="I639" s="6"/>
      <c r="J639" s="6" t="s">
        <v>2385</v>
      </c>
      <c r="K639" s="6" t="s">
        <v>2439</v>
      </c>
      <c r="L639" s="6">
        <v>10</v>
      </c>
      <c r="M639" s="6">
        <v>7100</v>
      </c>
      <c r="N639" s="6">
        <v>10.4</v>
      </c>
      <c r="O639" s="6">
        <v>200</v>
      </c>
      <c r="P639" s="6" t="s">
        <v>2369</v>
      </c>
      <c r="Q639" s="6">
        <f>Table2_1[[#This Row],[Specs Score]] / (Table2_1[[#This Row],[Launched Price (USA)]] ^ 0.85)</f>
        <v>0.24189857689490438</v>
      </c>
      <c r="R639" s="6">
        <f>IFERROR(Table2_1[[#This Row],[Launched Price (USA)]] / S639, "")</f>
        <v>9.1521090445221347</v>
      </c>
      <c r="S63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21.852886479724273</v>
      </c>
      <c r="T639" s="6">
        <v>2022</v>
      </c>
    </row>
    <row r="640" spans="1:20" x14ac:dyDescent="0.25">
      <c r="A640" s="6" t="s">
        <v>1338</v>
      </c>
      <c r="B640" s="6" t="s">
        <v>1543</v>
      </c>
      <c r="C64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40" s="6">
        <v>440</v>
      </c>
      <c r="E640" s="6">
        <v>6</v>
      </c>
      <c r="F640" s="6">
        <v>8</v>
      </c>
      <c r="G640" s="6">
        <v>8</v>
      </c>
      <c r="H640" s="6"/>
      <c r="I640" s="6"/>
      <c r="J640" s="6" t="s">
        <v>2385</v>
      </c>
      <c r="K640" s="6" t="s">
        <v>2439</v>
      </c>
      <c r="L640" s="6">
        <v>10</v>
      </c>
      <c r="M640" s="6">
        <v>7100</v>
      </c>
      <c r="N640" s="6">
        <v>10.4</v>
      </c>
      <c r="O640" s="6">
        <v>220</v>
      </c>
      <c r="P640" s="6" t="s">
        <v>2369</v>
      </c>
      <c r="Q640" s="6">
        <f>Table2_1[[#This Row],[Specs Score]] / (Table2_1[[#This Row],[Launched Price (USA)]] ^ 0.85)</f>
        <v>0.26324772086283343</v>
      </c>
      <c r="R640" s="6">
        <f>IFERROR(Table2_1[[#This Row],[Launched Price (USA)]] / S640, "")</f>
        <v>8.5309772198961937</v>
      </c>
      <c r="S64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25.788370350692013</v>
      </c>
      <c r="T640" s="6">
        <v>2022</v>
      </c>
    </row>
    <row r="641" spans="1:20" x14ac:dyDescent="0.25">
      <c r="A641" s="6" t="s">
        <v>1338</v>
      </c>
      <c r="B641" s="6" t="s">
        <v>1545</v>
      </c>
      <c r="C641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641" s="6">
        <v>465</v>
      </c>
      <c r="E641" s="6">
        <v>4</v>
      </c>
      <c r="F641" s="6">
        <v>8</v>
      </c>
      <c r="G641" s="6">
        <v>8</v>
      </c>
      <c r="H641" s="6"/>
      <c r="I641" s="6"/>
      <c r="J641" s="6" t="s">
        <v>2391</v>
      </c>
      <c r="K641" s="6" t="s">
        <v>2439</v>
      </c>
      <c r="L641" s="6">
        <v>12</v>
      </c>
      <c r="M641" s="6">
        <v>7200</v>
      </c>
      <c r="N641" s="6">
        <v>10.5</v>
      </c>
      <c r="O641" s="6">
        <v>210</v>
      </c>
      <c r="P641" s="6" t="s">
        <v>2369</v>
      </c>
      <c r="Q641" s="6">
        <f>Table2_1[[#This Row],[Specs Score]] / (Table2_1[[#This Row],[Launched Price (USA)]] ^ 0.85)</f>
        <v>0.24027302247233795</v>
      </c>
      <c r="R641" s="6">
        <f>IFERROR(Table2_1[[#This Row],[Launched Price (USA)]] / S641, "")</f>
        <v>9.2817075971325647</v>
      </c>
      <c r="S64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22.625147129702313</v>
      </c>
      <c r="T641" s="6">
        <v>2024</v>
      </c>
    </row>
    <row r="642" spans="1:20" x14ac:dyDescent="0.25">
      <c r="A642" s="6" t="s">
        <v>1338</v>
      </c>
      <c r="B642" s="6" t="s">
        <v>1548</v>
      </c>
      <c r="C64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42" s="6">
        <v>465</v>
      </c>
      <c r="E642" s="6">
        <v>6</v>
      </c>
      <c r="F642" s="6">
        <v>8</v>
      </c>
      <c r="G642" s="6">
        <v>8</v>
      </c>
      <c r="H642" s="6"/>
      <c r="I642" s="6"/>
      <c r="J642" s="6" t="s">
        <v>2391</v>
      </c>
      <c r="K642" s="6" t="s">
        <v>2439</v>
      </c>
      <c r="L642" s="6">
        <v>12</v>
      </c>
      <c r="M642" s="6">
        <v>7200</v>
      </c>
      <c r="N642" s="6">
        <v>10.5</v>
      </c>
      <c r="O642" s="6">
        <v>230</v>
      </c>
      <c r="P642" s="6" t="s">
        <v>2369</v>
      </c>
      <c r="Q642" s="6">
        <f>Table2_1[[#This Row],[Specs Score]] / (Table2_1[[#This Row],[Launched Price (USA)]] ^ 0.85)</f>
        <v>0.2610776697439347</v>
      </c>
      <c r="R642" s="6">
        <f>IFERROR(Table2_1[[#This Row],[Launched Price (USA)]] / S642, "")</f>
        <v>8.6594328272621883</v>
      </c>
      <c r="S64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26.560631000670053</v>
      </c>
      <c r="T642" s="6">
        <v>2024</v>
      </c>
    </row>
    <row r="643" spans="1:20" x14ac:dyDescent="0.25">
      <c r="A643" s="6" t="s">
        <v>1338</v>
      </c>
      <c r="B643" s="6" t="s">
        <v>1339</v>
      </c>
      <c r="C64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43" s="6">
        <v>222.8</v>
      </c>
      <c r="E643" s="6">
        <v>12</v>
      </c>
      <c r="F643" s="6">
        <v>16</v>
      </c>
      <c r="G643" s="6">
        <v>50</v>
      </c>
      <c r="H643" s="6">
        <v>50</v>
      </c>
      <c r="I643" s="6">
        <v>8</v>
      </c>
      <c r="J643" s="6" t="s">
        <v>1552</v>
      </c>
      <c r="K643" s="6" t="s">
        <v>2437</v>
      </c>
      <c r="L643" s="6">
        <v>100</v>
      </c>
      <c r="M643" s="6">
        <v>6500</v>
      </c>
      <c r="N643" s="6">
        <v>6.78</v>
      </c>
      <c r="O643" s="6">
        <v>470</v>
      </c>
      <c r="P643" s="6" t="s">
        <v>2368</v>
      </c>
      <c r="Q643" s="6">
        <f>Table2_1[[#This Row],[Specs Score]] / (Table2_1[[#This Row],[Launched Price (USA)]] ^ 0.85)</f>
        <v>0.28539189101653162</v>
      </c>
      <c r="R643" s="6">
        <f>IFERROR(Table2_1[[#This Row],[Launched Price (USA)]] / S643, "")</f>
        <v>8.8180600006011076</v>
      </c>
      <c r="S64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53.299705373739933</v>
      </c>
      <c r="T643" s="6">
        <v>2024</v>
      </c>
    </row>
    <row r="644" spans="1:20" x14ac:dyDescent="0.25">
      <c r="A644" s="6" t="s">
        <v>1338</v>
      </c>
      <c r="B644" s="6" t="s">
        <v>1346</v>
      </c>
      <c r="C64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44" s="6">
        <v>222.8</v>
      </c>
      <c r="E644" s="6">
        <v>16</v>
      </c>
      <c r="F644" s="6">
        <v>16</v>
      </c>
      <c r="G644" s="6">
        <v>50</v>
      </c>
      <c r="H644" s="6">
        <v>50</v>
      </c>
      <c r="I644" s="6">
        <v>8</v>
      </c>
      <c r="J644" s="6" t="s">
        <v>1552</v>
      </c>
      <c r="K644" s="6" t="s">
        <v>2437</v>
      </c>
      <c r="L644" s="6">
        <v>100</v>
      </c>
      <c r="M644" s="6">
        <v>6500</v>
      </c>
      <c r="N644" s="6">
        <v>6.78</v>
      </c>
      <c r="O644" s="6">
        <v>500</v>
      </c>
      <c r="P644" s="6" t="s">
        <v>2368</v>
      </c>
      <c r="Q644" s="6">
        <f>Table2_1[[#This Row],[Specs Score]] / (Table2_1[[#This Row],[Launched Price (USA)]] ^ 0.85)</f>
        <v>0.31075545126864373</v>
      </c>
      <c r="R644" s="6">
        <f>IFERROR(Table2_1[[#This Row],[Launched Price (USA)]] / S644, "")</f>
        <v>8.1738515293837999</v>
      </c>
      <c r="S64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61.170673115675413</v>
      </c>
      <c r="T644" s="6">
        <v>2024</v>
      </c>
    </row>
    <row r="645" spans="1:20" x14ac:dyDescent="0.25">
      <c r="A645" s="6" t="s">
        <v>1338</v>
      </c>
      <c r="B645" s="6" t="s">
        <v>1351</v>
      </c>
      <c r="C64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45" s="6">
        <v>191</v>
      </c>
      <c r="E645" s="6">
        <v>8</v>
      </c>
      <c r="F645" s="6">
        <v>32</v>
      </c>
      <c r="G645" s="6">
        <v>50</v>
      </c>
      <c r="H645" s="6">
        <v>8</v>
      </c>
      <c r="I645" s="6">
        <v>50</v>
      </c>
      <c r="J645" s="6" t="s">
        <v>2415</v>
      </c>
      <c r="K645" s="6" t="s">
        <v>2437</v>
      </c>
      <c r="L645" s="6">
        <v>98</v>
      </c>
      <c r="M645" s="6">
        <v>5500</v>
      </c>
      <c r="N645" s="6">
        <v>6.78</v>
      </c>
      <c r="O645" s="6">
        <v>380</v>
      </c>
      <c r="P645" s="6" t="s">
        <v>2368</v>
      </c>
      <c r="Q645" s="6">
        <f>Table2_1[[#This Row],[Specs Score]] / (Table2_1[[#This Row],[Launched Price (USA)]] ^ 0.85)</f>
        <v>0.32024564539827149</v>
      </c>
      <c r="R645" s="6">
        <f>IFERROR(Table2_1[[#This Row],[Launched Price (USA)]] / S645, "")</f>
        <v>7.6117463288405682</v>
      </c>
      <c r="S64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49.922840775735907</v>
      </c>
      <c r="T645" s="6">
        <v>2023</v>
      </c>
    </row>
    <row r="646" spans="1:20" x14ac:dyDescent="0.25">
      <c r="A646" s="6" t="s">
        <v>1338</v>
      </c>
      <c r="B646" s="6" t="s">
        <v>1357</v>
      </c>
      <c r="C64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46" s="6">
        <v>191</v>
      </c>
      <c r="E646" s="6">
        <v>12</v>
      </c>
      <c r="F646" s="6">
        <v>32</v>
      </c>
      <c r="G646" s="6">
        <v>50</v>
      </c>
      <c r="H646" s="6">
        <v>8</v>
      </c>
      <c r="I646" s="6">
        <v>50</v>
      </c>
      <c r="J646" s="6" t="s">
        <v>2415</v>
      </c>
      <c r="K646" s="6" t="s">
        <v>2437</v>
      </c>
      <c r="L646" s="6">
        <v>98</v>
      </c>
      <c r="M646" s="6">
        <v>5500</v>
      </c>
      <c r="N646" s="6">
        <v>6.78</v>
      </c>
      <c r="O646" s="6">
        <v>400</v>
      </c>
      <c r="P646" s="6" t="s">
        <v>2368</v>
      </c>
      <c r="Q646" s="6">
        <f>Table2_1[[#This Row],[Specs Score]] / (Table2_1[[#This Row],[Launched Price (USA)]] ^ 0.85)</f>
        <v>0.35491987678686743</v>
      </c>
      <c r="R646" s="6">
        <f>IFERROR(Table2_1[[#This Row],[Launched Price (USA)]] / S646, "")</f>
        <v>6.9211566127830739</v>
      </c>
      <c r="S64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57.79380851767138</v>
      </c>
      <c r="T646" s="6">
        <v>2023</v>
      </c>
    </row>
    <row r="647" spans="1:20" x14ac:dyDescent="0.25">
      <c r="A647" s="6" t="s">
        <v>1338</v>
      </c>
      <c r="B647" s="6" t="s">
        <v>1361</v>
      </c>
      <c r="C647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647" s="6">
        <v>191</v>
      </c>
      <c r="E647" s="6">
        <v>16</v>
      </c>
      <c r="F647" s="6">
        <v>32</v>
      </c>
      <c r="G647" s="6">
        <v>50</v>
      </c>
      <c r="H647" s="6">
        <v>8</v>
      </c>
      <c r="I647" s="6">
        <v>50</v>
      </c>
      <c r="J647" s="6" t="s">
        <v>2415</v>
      </c>
      <c r="K647" s="6" t="s">
        <v>2437</v>
      </c>
      <c r="L647" s="6">
        <v>98</v>
      </c>
      <c r="M647" s="6">
        <v>5500</v>
      </c>
      <c r="N647" s="6">
        <v>6.78</v>
      </c>
      <c r="O647" s="6">
        <v>420</v>
      </c>
      <c r="P647" s="6" t="s">
        <v>2368</v>
      </c>
      <c r="Q647" s="6">
        <f>Table2_1[[#This Row],[Specs Score]] / (Table2_1[[#This Row],[Launched Price (USA)]] ^ 0.85)</f>
        <v>0.40968136414867756</v>
      </c>
      <c r="R647" s="6">
        <f>IFERROR(Table2_1[[#This Row],[Launched Price (USA)]] / S647, "")</f>
        <v>6.0400590520852715</v>
      </c>
      <c r="S64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69.535744001542355</v>
      </c>
      <c r="T647" s="6">
        <v>2023</v>
      </c>
    </row>
    <row r="648" spans="1:20" x14ac:dyDescent="0.25">
      <c r="A648" s="6" t="s">
        <v>1338</v>
      </c>
      <c r="B648" s="6" t="s">
        <v>1497</v>
      </c>
      <c r="C64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48" s="6">
        <v>199</v>
      </c>
      <c r="E648" s="6">
        <v>8</v>
      </c>
      <c r="F648" s="6">
        <v>16</v>
      </c>
      <c r="G648" s="6">
        <v>50</v>
      </c>
      <c r="H648" s="6">
        <v>8</v>
      </c>
      <c r="I648" s="6">
        <v>2</v>
      </c>
      <c r="J648" s="6" t="s">
        <v>401</v>
      </c>
      <c r="K648" s="6" t="s">
        <v>2437</v>
      </c>
      <c r="L648" s="6">
        <v>95</v>
      </c>
      <c r="M648" s="6">
        <v>5200</v>
      </c>
      <c r="N648" s="6">
        <v>6.8</v>
      </c>
      <c r="O648" s="6">
        <v>440</v>
      </c>
      <c r="P648" s="6" t="s">
        <v>2368</v>
      </c>
      <c r="Q648" s="6">
        <f>Table2_1[[#This Row],[Specs Score]] / (Table2_1[[#This Row],[Launched Price (USA)]] ^ 0.85)</f>
        <v>0.26016004021765959</v>
      </c>
      <c r="R648" s="6">
        <f>IFERROR(Table2_1[[#This Row],[Launched Price (USA)]] / S648, "")</f>
        <v>9.5780546440917451</v>
      </c>
      <c r="S64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45.938347227055701</v>
      </c>
      <c r="T648" s="6">
        <v>2024</v>
      </c>
    </row>
    <row r="649" spans="1:20" x14ac:dyDescent="0.25">
      <c r="A649" s="6" t="s">
        <v>1338</v>
      </c>
      <c r="B649" s="6" t="s">
        <v>1503</v>
      </c>
      <c r="C64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49" s="6">
        <v>199</v>
      </c>
      <c r="E649" s="6">
        <v>12</v>
      </c>
      <c r="F649" s="6">
        <v>16</v>
      </c>
      <c r="G649" s="6">
        <v>50</v>
      </c>
      <c r="H649" s="6">
        <v>8</v>
      </c>
      <c r="I649" s="6">
        <v>2</v>
      </c>
      <c r="J649" s="6" t="s">
        <v>401</v>
      </c>
      <c r="K649" s="6" t="s">
        <v>2437</v>
      </c>
      <c r="L649" s="6">
        <v>95</v>
      </c>
      <c r="M649" s="6">
        <v>5200</v>
      </c>
      <c r="N649" s="6">
        <v>6.8</v>
      </c>
      <c r="O649" s="6">
        <v>500</v>
      </c>
      <c r="P649" s="6" t="s">
        <v>2368</v>
      </c>
      <c r="Q649" s="6">
        <f>Table2_1[[#This Row],[Specs Score]] / (Table2_1[[#This Row],[Launched Price (USA)]] ^ 0.85)</f>
        <v>0.27335873718480352</v>
      </c>
      <c r="R649" s="6">
        <f>IFERROR(Table2_1[[#This Row],[Launched Price (USA)]] / S649, "")</f>
        <v>9.2920714617559454</v>
      </c>
      <c r="S64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53.809314968991181</v>
      </c>
      <c r="T649" s="6">
        <v>2024</v>
      </c>
    </row>
    <row r="650" spans="1:20" x14ac:dyDescent="0.25">
      <c r="A650" s="6" t="s">
        <v>1338</v>
      </c>
      <c r="B650" s="6" t="s">
        <v>1509</v>
      </c>
      <c r="C65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50" s="6">
        <v>195</v>
      </c>
      <c r="E650" s="6">
        <v>8</v>
      </c>
      <c r="F650" s="6">
        <v>16</v>
      </c>
      <c r="G650" s="6">
        <v>50</v>
      </c>
      <c r="H650" s="6">
        <v>8</v>
      </c>
      <c r="I650" s="6"/>
      <c r="J650" s="6" t="s">
        <v>1203</v>
      </c>
      <c r="K650" s="6" t="s">
        <v>2437</v>
      </c>
      <c r="L650" s="6">
        <v>95</v>
      </c>
      <c r="M650" s="6">
        <v>5100</v>
      </c>
      <c r="N650" s="6">
        <v>6.7</v>
      </c>
      <c r="O650" s="6">
        <v>350</v>
      </c>
      <c r="P650" s="6" t="s">
        <v>2368</v>
      </c>
      <c r="Q650" s="6">
        <f>Table2_1[[#This Row],[Specs Score]] / (Table2_1[[#This Row],[Launched Price (USA)]] ^ 0.85)</f>
        <v>0.31418394369934483</v>
      </c>
      <c r="R650" s="6">
        <f>IFERROR(Table2_1[[#This Row],[Launched Price (USA)]] / S650, "")</f>
        <v>7.6634833805563503</v>
      </c>
      <c r="S65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45.671137082128162</v>
      </c>
      <c r="T650" s="6">
        <v>2024</v>
      </c>
    </row>
    <row r="651" spans="1:20" x14ac:dyDescent="0.25">
      <c r="A651" s="6" t="s">
        <v>1338</v>
      </c>
      <c r="B651" s="6" t="s">
        <v>1428</v>
      </c>
      <c r="C65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51" s="6">
        <v>195</v>
      </c>
      <c r="E651" s="6">
        <v>12</v>
      </c>
      <c r="F651" s="6">
        <v>16</v>
      </c>
      <c r="G651" s="6">
        <v>50</v>
      </c>
      <c r="H651" s="6">
        <v>8</v>
      </c>
      <c r="I651" s="6"/>
      <c r="J651" s="6" t="s">
        <v>1203</v>
      </c>
      <c r="K651" s="6" t="s">
        <v>2437</v>
      </c>
      <c r="L651" s="6">
        <v>95</v>
      </c>
      <c r="M651" s="6">
        <v>5100</v>
      </c>
      <c r="N651" s="6">
        <v>6.7</v>
      </c>
      <c r="O651" s="6">
        <v>400</v>
      </c>
      <c r="P651" s="6" t="s">
        <v>2368</v>
      </c>
      <c r="Q651" s="6">
        <f>Table2_1[[#This Row],[Specs Score]] / (Table2_1[[#This Row],[Launched Price (USA)]] ^ 0.85)</f>
        <v>0.32880956861072219</v>
      </c>
      <c r="R651" s="6">
        <f>IFERROR(Table2_1[[#This Row],[Launched Price (USA)]] / S651, "")</f>
        <v>7.4707559838070914</v>
      </c>
      <c r="S65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53.542104824063642</v>
      </c>
      <c r="T651" s="6">
        <v>2024</v>
      </c>
    </row>
    <row r="652" spans="1:20" x14ac:dyDescent="0.25">
      <c r="A652" s="6" t="s">
        <v>1338</v>
      </c>
      <c r="B652" s="6" t="s">
        <v>1365</v>
      </c>
      <c r="C65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52" s="6">
        <v>191</v>
      </c>
      <c r="E652" s="6">
        <v>8</v>
      </c>
      <c r="F652" s="6">
        <v>32</v>
      </c>
      <c r="G652" s="6">
        <v>50</v>
      </c>
      <c r="H652" s="6">
        <v>8</v>
      </c>
      <c r="I652" s="6"/>
      <c r="J652" s="6" t="s">
        <v>2416</v>
      </c>
      <c r="K652" s="6" t="s">
        <v>2438</v>
      </c>
      <c r="L652" s="6">
        <v>70</v>
      </c>
      <c r="M652" s="6">
        <v>5500</v>
      </c>
      <c r="N652" s="6">
        <v>6.78</v>
      </c>
      <c r="O652" s="6">
        <v>360</v>
      </c>
      <c r="P652" s="6" t="s">
        <v>2368</v>
      </c>
      <c r="Q652" s="6">
        <f>Table2_1[[#This Row],[Specs Score]] / (Table2_1[[#This Row],[Launched Price (USA)]] ^ 0.85)</f>
        <v>0.28781626010887479</v>
      </c>
      <c r="R652" s="6">
        <f>IFERROR(Table2_1[[#This Row],[Launched Price (USA)]] / S652, "")</f>
        <v>8.4009819085800359</v>
      </c>
      <c r="S65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42.852133705028834</v>
      </c>
      <c r="T652" s="6">
        <v>2023</v>
      </c>
    </row>
    <row r="653" spans="1:20" x14ac:dyDescent="0.25">
      <c r="A653" s="6" t="s">
        <v>1338</v>
      </c>
      <c r="B653" s="6" t="s">
        <v>1371</v>
      </c>
      <c r="C65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53" s="6">
        <v>191</v>
      </c>
      <c r="E653" s="6">
        <v>8</v>
      </c>
      <c r="F653" s="6">
        <v>32</v>
      </c>
      <c r="G653" s="6">
        <v>50</v>
      </c>
      <c r="H653" s="6">
        <v>8</v>
      </c>
      <c r="I653" s="6"/>
      <c r="J653" s="6" t="s">
        <v>2416</v>
      </c>
      <c r="K653" s="6" t="s">
        <v>2438</v>
      </c>
      <c r="L653" s="6">
        <v>70</v>
      </c>
      <c r="M653" s="6">
        <v>5500</v>
      </c>
      <c r="N653" s="6">
        <v>6.78</v>
      </c>
      <c r="O653" s="6">
        <v>380</v>
      </c>
      <c r="P653" s="6" t="s">
        <v>2368</v>
      </c>
      <c r="Q653" s="6">
        <f>Table2_1[[#This Row],[Specs Score]] / (Table2_1[[#This Row],[Launched Price (USA)]] ^ 0.85)</f>
        <v>0.29971991868628656</v>
      </c>
      <c r="R653" s="6">
        <f>IFERROR(Table2_1[[#This Row],[Launched Price (USA)]] / S653, "")</f>
        <v>8.1330217436729981</v>
      </c>
      <c r="S65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46.723101446964307</v>
      </c>
      <c r="T653" s="6">
        <v>2023</v>
      </c>
    </row>
    <row r="654" spans="1:20" x14ac:dyDescent="0.25">
      <c r="A654" s="6" t="s">
        <v>1338</v>
      </c>
      <c r="B654" s="6" t="s">
        <v>1373</v>
      </c>
      <c r="C65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54" s="6">
        <v>184</v>
      </c>
      <c r="E654" s="6">
        <v>12</v>
      </c>
      <c r="F654" s="6">
        <v>16</v>
      </c>
      <c r="G654" s="6">
        <v>50</v>
      </c>
      <c r="H654" s="6">
        <v>8</v>
      </c>
      <c r="I654" s="6">
        <v>50</v>
      </c>
      <c r="J654" s="6" t="s">
        <v>1581</v>
      </c>
      <c r="K654" s="6" t="s">
        <v>2438</v>
      </c>
      <c r="L654" s="6">
        <v>58</v>
      </c>
      <c r="M654" s="6">
        <v>6000</v>
      </c>
      <c r="N654" s="6">
        <v>6.83</v>
      </c>
      <c r="O654" s="6">
        <v>340</v>
      </c>
      <c r="P654" s="6" t="s">
        <v>2368</v>
      </c>
      <c r="Q654" s="6">
        <f>Table2_1[[#This Row],[Specs Score]] / (Table2_1[[#This Row],[Launched Price (USA)]] ^ 0.85)</f>
        <v>0.32294042878796902</v>
      </c>
      <c r="R654" s="6">
        <f>IFERROR(Table2_1[[#This Row],[Launched Price (USA)]] / S654, "")</f>
        <v>7.4233411560931293</v>
      </c>
      <c r="S65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45.801478451643796</v>
      </c>
      <c r="T654" s="6">
        <v>2025</v>
      </c>
    </row>
    <row r="655" spans="1:20" x14ac:dyDescent="0.25">
      <c r="A655" s="6" t="s">
        <v>1338</v>
      </c>
      <c r="B655" s="6" t="s">
        <v>1379</v>
      </c>
      <c r="C655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655" s="6">
        <v>184</v>
      </c>
      <c r="E655" s="6">
        <v>12</v>
      </c>
      <c r="F655" s="6">
        <v>16</v>
      </c>
      <c r="G655" s="6">
        <v>50</v>
      </c>
      <c r="H655" s="6">
        <v>8</v>
      </c>
      <c r="I655" s="6">
        <v>50</v>
      </c>
      <c r="J655" s="6" t="s">
        <v>1581</v>
      </c>
      <c r="K655" s="6" t="s">
        <v>2438</v>
      </c>
      <c r="L655" s="6">
        <v>58</v>
      </c>
      <c r="M655" s="6">
        <v>6000</v>
      </c>
      <c r="N655" s="6">
        <v>6.83</v>
      </c>
      <c r="O655" s="6">
        <v>360</v>
      </c>
      <c r="P655" s="6" t="s">
        <v>2368</v>
      </c>
      <c r="Q655" s="6">
        <f>Table2_1[[#This Row],[Specs Score]] / (Table2_1[[#This Row],[Launched Price (USA)]] ^ 0.85)</f>
        <v>0.35962421984538839</v>
      </c>
      <c r="R655" s="6">
        <f>IFERROR(Table2_1[[#This Row],[Launched Price (USA)]] / S655, "")</f>
        <v>6.7235159945827805</v>
      </c>
      <c r="S65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53.543413935514756</v>
      </c>
      <c r="T655" s="6">
        <v>2025</v>
      </c>
    </row>
    <row r="656" spans="1:20" x14ac:dyDescent="0.25">
      <c r="A656" s="6" t="s">
        <v>1338</v>
      </c>
      <c r="B656" s="6" t="s">
        <v>1381</v>
      </c>
      <c r="C65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56" s="6">
        <v>184</v>
      </c>
      <c r="E656" s="6">
        <v>8</v>
      </c>
      <c r="F656" s="6">
        <v>16</v>
      </c>
      <c r="G656" s="6">
        <v>50</v>
      </c>
      <c r="H656" s="6">
        <v>8</v>
      </c>
      <c r="I656" s="6"/>
      <c r="J656" s="6" t="s">
        <v>2417</v>
      </c>
      <c r="K656" s="6" t="s">
        <v>2438</v>
      </c>
      <c r="L656" s="6">
        <v>56</v>
      </c>
      <c r="M656" s="6">
        <v>5800</v>
      </c>
      <c r="N656" s="6">
        <v>6.7</v>
      </c>
      <c r="O656" s="6">
        <v>320</v>
      </c>
      <c r="P656" s="6" t="s">
        <v>2368</v>
      </c>
      <c r="Q656" s="6">
        <f>Table2_1[[#This Row],[Specs Score]] / (Table2_1[[#This Row],[Launched Price (USA)]] ^ 0.85)</f>
        <v>0.27441065464136699</v>
      </c>
      <c r="R656" s="6">
        <f>IFERROR(Table2_1[[#This Row],[Launched Price (USA)]] / S656, "")</f>
        <v>8.6570819142348245</v>
      </c>
      <c r="S65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36.963956581469397</v>
      </c>
      <c r="T656" s="6">
        <v>2025</v>
      </c>
    </row>
    <row r="657" spans="1:20" x14ac:dyDescent="0.25">
      <c r="A657" s="6" t="s">
        <v>1338</v>
      </c>
      <c r="B657" s="6" t="s">
        <v>1387</v>
      </c>
      <c r="C65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57" s="6">
        <v>184</v>
      </c>
      <c r="E657" s="6">
        <v>8</v>
      </c>
      <c r="F657" s="6">
        <v>16</v>
      </c>
      <c r="G657" s="6">
        <v>50</v>
      </c>
      <c r="H657" s="6">
        <v>8</v>
      </c>
      <c r="I657" s="6"/>
      <c r="J657" s="6" t="s">
        <v>2417</v>
      </c>
      <c r="K657" s="6" t="s">
        <v>2438</v>
      </c>
      <c r="L657" s="6">
        <v>56</v>
      </c>
      <c r="M657" s="6">
        <v>5800</v>
      </c>
      <c r="N657" s="6">
        <v>6.7</v>
      </c>
      <c r="O657" s="6">
        <v>340</v>
      </c>
      <c r="P657" s="6" t="s">
        <v>2368</v>
      </c>
      <c r="Q657" s="6">
        <f>Table2_1[[#This Row],[Specs Score]] / (Table2_1[[#This Row],[Launched Price (USA)]] ^ 0.85)</f>
        <v>0.28792188410353275</v>
      </c>
      <c r="R657" s="6">
        <f>IFERROR(Table2_1[[#This Row],[Launched Price (USA)]] / S657, "")</f>
        <v>8.3262061980882898</v>
      </c>
      <c r="S65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40.834924323404884</v>
      </c>
      <c r="T657" s="6">
        <v>2025</v>
      </c>
    </row>
    <row r="658" spans="1:20" x14ac:dyDescent="0.25">
      <c r="A658" s="6" t="s">
        <v>1338</v>
      </c>
      <c r="B658" s="6" t="s">
        <v>1390</v>
      </c>
      <c r="C65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58" s="6">
        <v>190</v>
      </c>
      <c r="E658" s="6">
        <v>6</v>
      </c>
      <c r="F658" s="6">
        <v>16</v>
      </c>
      <c r="G658" s="6">
        <v>48</v>
      </c>
      <c r="H658" s="6">
        <v>2</v>
      </c>
      <c r="I658" s="6">
        <v>2</v>
      </c>
      <c r="J658" s="6" t="s">
        <v>1701</v>
      </c>
      <c r="K658" s="6" t="s">
        <v>2438</v>
      </c>
      <c r="L658" s="6">
        <v>50</v>
      </c>
      <c r="M658" s="6">
        <v>5500</v>
      </c>
      <c r="N658" s="6">
        <v>6.6</v>
      </c>
      <c r="O658" s="6">
        <v>270</v>
      </c>
      <c r="P658" s="6" t="s">
        <v>2368</v>
      </c>
      <c r="Q658" s="6">
        <f>Table2_1[[#This Row],[Specs Score]] / (Table2_1[[#This Row],[Launched Price (USA)]] ^ 0.85)</f>
        <v>0.28092548628338665</v>
      </c>
      <c r="R658" s="6">
        <f>IFERROR(Table2_1[[#This Row],[Launched Price (USA)]] / S658, "")</f>
        <v>8.2435338067655071</v>
      </c>
      <c r="S65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32.752943862304505</v>
      </c>
      <c r="T658" s="6">
        <v>2025</v>
      </c>
    </row>
    <row r="659" spans="1:20" x14ac:dyDescent="0.25">
      <c r="A659" s="6" t="s">
        <v>1338</v>
      </c>
      <c r="B659" s="6" t="s">
        <v>1396</v>
      </c>
      <c r="C65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59" s="6">
        <v>190</v>
      </c>
      <c r="E659" s="6">
        <v>8</v>
      </c>
      <c r="F659" s="6">
        <v>16</v>
      </c>
      <c r="G659" s="6">
        <v>48</v>
      </c>
      <c r="H659" s="6">
        <v>2</v>
      </c>
      <c r="I659" s="6">
        <v>2</v>
      </c>
      <c r="J659" s="6" t="s">
        <v>1701</v>
      </c>
      <c r="K659" s="6" t="s">
        <v>2438</v>
      </c>
      <c r="L659" s="6">
        <v>50</v>
      </c>
      <c r="M659" s="6">
        <v>5500</v>
      </c>
      <c r="N659" s="6">
        <v>6.6</v>
      </c>
      <c r="O659" s="6">
        <v>290</v>
      </c>
      <c r="P659" s="6" t="s">
        <v>2368</v>
      </c>
      <c r="Q659" s="6">
        <f>Table2_1[[#This Row],[Specs Score]] / (Table2_1[[#This Row],[Launched Price (USA)]] ^ 0.85)</f>
        <v>0.31175825094031162</v>
      </c>
      <c r="R659" s="6">
        <f>IFERROR(Table2_1[[#This Row],[Launched Price (USA)]] / S659, "")</f>
        <v>7.5083021878127152</v>
      </c>
      <c r="S65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38.623911604239986</v>
      </c>
      <c r="T659" s="6">
        <v>2025</v>
      </c>
    </row>
    <row r="660" spans="1:20" x14ac:dyDescent="0.25">
      <c r="A660" s="6" t="s">
        <v>1338</v>
      </c>
      <c r="B660" s="6" t="s">
        <v>1400</v>
      </c>
      <c r="C66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60" s="6">
        <v>185</v>
      </c>
      <c r="E660" s="6">
        <v>8</v>
      </c>
      <c r="F660" s="6">
        <v>16</v>
      </c>
      <c r="G660" s="6">
        <v>50</v>
      </c>
      <c r="H660" s="6">
        <v>2</v>
      </c>
      <c r="I660" s="6"/>
      <c r="J660" s="6" t="s">
        <v>2393</v>
      </c>
      <c r="K660" s="6" t="s">
        <v>2438</v>
      </c>
      <c r="L660" s="6">
        <v>50</v>
      </c>
      <c r="M660" s="6">
        <v>5000</v>
      </c>
      <c r="N660" s="6">
        <v>6.5</v>
      </c>
      <c r="O660" s="6">
        <v>250</v>
      </c>
      <c r="P660" s="6" t="s">
        <v>2368</v>
      </c>
      <c r="Q660" s="6">
        <f>Table2_1[[#This Row],[Specs Score]] / (Table2_1[[#This Row],[Launched Price (USA)]] ^ 0.85)</f>
        <v>0.31075149701606936</v>
      </c>
      <c r="R660" s="6">
        <f>IFERROR(Table2_1[[#This Row],[Launched Price (USA)]] / S660, "")</f>
        <v>7.3667812118397809</v>
      </c>
      <c r="S66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33.936123906897592</v>
      </c>
      <c r="T660" s="6">
        <v>2024</v>
      </c>
    </row>
    <row r="661" spans="1:20" x14ac:dyDescent="0.25">
      <c r="A661" s="6" t="s">
        <v>1338</v>
      </c>
      <c r="B661" s="6" t="s">
        <v>1404</v>
      </c>
      <c r="C66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61" s="6">
        <v>185</v>
      </c>
      <c r="E661" s="6">
        <v>8</v>
      </c>
      <c r="F661" s="6">
        <v>16</v>
      </c>
      <c r="G661" s="6">
        <v>50</v>
      </c>
      <c r="H661" s="6">
        <v>2</v>
      </c>
      <c r="I661" s="6"/>
      <c r="J661" s="6" t="s">
        <v>2393</v>
      </c>
      <c r="K661" s="6" t="s">
        <v>2438</v>
      </c>
      <c r="L661" s="6">
        <v>50</v>
      </c>
      <c r="M661" s="6">
        <v>5000</v>
      </c>
      <c r="N661" s="6">
        <v>6.5</v>
      </c>
      <c r="O661" s="6">
        <v>270</v>
      </c>
      <c r="P661" s="6" t="s">
        <v>2368</v>
      </c>
      <c r="Q661" s="6">
        <f>Table2_1[[#This Row],[Specs Score]] / (Table2_1[[#This Row],[Launched Price (USA)]] ^ 0.85)</f>
        <v>0.32427544989727536</v>
      </c>
      <c r="R661" s="6">
        <f>IFERROR(Table2_1[[#This Row],[Launched Price (USA)]] / S661, "")</f>
        <v>7.1415173245237877</v>
      </c>
      <c r="S66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37.807091648833072</v>
      </c>
      <c r="T661" s="6">
        <v>2024</v>
      </c>
    </row>
    <row r="662" spans="1:20" x14ac:dyDescent="0.25">
      <c r="A662" s="6" t="s">
        <v>1338</v>
      </c>
      <c r="B662" s="6" t="s">
        <v>1414</v>
      </c>
      <c r="C66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62" s="6">
        <v>192</v>
      </c>
      <c r="E662" s="6">
        <v>8</v>
      </c>
      <c r="F662" s="6">
        <v>16</v>
      </c>
      <c r="G662" s="6">
        <v>50</v>
      </c>
      <c r="H662" s="6">
        <v>8</v>
      </c>
      <c r="I662" s="6">
        <v>2</v>
      </c>
      <c r="J662" s="6" t="s">
        <v>1701</v>
      </c>
      <c r="K662" s="6" t="s">
        <v>2438</v>
      </c>
      <c r="L662" s="6">
        <v>50</v>
      </c>
      <c r="M662" s="6">
        <v>5200</v>
      </c>
      <c r="N662" s="6">
        <v>6.7</v>
      </c>
      <c r="O662" s="6">
        <v>300</v>
      </c>
      <c r="P662" s="6" t="s">
        <v>2368</v>
      </c>
      <c r="Q662" s="6">
        <f>Table2_1[[#This Row],[Specs Score]] / (Table2_1[[#This Row],[Launched Price (USA)]] ^ 0.85)</f>
        <v>0.2703305159417016</v>
      </c>
      <c r="R662" s="6">
        <f>IFERROR(Table2_1[[#This Row],[Launched Price (USA)]] / S662, "")</f>
        <v>8.7030827911403197</v>
      </c>
      <c r="S66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34.47054419675267</v>
      </c>
      <c r="T662" s="6">
        <v>2024</v>
      </c>
    </row>
    <row r="663" spans="1:20" x14ac:dyDescent="0.25">
      <c r="A663" s="6" t="s">
        <v>1338</v>
      </c>
      <c r="B663" s="6" t="s">
        <v>1419</v>
      </c>
      <c r="C66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63" s="6">
        <v>192</v>
      </c>
      <c r="E663" s="6">
        <v>12</v>
      </c>
      <c r="F663" s="6">
        <v>16</v>
      </c>
      <c r="G663" s="6">
        <v>50</v>
      </c>
      <c r="H663" s="6">
        <v>8</v>
      </c>
      <c r="I663" s="6">
        <v>2</v>
      </c>
      <c r="J663" s="6" t="s">
        <v>1701</v>
      </c>
      <c r="K663" s="6" t="s">
        <v>2438</v>
      </c>
      <c r="L663" s="6">
        <v>50</v>
      </c>
      <c r="M663" s="6">
        <v>5200</v>
      </c>
      <c r="N663" s="6">
        <v>6.7</v>
      </c>
      <c r="O663" s="6">
        <v>320</v>
      </c>
      <c r="P663" s="6" t="s">
        <v>2368</v>
      </c>
      <c r="Q663" s="6">
        <f>Table2_1[[#This Row],[Specs Score]] / (Table2_1[[#This Row],[Launched Price (USA)]] ^ 0.85)</f>
        <v>0.31433220586092336</v>
      </c>
      <c r="R663" s="6">
        <f>IFERROR(Table2_1[[#This Row],[Launched Price (USA)]] / S663, "")</f>
        <v>7.5575950255005093</v>
      </c>
      <c r="S66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42.34151193868815</v>
      </c>
      <c r="T663" s="6">
        <v>2024</v>
      </c>
    </row>
    <row r="664" spans="1:20" x14ac:dyDescent="0.25">
      <c r="A664" s="6" t="s">
        <v>1338</v>
      </c>
      <c r="B664" s="6" t="s">
        <v>1421</v>
      </c>
      <c r="C66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64" s="6">
        <v>195</v>
      </c>
      <c r="E664" s="6">
        <v>12</v>
      </c>
      <c r="F664" s="6">
        <v>32</v>
      </c>
      <c r="G664" s="6">
        <v>50</v>
      </c>
      <c r="H664" s="6">
        <v>8</v>
      </c>
      <c r="I664" s="6">
        <v>50</v>
      </c>
      <c r="J664" s="6" t="s">
        <v>2317</v>
      </c>
      <c r="K664" s="6" t="s">
        <v>2438</v>
      </c>
      <c r="L664" s="6">
        <v>65</v>
      </c>
      <c r="M664" s="6">
        <v>5500</v>
      </c>
      <c r="N664" s="6">
        <v>6.78</v>
      </c>
      <c r="O664" s="6">
        <v>360</v>
      </c>
      <c r="P664" s="6" t="s">
        <v>2368</v>
      </c>
      <c r="Q664" s="6">
        <f>Table2_1[[#This Row],[Specs Score]] / (Table2_1[[#This Row],[Launched Price (USA)]] ^ 0.85)</f>
        <v>0.33220117086243017</v>
      </c>
      <c r="R664" s="6">
        <f>IFERROR(Table2_1[[#This Row],[Launched Price (USA)]] / S664, "")</f>
        <v>7.2785390487715356</v>
      </c>
      <c r="S66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49.460475184338051</v>
      </c>
      <c r="T664" s="6">
        <v>2024</v>
      </c>
    </row>
    <row r="665" spans="1:20" x14ac:dyDescent="0.25">
      <c r="A665" s="6" t="s">
        <v>1338</v>
      </c>
      <c r="B665" s="6" t="s">
        <v>1423</v>
      </c>
      <c r="C665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665" s="6">
        <v>195</v>
      </c>
      <c r="E665" s="6">
        <v>16</v>
      </c>
      <c r="F665" s="6">
        <v>32</v>
      </c>
      <c r="G665" s="6">
        <v>50</v>
      </c>
      <c r="H665" s="6">
        <v>8</v>
      </c>
      <c r="I665" s="6">
        <v>50</v>
      </c>
      <c r="J665" s="6" t="s">
        <v>2317</v>
      </c>
      <c r="K665" s="6" t="s">
        <v>2438</v>
      </c>
      <c r="L665" s="6">
        <v>65</v>
      </c>
      <c r="M665" s="6">
        <v>5500</v>
      </c>
      <c r="N665" s="6">
        <v>6.78</v>
      </c>
      <c r="O665" s="6">
        <v>380</v>
      </c>
      <c r="P665" s="6" t="s">
        <v>2368</v>
      </c>
      <c r="Q665" s="6">
        <f>Table2_1[[#This Row],[Specs Score]] / (Table2_1[[#This Row],[Launched Price (USA)]] ^ 0.85)</f>
        <v>0.39260196735232233</v>
      </c>
      <c r="R665" s="6">
        <f>IFERROR(Table2_1[[#This Row],[Launched Price (USA)]] / S665, "")</f>
        <v>6.2089057579783722</v>
      </c>
      <c r="S66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61.202410668209026</v>
      </c>
      <c r="T665" s="6">
        <v>2024</v>
      </c>
    </row>
    <row r="666" spans="1:20" x14ac:dyDescent="0.25">
      <c r="A666" s="6" t="s">
        <v>1338</v>
      </c>
      <c r="B666" s="6" t="s">
        <v>1425</v>
      </c>
      <c r="C66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66" s="6">
        <v>185</v>
      </c>
      <c r="E666" s="6">
        <v>8</v>
      </c>
      <c r="F666" s="6">
        <v>16</v>
      </c>
      <c r="G666" s="6">
        <v>64</v>
      </c>
      <c r="H666" s="6">
        <v>2</v>
      </c>
      <c r="I666" s="6"/>
      <c r="J666" s="6" t="s">
        <v>1229</v>
      </c>
      <c r="K666" s="6" t="s">
        <v>2438</v>
      </c>
      <c r="L666" s="6">
        <v>65</v>
      </c>
      <c r="M666" s="6">
        <v>5100</v>
      </c>
      <c r="N666" s="6">
        <v>6.7</v>
      </c>
      <c r="O666" s="6">
        <v>250</v>
      </c>
      <c r="P666" s="6" t="s">
        <v>2368</v>
      </c>
      <c r="Q666" s="6">
        <f>Table2_1[[#This Row],[Specs Score]] / (Table2_1[[#This Row],[Launched Price (USA)]] ^ 0.85)</f>
        <v>0.35541182849794445</v>
      </c>
      <c r="R666" s="6">
        <f>IFERROR(Table2_1[[#This Row],[Launched Price (USA)]] / S666, "")</f>
        <v>6.4410863854586244</v>
      </c>
      <c r="S66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38.813328224319299</v>
      </c>
      <c r="T666" s="6">
        <v>2024</v>
      </c>
    </row>
    <row r="667" spans="1:20" x14ac:dyDescent="0.25">
      <c r="A667" s="6" t="s">
        <v>1338</v>
      </c>
      <c r="B667" s="6" t="s">
        <v>1426</v>
      </c>
      <c r="C66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67" s="6">
        <v>185</v>
      </c>
      <c r="E667" s="6">
        <v>12</v>
      </c>
      <c r="F667" s="6">
        <v>16</v>
      </c>
      <c r="G667" s="6">
        <v>64</v>
      </c>
      <c r="H667" s="6">
        <v>2</v>
      </c>
      <c r="I667" s="6"/>
      <c r="J667" s="6" t="s">
        <v>1229</v>
      </c>
      <c r="K667" s="6" t="s">
        <v>2438</v>
      </c>
      <c r="L667" s="6">
        <v>65</v>
      </c>
      <c r="M667" s="6">
        <v>5100</v>
      </c>
      <c r="N667" s="6">
        <v>6.7</v>
      </c>
      <c r="O667" s="6">
        <v>270</v>
      </c>
      <c r="P667" s="6" t="s">
        <v>2368</v>
      </c>
      <c r="Q667" s="6">
        <f>Table2_1[[#This Row],[Specs Score]] / (Table2_1[[#This Row],[Launched Price (USA)]] ^ 0.85)</f>
        <v>0.40041617636732668</v>
      </c>
      <c r="R667" s="6">
        <f>IFERROR(Table2_1[[#This Row],[Launched Price (USA)]] / S667, "")</f>
        <v>5.7835294377185518</v>
      </c>
      <c r="S66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46.684295966254787</v>
      </c>
      <c r="T667" s="6">
        <v>2024</v>
      </c>
    </row>
    <row r="668" spans="1:20" x14ac:dyDescent="0.25">
      <c r="A668" s="6" t="s">
        <v>1338</v>
      </c>
      <c r="B668" s="6" t="s">
        <v>1428</v>
      </c>
      <c r="C66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68" s="6">
        <v>188</v>
      </c>
      <c r="E668" s="6">
        <v>12</v>
      </c>
      <c r="F668" s="6">
        <v>32</v>
      </c>
      <c r="G668" s="6">
        <v>50</v>
      </c>
      <c r="H668" s="6">
        <v>8</v>
      </c>
      <c r="I668" s="6">
        <v>50</v>
      </c>
      <c r="J668" s="6" t="s">
        <v>2418</v>
      </c>
      <c r="K668" s="6" t="s">
        <v>2438</v>
      </c>
      <c r="L668" s="6">
        <v>70</v>
      </c>
      <c r="M668" s="6">
        <v>5500</v>
      </c>
      <c r="N668" s="6">
        <v>6.78</v>
      </c>
      <c r="O668" s="6">
        <v>340</v>
      </c>
      <c r="P668" s="6" t="s">
        <v>2368</v>
      </c>
      <c r="Q668" s="6">
        <f>Table2_1[[#This Row],[Specs Score]] / (Table2_1[[#This Row],[Launched Price (USA)]] ^ 0.85)</f>
        <v>0.3576421697398377</v>
      </c>
      <c r="R668" s="6">
        <f>IFERROR(Table2_1[[#This Row],[Launched Price (USA)]] / S668, "")</f>
        <v>6.7030601501270848</v>
      </c>
      <c r="S66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50.723101446964321</v>
      </c>
      <c r="T668" s="6">
        <v>2024</v>
      </c>
    </row>
    <row r="669" spans="1:20" x14ac:dyDescent="0.25">
      <c r="A669" s="6" t="s">
        <v>1338</v>
      </c>
      <c r="B669" s="6" t="s">
        <v>1430</v>
      </c>
      <c r="C669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669" s="6">
        <v>188</v>
      </c>
      <c r="E669" s="6">
        <v>16</v>
      </c>
      <c r="F669" s="6">
        <v>32</v>
      </c>
      <c r="G669" s="6">
        <v>50</v>
      </c>
      <c r="H669" s="6">
        <v>8</v>
      </c>
      <c r="I669" s="6">
        <v>50</v>
      </c>
      <c r="J669" s="6" t="s">
        <v>2418</v>
      </c>
      <c r="K669" s="6" t="s">
        <v>2438</v>
      </c>
      <c r="L669" s="6">
        <v>70</v>
      </c>
      <c r="M669" s="6">
        <v>5500</v>
      </c>
      <c r="N669" s="6">
        <v>6.78</v>
      </c>
      <c r="O669" s="6">
        <v>360</v>
      </c>
      <c r="P669" s="6" t="s">
        <v>2368</v>
      </c>
      <c r="Q669" s="6">
        <f>Table2_1[[#This Row],[Specs Score]] / (Table2_1[[#This Row],[Launched Price (USA)]] ^ 0.85)</f>
        <v>0.4195462807231447</v>
      </c>
      <c r="R669" s="6">
        <f>IFERROR(Table2_1[[#This Row],[Launched Price (USA)]] / S669, "")</f>
        <v>5.7632239999891741</v>
      </c>
      <c r="S66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62.465036930835282</v>
      </c>
      <c r="T669" s="6">
        <v>2024</v>
      </c>
    </row>
    <row r="670" spans="1:20" x14ac:dyDescent="0.25">
      <c r="A670" s="6" t="s">
        <v>1338</v>
      </c>
      <c r="B670" s="6" t="s">
        <v>1438</v>
      </c>
      <c r="C67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70" s="6">
        <v>190</v>
      </c>
      <c r="E670" s="6">
        <v>8</v>
      </c>
      <c r="F670" s="6">
        <v>16</v>
      </c>
      <c r="G670" s="6">
        <v>64</v>
      </c>
      <c r="H670" s="6">
        <v>2</v>
      </c>
      <c r="I670" s="6"/>
      <c r="J670" s="6" t="s">
        <v>2419</v>
      </c>
      <c r="K670" s="6" t="s">
        <v>2438</v>
      </c>
      <c r="L670" s="6">
        <v>48</v>
      </c>
      <c r="M670" s="6">
        <v>5200</v>
      </c>
      <c r="N670" s="6">
        <v>6.7</v>
      </c>
      <c r="O670" s="6">
        <v>270</v>
      </c>
      <c r="P670" s="6" t="s">
        <v>2368</v>
      </c>
      <c r="Q670" s="6">
        <f>Table2_1[[#This Row],[Specs Score]] / (Table2_1[[#This Row],[Launched Price (USA)]] ^ 0.85)</f>
        <v>0.29748357783883966</v>
      </c>
      <c r="R670" s="6">
        <f>IFERROR(Table2_1[[#This Row],[Launched Price (USA)]] / S670, "")</f>
        <v>7.7846944029082552</v>
      </c>
      <c r="S67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34.68344240965088</v>
      </c>
      <c r="T670" s="6">
        <v>2024</v>
      </c>
    </row>
    <row r="671" spans="1:20" x14ac:dyDescent="0.25">
      <c r="A671" s="6" t="s">
        <v>1338</v>
      </c>
      <c r="B671" s="6" t="s">
        <v>1440</v>
      </c>
      <c r="C67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71" s="6">
        <v>190</v>
      </c>
      <c r="E671" s="6">
        <v>12</v>
      </c>
      <c r="F671" s="6">
        <v>16</v>
      </c>
      <c r="G671" s="6">
        <v>64</v>
      </c>
      <c r="H671" s="6">
        <v>2</v>
      </c>
      <c r="I671" s="6"/>
      <c r="J671" s="6" t="s">
        <v>2419</v>
      </c>
      <c r="K671" s="6" t="s">
        <v>2438</v>
      </c>
      <c r="L671" s="6">
        <v>48</v>
      </c>
      <c r="M671" s="6">
        <v>5200</v>
      </c>
      <c r="N671" s="6">
        <v>6.7</v>
      </c>
      <c r="O671" s="6">
        <v>290</v>
      </c>
      <c r="P671" s="6" t="s">
        <v>2368</v>
      </c>
      <c r="Q671" s="6">
        <f>Table2_1[[#This Row],[Specs Score]] / (Table2_1[[#This Row],[Launched Price (USA)]] ^ 0.85)</f>
        <v>0.3434838142390228</v>
      </c>
      <c r="R671" s="6">
        <f>IFERROR(Table2_1[[#This Row],[Launched Price (USA)]] / S671, "")</f>
        <v>6.8148048337873455</v>
      </c>
      <c r="S67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42.55441015158636</v>
      </c>
      <c r="T671" s="6">
        <v>2024</v>
      </c>
    </row>
    <row r="672" spans="1:20" x14ac:dyDescent="0.25">
      <c r="A672" s="6" t="s">
        <v>1338</v>
      </c>
      <c r="B672" s="6" t="s">
        <v>1442</v>
      </c>
      <c r="C67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72" s="6">
        <v>200</v>
      </c>
      <c r="E672" s="6">
        <v>8</v>
      </c>
      <c r="F672" s="6">
        <v>16</v>
      </c>
      <c r="G672" s="6">
        <v>50</v>
      </c>
      <c r="H672" s="6">
        <v>2</v>
      </c>
      <c r="I672" s="6"/>
      <c r="J672" s="6" t="s">
        <v>2377</v>
      </c>
      <c r="K672" s="6" t="s">
        <v>2438</v>
      </c>
      <c r="L672" s="6">
        <v>25</v>
      </c>
      <c r="M672" s="6">
        <v>5000</v>
      </c>
      <c r="N672" s="6">
        <v>6.6</v>
      </c>
      <c r="O672" s="6">
        <v>240</v>
      </c>
      <c r="P672" s="6" t="s">
        <v>2368</v>
      </c>
      <c r="Q672" s="6">
        <f>Table2_1[[#This Row],[Specs Score]] / (Table2_1[[#This Row],[Launched Price (USA)]] ^ 0.85)</f>
        <v>0.26286079768709336</v>
      </c>
      <c r="R672" s="6">
        <f>IFERROR(Table2_1[[#This Row],[Launched Price (USA)]] / S672, "")</f>
        <v>8.6557731264768769</v>
      </c>
      <c r="S67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27.727159260432948</v>
      </c>
      <c r="T672" s="6">
        <v>2024</v>
      </c>
    </row>
    <row r="673" spans="1:20" x14ac:dyDescent="0.25">
      <c r="A673" s="6" t="s">
        <v>1338</v>
      </c>
      <c r="B673" s="6" t="s">
        <v>1444</v>
      </c>
      <c r="C67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73" s="6">
        <v>200</v>
      </c>
      <c r="E673" s="6">
        <v>8</v>
      </c>
      <c r="F673" s="6">
        <v>16</v>
      </c>
      <c r="G673" s="6">
        <v>50</v>
      </c>
      <c r="H673" s="6">
        <v>2</v>
      </c>
      <c r="I673" s="6"/>
      <c r="J673" s="6" t="s">
        <v>2377</v>
      </c>
      <c r="K673" s="6" t="s">
        <v>2438</v>
      </c>
      <c r="L673" s="6">
        <v>25</v>
      </c>
      <c r="M673" s="6">
        <v>5000</v>
      </c>
      <c r="N673" s="6">
        <v>6.6</v>
      </c>
      <c r="O673" s="6">
        <v>260</v>
      </c>
      <c r="P673" s="6" t="s">
        <v>2368</v>
      </c>
      <c r="Q673" s="6">
        <f>Table2_1[[#This Row],[Specs Score]] / (Table2_1[[#This Row],[Launched Price (USA)]] ^ 0.85)</f>
        <v>0.27985559538826305</v>
      </c>
      <c r="R673" s="6">
        <f>IFERROR(Table2_1[[#This Row],[Launched Price (USA)]] / S673, "")</f>
        <v>8.2283358118192194</v>
      </c>
      <c r="S67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31.598127002368429</v>
      </c>
      <c r="T673" s="6">
        <v>2024</v>
      </c>
    </row>
    <row r="674" spans="1:20" x14ac:dyDescent="0.25">
      <c r="A674" s="6" t="s">
        <v>1338</v>
      </c>
      <c r="B674" s="6" t="s">
        <v>1460</v>
      </c>
      <c r="C67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74" s="6">
        <v>198</v>
      </c>
      <c r="E674" s="6">
        <v>8</v>
      </c>
      <c r="F674" s="6">
        <v>16</v>
      </c>
      <c r="G674" s="6">
        <v>50</v>
      </c>
      <c r="H674" s="6">
        <v>2</v>
      </c>
      <c r="I674" s="6"/>
      <c r="J674" s="6" t="s">
        <v>2377</v>
      </c>
      <c r="K674" s="6" t="s">
        <v>2438</v>
      </c>
      <c r="L674" s="6">
        <v>25</v>
      </c>
      <c r="M674" s="6">
        <v>5200</v>
      </c>
      <c r="N674" s="6">
        <v>6.6</v>
      </c>
      <c r="O674" s="6">
        <v>230</v>
      </c>
      <c r="P674" s="6" t="s">
        <v>2368</v>
      </c>
      <c r="Q674" s="6">
        <f>Table2_1[[#This Row],[Specs Score]] / (Table2_1[[#This Row],[Launched Price (USA)]] ^ 0.85)</f>
        <v>0.27574932805213148</v>
      </c>
      <c r="R674" s="6">
        <f>IFERROR(Table2_1[[#This Row],[Launched Price (USA)]] / S674, "")</f>
        <v>8.1986946616179388</v>
      </c>
      <c r="S67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28.053246216954683</v>
      </c>
      <c r="T674" s="6">
        <v>2024</v>
      </c>
    </row>
    <row r="675" spans="1:20" x14ac:dyDescent="0.25">
      <c r="A675" s="6" t="s">
        <v>1338</v>
      </c>
      <c r="B675" s="6" t="s">
        <v>1480</v>
      </c>
      <c r="C67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75" s="6">
        <v>192</v>
      </c>
      <c r="E675" s="6">
        <v>6</v>
      </c>
      <c r="F675" s="6">
        <v>8</v>
      </c>
      <c r="G675" s="6">
        <v>50</v>
      </c>
      <c r="H675" s="6">
        <v>2</v>
      </c>
      <c r="I675" s="6"/>
      <c r="J675" s="6" t="s">
        <v>2387</v>
      </c>
      <c r="K675" s="6" t="s">
        <v>2438</v>
      </c>
      <c r="L675" s="6">
        <v>32</v>
      </c>
      <c r="M675" s="6">
        <v>5000</v>
      </c>
      <c r="N675" s="6">
        <v>6.6</v>
      </c>
      <c r="O675" s="6">
        <v>160</v>
      </c>
      <c r="P675" s="6" t="s">
        <v>2368</v>
      </c>
      <c r="Q675" s="6">
        <f>Table2_1[[#This Row],[Specs Score]] / (Table2_1[[#This Row],[Launched Price (USA)]] ^ 0.85)</f>
        <v>0.34945944832937975</v>
      </c>
      <c r="R675" s="6">
        <f>IFERROR(Table2_1[[#This Row],[Launched Price (USA)]] / S675, "")</f>
        <v>6.1266237540232282</v>
      </c>
      <c r="S67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26.115525683282129</v>
      </c>
      <c r="T675" s="6">
        <v>2024</v>
      </c>
    </row>
    <row r="676" spans="1:20" x14ac:dyDescent="0.25">
      <c r="A676" s="6" t="s">
        <v>1338</v>
      </c>
      <c r="B676" s="6" t="s">
        <v>1482</v>
      </c>
      <c r="C67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76" s="6">
        <v>192</v>
      </c>
      <c r="E676" s="6">
        <v>8</v>
      </c>
      <c r="F676" s="6">
        <v>8</v>
      </c>
      <c r="G676" s="6">
        <v>50</v>
      </c>
      <c r="H676" s="6">
        <v>2</v>
      </c>
      <c r="I676" s="6"/>
      <c r="J676" s="6" t="s">
        <v>2387</v>
      </c>
      <c r="K676" s="6" t="s">
        <v>2438</v>
      </c>
      <c r="L676" s="6">
        <v>32</v>
      </c>
      <c r="M676" s="6">
        <v>5000</v>
      </c>
      <c r="N676" s="6">
        <v>6.6</v>
      </c>
      <c r="O676" s="6">
        <v>180</v>
      </c>
      <c r="P676" s="6" t="s">
        <v>2368</v>
      </c>
      <c r="Q676" s="6">
        <f>Table2_1[[#This Row],[Specs Score]] / (Table2_1[[#This Row],[Launched Price (USA)]] ^ 0.85)</f>
        <v>0.38724427248521487</v>
      </c>
      <c r="R676" s="6">
        <f>IFERROR(Table2_1[[#This Row],[Launched Price (USA)]] / S676, "")</f>
        <v>5.6273752051261434</v>
      </c>
      <c r="S67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31.986493425217613</v>
      </c>
      <c r="T676" s="6">
        <v>2024</v>
      </c>
    </row>
    <row r="677" spans="1:20" x14ac:dyDescent="0.25">
      <c r="A677" s="6" t="s">
        <v>1338</v>
      </c>
      <c r="B677" s="6" t="s">
        <v>1492</v>
      </c>
      <c r="C67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77" s="6">
        <v>196</v>
      </c>
      <c r="E677" s="6">
        <v>6</v>
      </c>
      <c r="F677" s="6">
        <v>16</v>
      </c>
      <c r="G677" s="6">
        <v>50</v>
      </c>
      <c r="H677" s="6">
        <v>2</v>
      </c>
      <c r="I677" s="6"/>
      <c r="J677" s="6" t="s">
        <v>2377</v>
      </c>
      <c r="K677" s="6" t="s">
        <v>2438</v>
      </c>
      <c r="L677" s="6">
        <v>25</v>
      </c>
      <c r="M677" s="6">
        <v>5200</v>
      </c>
      <c r="N677" s="6">
        <v>6.6</v>
      </c>
      <c r="O677" s="6">
        <v>220</v>
      </c>
      <c r="P677" s="6" t="s">
        <v>2368</v>
      </c>
      <c r="Q677" s="6">
        <f>Table2_1[[#This Row],[Specs Score]] / (Table2_1[[#This Row],[Launched Price (USA)]] ^ 0.85)</f>
        <v>0.26595157407872094</v>
      </c>
      <c r="R677" s="6">
        <f>IFERROR(Table2_1[[#This Row],[Launched Price (USA)]] / S677, "")</f>
        <v>8.4442452264098478</v>
      </c>
      <c r="S67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26.053246216954683</v>
      </c>
      <c r="T677" s="6">
        <v>2024</v>
      </c>
    </row>
    <row r="678" spans="1:20" x14ac:dyDescent="0.25">
      <c r="A678" s="6" t="s">
        <v>1338</v>
      </c>
      <c r="B678" s="6" t="s">
        <v>1494</v>
      </c>
      <c r="C67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78" s="6">
        <v>196</v>
      </c>
      <c r="E678" s="6">
        <v>8</v>
      </c>
      <c r="F678" s="6">
        <v>16</v>
      </c>
      <c r="G678" s="6">
        <v>50</v>
      </c>
      <c r="H678" s="6">
        <v>2</v>
      </c>
      <c r="I678" s="6"/>
      <c r="J678" s="6" t="s">
        <v>2377</v>
      </c>
      <c r="K678" s="6" t="s">
        <v>2438</v>
      </c>
      <c r="L678" s="6">
        <v>25</v>
      </c>
      <c r="M678" s="6">
        <v>5200</v>
      </c>
      <c r="N678" s="6">
        <v>6.6</v>
      </c>
      <c r="O678" s="6">
        <v>240</v>
      </c>
      <c r="P678" s="6" t="s">
        <v>2368</v>
      </c>
      <c r="Q678" s="6">
        <f>Table2_1[[#This Row],[Specs Score]] / (Table2_1[[#This Row],[Launched Price (USA)]] ^ 0.85)</f>
        <v>0.30264998545098987</v>
      </c>
      <c r="R678" s="6">
        <f>IFERROR(Table2_1[[#This Row],[Launched Price (USA)]] / S678, "")</f>
        <v>7.5178045200754404</v>
      </c>
      <c r="S67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31.924213958890171</v>
      </c>
      <c r="T678" s="6">
        <v>2024</v>
      </c>
    </row>
    <row r="679" spans="1:20" x14ac:dyDescent="0.25">
      <c r="A679" s="6" t="s">
        <v>1338</v>
      </c>
      <c r="B679" s="6" t="s">
        <v>1506</v>
      </c>
      <c r="C67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79" s="6">
        <v>193</v>
      </c>
      <c r="E679" s="6">
        <v>8</v>
      </c>
      <c r="F679" s="6">
        <v>16</v>
      </c>
      <c r="G679" s="6">
        <v>64</v>
      </c>
      <c r="H679" s="6">
        <v>8</v>
      </c>
      <c r="I679" s="6">
        <v>2</v>
      </c>
      <c r="J679" s="6" t="s">
        <v>2392</v>
      </c>
      <c r="K679" s="6" t="s">
        <v>2438</v>
      </c>
      <c r="L679" s="6">
        <v>70</v>
      </c>
      <c r="M679" s="6">
        <v>5000</v>
      </c>
      <c r="N679" s="6">
        <v>6.7</v>
      </c>
      <c r="O679" s="6">
        <v>330</v>
      </c>
      <c r="P679" s="6" t="s">
        <v>2368</v>
      </c>
      <c r="Q679" s="6">
        <f>Table2_1[[#This Row],[Specs Score]] / (Table2_1[[#This Row],[Launched Price (USA)]] ^ 0.85)</f>
        <v>0.28865331860360832</v>
      </c>
      <c r="R679" s="6">
        <f>IFERROR(Table2_1[[#This Row],[Launched Price (USA)]] / S679, "")</f>
        <v>8.2680012973294517</v>
      </c>
      <c r="S67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39.912911008684695</v>
      </c>
      <c r="T679" s="6">
        <v>2024</v>
      </c>
    </row>
    <row r="680" spans="1:20" x14ac:dyDescent="0.25">
      <c r="A680" s="6" t="s">
        <v>1338</v>
      </c>
      <c r="B680" s="6" t="s">
        <v>1508</v>
      </c>
      <c r="C68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80" s="6">
        <v>193</v>
      </c>
      <c r="E680" s="6">
        <v>12</v>
      </c>
      <c r="F680" s="6">
        <v>16</v>
      </c>
      <c r="G680" s="6">
        <v>64</v>
      </c>
      <c r="H680" s="6">
        <v>8</v>
      </c>
      <c r="I680" s="6">
        <v>2</v>
      </c>
      <c r="J680" s="6" t="s">
        <v>2392</v>
      </c>
      <c r="K680" s="6" t="s">
        <v>2438</v>
      </c>
      <c r="L680" s="6">
        <v>70</v>
      </c>
      <c r="M680" s="6">
        <v>5000</v>
      </c>
      <c r="N680" s="6">
        <v>6.7</v>
      </c>
      <c r="O680" s="6">
        <v>380</v>
      </c>
      <c r="P680" s="6" t="s">
        <v>2368</v>
      </c>
      <c r="Q680" s="6">
        <f>Table2_1[[#This Row],[Specs Score]] / (Table2_1[[#This Row],[Launched Price (USA)]] ^ 0.85)</f>
        <v>0.30652460581855856</v>
      </c>
      <c r="R680" s="6">
        <f>IFERROR(Table2_1[[#This Row],[Launched Price (USA)]] / S680, "")</f>
        <v>7.9524728828144369</v>
      </c>
      <c r="S68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47.783878750620183</v>
      </c>
      <c r="T680" s="6">
        <v>2024</v>
      </c>
    </row>
    <row r="681" spans="1:20" x14ac:dyDescent="0.25">
      <c r="A681" s="6" t="s">
        <v>1338</v>
      </c>
      <c r="B681" s="6" t="s">
        <v>1528</v>
      </c>
      <c r="C681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681" s="6">
        <v>499</v>
      </c>
      <c r="E681" s="6">
        <v>4</v>
      </c>
      <c r="F681" s="6">
        <v>8</v>
      </c>
      <c r="G681" s="6">
        <v>13</v>
      </c>
      <c r="H681" s="6"/>
      <c r="I681" s="6"/>
      <c r="J681" s="6" t="s">
        <v>680</v>
      </c>
      <c r="K681" s="6" t="s">
        <v>2438</v>
      </c>
      <c r="L681" s="6">
        <v>40</v>
      </c>
      <c r="M681" s="6">
        <v>8340</v>
      </c>
      <c r="N681" s="6">
        <v>11</v>
      </c>
      <c r="O681" s="6">
        <v>310</v>
      </c>
      <c r="P681" s="6" t="s">
        <v>2369</v>
      </c>
      <c r="Q681" s="6">
        <f>Table2_1[[#This Row],[Specs Score]] / (Table2_1[[#This Row],[Launched Price (USA)]] ^ 0.85)</f>
        <v>0.2465882371154825</v>
      </c>
      <c r="R681" s="6">
        <f>IFERROR(Table2_1[[#This Row],[Launched Price (USA)]] / S681, "")</f>
        <v>9.588085503298009</v>
      </c>
      <c r="S68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32.331793442326884</v>
      </c>
      <c r="T681" s="6">
        <v>2022</v>
      </c>
    </row>
    <row r="682" spans="1:20" x14ac:dyDescent="0.25">
      <c r="A682" s="6" t="s">
        <v>1338</v>
      </c>
      <c r="B682" s="6" t="s">
        <v>1532</v>
      </c>
      <c r="C68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82" s="6">
        <v>499</v>
      </c>
      <c r="E682" s="6">
        <v>6</v>
      </c>
      <c r="F682" s="6">
        <v>8</v>
      </c>
      <c r="G682" s="6">
        <v>13</v>
      </c>
      <c r="H682" s="6"/>
      <c r="I682" s="6"/>
      <c r="J682" s="6" t="s">
        <v>680</v>
      </c>
      <c r="K682" s="6" t="s">
        <v>2438</v>
      </c>
      <c r="L682" s="6">
        <v>40</v>
      </c>
      <c r="M682" s="6">
        <v>8340</v>
      </c>
      <c r="N682" s="6">
        <v>11</v>
      </c>
      <c r="O682" s="6">
        <v>350</v>
      </c>
      <c r="P682" s="6" t="s">
        <v>2369</v>
      </c>
      <c r="Q682" s="6">
        <f>Table2_1[[#This Row],[Specs Score]] / (Table2_1[[#This Row],[Launched Price (USA)]] ^ 0.85)</f>
        <v>0.24949228203007828</v>
      </c>
      <c r="R682" s="6">
        <f>IFERROR(Table2_1[[#This Row],[Launched Price (USA)]] / S682, "")</f>
        <v>9.6505728008344107</v>
      </c>
      <c r="S68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36.267277313294628</v>
      </c>
      <c r="T682" s="6">
        <v>2022</v>
      </c>
    </row>
    <row r="683" spans="1:20" x14ac:dyDescent="0.25">
      <c r="A683" s="6" t="s">
        <v>372</v>
      </c>
      <c r="B683" s="6" t="s">
        <v>485</v>
      </c>
      <c r="C68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83" s="6">
        <v>195</v>
      </c>
      <c r="E683" s="6">
        <v>6</v>
      </c>
      <c r="F683" s="6">
        <v>13</v>
      </c>
      <c r="G683" s="6">
        <v>50</v>
      </c>
      <c r="H683" s="6">
        <v>5</v>
      </c>
      <c r="I683" s="6"/>
      <c r="J683" s="6" t="s">
        <v>2390</v>
      </c>
      <c r="K683" s="6" t="s">
        <v>2439</v>
      </c>
      <c r="L683" s="6">
        <v>22</v>
      </c>
      <c r="M683" s="6">
        <v>5000</v>
      </c>
      <c r="N683" s="6">
        <v>6.5</v>
      </c>
      <c r="O683" s="6">
        <v>299</v>
      </c>
      <c r="P683" s="6" t="s">
        <v>2368</v>
      </c>
      <c r="Q683" s="6">
        <f>Table2_1[[#This Row],[Specs Score]] / (Table2_1[[#This Row],[Launched Price (USA)]] ^ 0.85)</f>
        <v>0.19148991775179569</v>
      </c>
      <c r="R683" s="6">
        <f>IFERROR(Table2_1[[#This Row],[Launched Price (USA)]] / S683, "")</f>
        <v>12.280180933044416</v>
      </c>
      <c r="S68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24.348175456880178</v>
      </c>
      <c r="T683" s="6">
        <v>2023</v>
      </c>
    </row>
    <row r="684" spans="1:20" x14ac:dyDescent="0.25">
      <c r="A684" s="6" t="s">
        <v>372</v>
      </c>
      <c r="B684" s="6" t="s">
        <v>492</v>
      </c>
      <c r="C68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684" s="6">
        <v>195</v>
      </c>
      <c r="E684" s="6">
        <v>6</v>
      </c>
      <c r="F684" s="6">
        <v>13</v>
      </c>
      <c r="G684" s="6">
        <v>50</v>
      </c>
      <c r="H684" s="6">
        <v>5</v>
      </c>
      <c r="I684" s="6"/>
      <c r="J684" s="6" t="s">
        <v>2390</v>
      </c>
      <c r="K684" s="6" t="s">
        <v>2439</v>
      </c>
      <c r="L684" s="6">
        <v>22</v>
      </c>
      <c r="M684" s="6">
        <v>5000</v>
      </c>
      <c r="N684" s="6">
        <v>6.5</v>
      </c>
      <c r="O684" s="6">
        <v>349</v>
      </c>
      <c r="P684" s="6" t="s">
        <v>2368</v>
      </c>
      <c r="Q684" s="6">
        <f>Table2_1[[#This Row],[Specs Score]] / (Table2_1[[#This Row],[Launched Price (USA)]] ^ 0.85)</f>
        <v>0.19459971974393078</v>
      </c>
      <c r="R684" s="6">
        <f>IFERROR(Table2_1[[#This Row],[Launched Price (USA)]] / S684, "")</f>
        <v>12.367491016334164</v>
      </c>
      <c r="S68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28.219143198815662</v>
      </c>
      <c r="T684" s="6">
        <v>2023</v>
      </c>
    </row>
    <row r="685" spans="1:20" x14ac:dyDescent="0.25">
      <c r="A685" s="6" t="s">
        <v>372</v>
      </c>
      <c r="B685" s="6" t="s">
        <v>534</v>
      </c>
      <c r="C685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685" s="6">
        <v>188</v>
      </c>
      <c r="E685" s="6">
        <v>4</v>
      </c>
      <c r="F685" s="6">
        <v>5</v>
      </c>
      <c r="G685" s="6">
        <v>13</v>
      </c>
      <c r="H685" s="6">
        <v>2</v>
      </c>
      <c r="I685" s="6"/>
      <c r="J685" s="6" t="s">
        <v>2421</v>
      </c>
      <c r="K685" s="6" t="s">
        <v>2439</v>
      </c>
      <c r="L685" s="6">
        <v>5</v>
      </c>
      <c r="M685" s="6">
        <v>5000</v>
      </c>
      <c r="N685" s="6">
        <v>6.5</v>
      </c>
      <c r="O685" s="6">
        <v>199</v>
      </c>
      <c r="P685" s="6" t="s">
        <v>2368</v>
      </c>
      <c r="Q685" s="6">
        <f>Table2_1[[#This Row],[Specs Score]] / (Table2_1[[#This Row],[Launched Price (USA)]] ^ 0.85)</f>
        <v>0.14277162755292286</v>
      </c>
      <c r="R685" s="6">
        <f>IFERROR(Table2_1[[#This Row],[Launched Price (USA)]] / S685, "")</f>
        <v>15.494802717220695</v>
      </c>
      <c r="S68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12.84301605071966</v>
      </c>
      <c r="T685" s="6">
        <v>2022</v>
      </c>
    </row>
    <row r="686" spans="1:20" x14ac:dyDescent="0.25">
      <c r="A686" s="6" t="s">
        <v>372</v>
      </c>
      <c r="B686" s="6" t="s">
        <v>539</v>
      </c>
      <c r="C68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86" s="6">
        <v>188</v>
      </c>
      <c r="E686" s="6">
        <v>4</v>
      </c>
      <c r="F686" s="6">
        <v>5</v>
      </c>
      <c r="G686" s="6">
        <v>13</v>
      </c>
      <c r="H686" s="6">
        <v>2</v>
      </c>
      <c r="I686" s="6"/>
      <c r="J686" s="6" t="s">
        <v>2421</v>
      </c>
      <c r="K686" s="6" t="s">
        <v>2439</v>
      </c>
      <c r="L686" s="6">
        <v>5</v>
      </c>
      <c r="M686" s="6">
        <v>5000</v>
      </c>
      <c r="N686" s="6">
        <v>6.5</v>
      </c>
      <c r="O686" s="6">
        <v>249</v>
      </c>
      <c r="P686" s="6" t="s">
        <v>2368</v>
      </c>
      <c r="Q686" s="6">
        <f>Table2_1[[#This Row],[Specs Score]] / (Table2_1[[#This Row],[Launched Price (USA)]] ^ 0.85)</f>
        <v>0.13578784894715989</v>
      </c>
      <c r="R686" s="6">
        <f>IFERROR(Table2_1[[#This Row],[Launched Price (USA)]] / S686, "")</f>
        <v>16.848800711809275</v>
      </c>
      <c r="S68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14.7784999216874</v>
      </c>
      <c r="T686" s="6">
        <v>2022</v>
      </c>
    </row>
    <row r="687" spans="1:20" x14ac:dyDescent="0.25">
      <c r="A687" s="6" t="s">
        <v>372</v>
      </c>
      <c r="B687" s="6" t="s">
        <v>589</v>
      </c>
      <c r="C687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687" s="6">
        <v>191</v>
      </c>
      <c r="E687" s="6">
        <v>4</v>
      </c>
      <c r="F687" s="6">
        <v>16</v>
      </c>
      <c r="G687" s="6">
        <v>16</v>
      </c>
      <c r="H687" s="6">
        <v>5</v>
      </c>
      <c r="I687" s="6"/>
      <c r="J687" s="6" t="s">
        <v>592</v>
      </c>
      <c r="K687" s="6" t="s">
        <v>2439</v>
      </c>
      <c r="L687" s="6">
        <v>15</v>
      </c>
      <c r="M687" s="6">
        <v>3500</v>
      </c>
      <c r="N687" s="6">
        <v>6</v>
      </c>
      <c r="O687" s="6">
        <v>199</v>
      </c>
      <c r="P687" s="6" t="s">
        <v>2368</v>
      </c>
      <c r="Q687" s="6">
        <f>Table2_1[[#This Row],[Specs Score]] / (Table2_1[[#This Row],[Launched Price (USA)]] ^ 0.85)</f>
        <v>0.16066018973288534</v>
      </c>
      <c r="R687" s="6">
        <f>IFERROR(Table2_1[[#This Row],[Launched Price (USA)]] / S687, "")</f>
        <v>13.769548051867101</v>
      </c>
      <c r="S68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14.452180946709889</v>
      </c>
      <c r="T687" s="6">
        <v>2018</v>
      </c>
    </row>
    <row r="688" spans="1:20" x14ac:dyDescent="0.25">
      <c r="A688" s="6" t="s">
        <v>372</v>
      </c>
      <c r="B688" s="6" t="s">
        <v>597</v>
      </c>
      <c r="C688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688" s="6">
        <v>181</v>
      </c>
      <c r="E688" s="6">
        <v>3</v>
      </c>
      <c r="F688" s="6">
        <v>13</v>
      </c>
      <c r="G688" s="6">
        <v>13</v>
      </c>
      <c r="H688" s="6"/>
      <c r="I688" s="6"/>
      <c r="J688" s="6" t="s">
        <v>599</v>
      </c>
      <c r="K688" s="6" t="s">
        <v>2439</v>
      </c>
      <c r="L688" s="6">
        <v>5</v>
      </c>
      <c r="M688" s="6">
        <v>3600</v>
      </c>
      <c r="N688" s="6">
        <v>5.5</v>
      </c>
      <c r="O688" s="6">
        <v>179</v>
      </c>
      <c r="P688" s="6" t="s">
        <v>2368</v>
      </c>
      <c r="Q688" s="6">
        <f>Table2_1[[#This Row],[Specs Score]] / (Table2_1[[#This Row],[Launched Price (USA)]] ^ 0.85)</f>
        <v>0.12039948030323044</v>
      </c>
      <c r="R688" s="6">
        <f>IFERROR(Table2_1[[#This Row],[Launched Price (USA)]] / S688, "")</f>
        <v>18.084368265942992</v>
      </c>
      <c r="S68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9.8980510332284037</v>
      </c>
      <c r="T688" s="6">
        <v>2017</v>
      </c>
    </row>
    <row r="689" spans="1:20" x14ac:dyDescent="0.25">
      <c r="A689" s="6" t="s">
        <v>372</v>
      </c>
      <c r="B689" s="6" t="s">
        <v>605</v>
      </c>
      <c r="C689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689" s="6">
        <v>178</v>
      </c>
      <c r="E689" s="6">
        <v>4</v>
      </c>
      <c r="F689" s="6">
        <v>8</v>
      </c>
      <c r="G689" s="6">
        <v>13</v>
      </c>
      <c r="H689" s="6">
        <v>5</v>
      </c>
      <c r="I689" s="6"/>
      <c r="J689" s="6" t="s">
        <v>608</v>
      </c>
      <c r="K689" s="6" t="s">
        <v>2439</v>
      </c>
      <c r="L689" s="6">
        <v>8</v>
      </c>
      <c r="M689" s="6">
        <v>3300</v>
      </c>
      <c r="N689" s="6">
        <v>6</v>
      </c>
      <c r="O689" s="6">
        <v>169</v>
      </c>
      <c r="P689" s="6" t="s">
        <v>2368</v>
      </c>
      <c r="Q689" s="6">
        <f>Table2_1[[#This Row],[Specs Score]] / (Table2_1[[#This Row],[Launched Price (USA)]] ^ 0.85)</f>
        <v>0.13827213419158624</v>
      </c>
      <c r="R689" s="6">
        <f>IFERROR(Table2_1[[#This Row],[Launched Price (USA)]] / S689, "")</f>
        <v>15.611633226334718</v>
      </c>
      <c r="S68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10.825260723837646</v>
      </c>
      <c r="T689" s="6">
        <v>2018</v>
      </c>
    </row>
    <row r="690" spans="1:20" x14ac:dyDescent="0.25">
      <c r="A690" s="6" t="s">
        <v>372</v>
      </c>
      <c r="B690" s="6" t="s">
        <v>611</v>
      </c>
      <c r="C690" s="6">
        <f>IF(ISNUMBER(SEARCH("GB", Table2_1[[#This Row],[Model Name]])), IFERROR(VALUE(TRIM(RIGHT(SUBSTITUTE(LEFT(Table2_1[[#This Row],[Model Name]], SEARCH("GB", Table2_1[[#This Row],[Model Name]])-1), " ", REPT(" ", 100)), 100))), 128), 128)</f>
        <v>16</v>
      </c>
      <c r="D690" s="6">
        <v>175</v>
      </c>
      <c r="E690" s="6">
        <v>2</v>
      </c>
      <c r="F690" s="6">
        <v>5</v>
      </c>
      <c r="G690" s="6">
        <v>13</v>
      </c>
      <c r="H690" s="6"/>
      <c r="I690" s="6"/>
      <c r="J690" s="6" t="s">
        <v>614</v>
      </c>
      <c r="K690" s="6" t="s">
        <v>2439</v>
      </c>
      <c r="L690" s="6">
        <v>3</v>
      </c>
      <c r="M690" s="6">
        <v>3000</v>
      </c>
      <c r="N690" s="6">
        <v>5.5</v>
      </c>
      <c r="O690" s="6">
        <v>129</v>
      </c>
      <c r="P690" s="6" t="s">
        <v>2368</v>
      </c>
      <c r="Q690" s="6">
        <f>Table2_1[[#This Row],[Specs Score]] / (Table2_1[[#This Row],[Launched Price (USA)]] ^ 0.85)</f>
        <v>7.365902421886758E-2</v>
      </c>
      <c r="R690" s="6">
        <f>IFERROR(Table2_1[[#This Row],[Launched Price (USA)]] / S690, "")</f>
        <v>28.142488364681299</v>
      </c>
      <c r="S69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4.5838164105592893</v>
      </c>
      <c r="T690" s="6">
        <v>2018</v>
      </c>
    </row>
    <row r="691" spans="1:20" x14ac:dyDescent="0.25">
      <c r="A691" s="6" t="s">
        <v>372</v>
      </c>
      <c r="B691" s="6" t="s">
        <v>620</v>
      </c>
      <c r="C691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691" s="6">
        <v>189</v>
      </c>
      <c r="E691" s="6">
        <v>6</v>
      </c>
      <c r="F691" s="6">
        <v>16</v>
      </c>
      <c r="G691" s="6">
        <v>16</v>
      </c>
      <c r="H691" s="6">
        <v>8</v>
      </c>
      <c r="I691" s="6"/>
      <c r="J691" s="6" t="s">
        <v>622</v>
      </c>
      <c r="K691" s="6" t="s">
        <v>2439</v>
      </c>
      <c r="L691" s="6">
        <v>18</v>
      </c>
      <c r="M691" s="6">
        <v>4000</v>
      </c>
      <c r="N691" s="6">
        <v>6</v>
      </c>
      <c r="O691" s="6">
        <v>399</v>
      </c>
      <c r="P691" s="6" t="s">
        <v>2368</v>
      </c>
      <c r="Q691" s="6">
        <f>Table2_1[[#This Row],[Specs Score]] / (Table2_1[[#This Row],[Launched Price (USA)]] ^ 0.85)</f>
        <v>0.11092966154280318</v>
      </c>
      <c r="R691" s="6">
        <f>IFERROR(Table2_1[[#This Row],[Launched Price (USA)]] / S691, "")</f>
        <v>22.135954142514947</v>
      </c>
      <c r="S69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18.024974095589997</v>
      </c>
      <c r="T691" s="6">
        <v>2016</v>
      </c>
    </row>
    <row r="692" spans="1:20" x14ac:dyDescent="0.25">
      <c r="A692" s="6" t="s">
        <v>372</v>
      </c>
      <c r="B692" s="6" t="s">
        <v>626</v>
      </c>
      <c r="C692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692" s="6">
        <v>165</v>
      </c>
      <c r="E692" s="6">
        <v>4</v>
      </c>
      <c r="F692" s="6">
        <v>16</v>
      </c>
      <c r="G692" s="6">
        <v>16</v>
      </c>
      <c r="H692" s="6"/>
      <c r="I692" s="6"/>
      <c r="J692" s="6" t="s">
        <v>628</v>
      </c>
      <c r="K692" s="6" t="s">
        <v>2439</v>
      </c>
      <c r="L692" s="6">
        <v>14</v>
      </c>
      <c r="M692" s="6">
        <v>3300</v>
      </c>
      <c r="N692" s="6">
        <v>5.7</v>
      </c>
      <c r="O692" s="6">
        <v>299</v>
      </c>
      <c r="P692" s="6" t="s">
        <v>2368</v>
      </c>
      <c r="Q692" s="6">
        <f>Table2_1[[#This Row],[Specs Score]] / (Table2_1[[#This Row],[Launched Price (USA)]] ^ 0.85)</f>
        <v>0.10665308132842967</v>
      </c>
      <c r="R692" s="6">
        <f>IFERROR(Table2_1[[#This Row],[Launched Price (USA)]] / S692, "")</f>
        <v>22.048409737028539</v>
      </c>
      <c r="S69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13.5610687376629</v>
      </c>
      <c r="T692" s="6">
        <v>2017</v>
      </c>
    </row>
    <row r="693" spans="1:20" x14ac:dyDescent="0.25">
      <c r="A693" s="6" t="s">
        <v>372</v>
      </c>
      <c r="B693" s="6" t="s">
        <v>631</v>
      </c>
      <c r="C693" s="6">
        <f>IF(ISNUMBER(SEARCH("GB", Table2_1[[#This Row],[Model Name]])), IFERROR(VALUE(TRIM(RIGHT(SUBSTITUTE(LEFT(Table2_1[[#This Row],[Model Name]], SEARCH("GB", Table2_1[[#This Row],[Model Name]])-1), " ", REPT(" ", 100)), 100))), 128), 128)</f>
        <v>32</v>
      </c>
      <c r="D693" s="6">
        <v>143</v>
      </c>
      <c r="E693" s="6">
        <v>4</v>
      </c>
      <c r="F693" s="6">
        <v>8</v>
      </c>
      <c r="G693" s="6">
        <v>16</v>
      </c>
      <c r="H693" s="6"/>
      <c r="I693" s="6"/>
      <c r="J693" s="6" t="s">
        <v>633</v>
      </c>
      <c r="K693" s="6" t="s">
        <v>2439</v>
      </c>
      <c r="L693" s="6">
        <v>10</v>
      </c>
      <c r="M693" s="6">
        <v>2600</v>
      </c>
      <c r="N693" s="6">
        <v>5.2</v>
      </c>
      <c r="O693" s="6">
        <v>249</v>
      </c>
      <c r="P693" s="6" t="s">
        <v>2368</v>
      </c>
      <c r="Q693" s="6">
        <f>Table2_1[[#This Row],[Specs Score]] / (Table2_1[[#This Row],[Launched Price (USA)]] ^ 0.85)</f>
        <v>7.8483583258681794E-2</v>
      </c>
      <c r="R693" s="6">
        <f>IFERROR(Table2_1[[#This Row],[Launched Price (USA)]] / S693, "")</f>
        <v>29.150840354156184</v>
      </c>
      <c r="S69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8.5417777660910144</v>
      </c>
      <c r="T693" s="6">
        <v>2016</v>
      </c>
    </row>
    <row r="694" spans="1:20" x14ac:dyDescent="0.25">
      <c r="A694" s="6" t="s">
        <v>372</v>
      </c>
      <c r="B694" s="6" t="s">
        <v>684</v>
      </c>
      <c r="C694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694" s="6">
        <v>366</v>
      </c>
      <c r="E694" s="6">
        <v>4</v>
      </c>
      <c r="F694" s="6">
        <v>2</v>
      </c>
      <c r="G694" s="6">
        <v>8</v>
      </c>
      <c r="H694" s="6"/>
      <c r="I694" s="6"/>
      <c r="J694" s="6" t="s">
        <v>2390</v>
      </c>
      <c r="K694" s="6" t="s">
        <v>2439</v>
      </c>
      <c r="L694" s="6">
        <v>22</v>
      </c>
      <c r="M694" s="6">
        <v>5100</v>
      </c>
      <c r="N694" s="6">
        <v>8.6999999999999993</v>
      </c>
      <c r="O694" s="6">
        <v>179</v>
      </c>
      <c r="P694" s="6" t="s">
        <v>2369</v>
      </c>
      <c r="Q694" s="6">
        <f>Table2_1[[#This Row],[Specs Score]] / (Table2_1[[#This Row],[Launched Price (USA)]] ^ 0.85)</f>
        <v>0.22888925073654487</v>
      </c>
      <c r="R694" s="6">
        <f>IFERROR(Table2_1[[#This Row],[Launched Price (USA)]] / S694, "")</f>
        <v>9.5126727612819675</v>
      </c>
      <c r="S69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18.817003852855883</v>
      </c>
      <c r="T694" s="6">
        <v>2023</v>
      </c>
    </row>
    <row r="695" spans="1:20" x14ac:dyDescent="0.25">
      <c r="A695" s="6" t="s">
        <v>372</v>
      </c>
      <c r="B695" s="6" t="s">
        <v>690</v>
      </c>
      <c r="C695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695" s="6">
        <v>508</v>
      </c>
      <c r="E695" s="6">
        <v>4</v>
      </c>
      <c r="F695" s="6">
        <v>5</v>
      </c>
      <c r="G695" s="6">
        <v>8</v>
      </c>
      <c r="H695" s="6"/>
      <c r="I695" s="6"/>
      <c r="J695" s="6" t="s">
        <v>692</v>
      </c>
      <c r="K695" s="6" t="s">
        <v>2439</v>
      </c>
      <c r="L695" s="6">
        <v>10</v>
      </c>
      <c r="M695" s="6">
        <v>7040</v>
      </c>
      <c r="N695" s="6">
        <v>10.5</v>
      </c>
      <c r="O695" s="6">
        <v>199</v>
      </c>
      <c r="P695" s="6" t="s">
        <v>2369</v>
      </c>
      <c r="Q695" s="6">
        <f>Table2_1[[#This Row],[Specs Score]] / (Table2_1[[#This Row],[Launched Price (USA)]] ^ 0.85)</f>
        <v>0.23725190552819922</v>
      </c>
      <c r="R695" s="6">
        <f>IFERROR(Table2_1[[#This Row],[Launched Price (USA)]] / S695, "")</f>
        <v>9.3243432444681087</v>
      </c>
      <c r="S69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21.341985680124072</v>
      </c>
      <c r="T695" s="6">
        <v>2022</v>
      </c>
    </row>
    <row r="696" spans="1:20" x14ac:dyDescent="0.25">
      <c r="A696" s="6" t="s">
        <v>372</v>
      </c>
      <c r="B696" s="6" t="s">
        <v>695</v>
      </c>
      <c r="C696" s="6">
        <f>IF(ISNUMBER(SEARCH("GB", Table2_1[[#This Row],[Model Name]])), IFERROR(VALUE(TRIM(RIGHT(SUBSTITUTE(LEFT(Table2_1[[#This Row],[Model Name]], SEARCH("GB", Table2_1[[#This Row],[Model Name]])-1), " ", REPT(" ", 100)), 100))), 128), 128)</f>
        <v>32</v>
      </c>
      <c r="D696" s="6">
        <v>366</v>
      </c>
      <c r="E696" s="6">
        <v>3</v>
      </c>
      <c r="F696" s="6">
        <v>2</v>
      </c>
      <c r="G696" s="6">
        <v>8</v>
      </c>
      <c r="H696" s="6"/>
      <c r="I696" s="6"/>
      <c r="J696" s="6" t="s">
        <v>2422</v>
      </c>
      <c r="K696" s="6" t="s">
        <v>2439</v>
      </c>
      <c r="L696" s="6">
        <v>4</v>
      </c>
      <c r="M696" s="6">
        <v>5100</v>
      </c>
      <c r="N696" s="6">
        <v>8.6999999999999993</v>
      </c>
      <c r="O696" s="6">
        <v>149</v>
      </c>
      <c r="P696" s="6" t="s">
        <v>2369</v>
      </c>
      <c r="Q696" s="6">
        <f>Table2_1[[#This Row],[Specs Score]] / (Table2_1[[#This Row],[Launched Price (USA)]] ^ 0.85)</f>
        <v>0.17491666768261346</v>
      </c>
      <c r="R696" s="6">
        <f>IFERROR(Table2_1[[#This Row],[Launched Price (USA)]] / S696, "")</f>
        <v>12.110072556896615</v>
      </c>
      <c r="S69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12.303807371917468</v>
      </c>
      <c r="T696" s="6">
        <v>2021</v>
      </c>
    </row>
    <row r="697" spans="1:20" x14ac:dyDescent="0.25">
      <c r="A697" s="6" t="s">
        <v>372</v>
      </c>
      <c r="B697" s="6" t="s">
        <v>719</v>
      </c>
      <c r="C697" s="6">
        <f>IF(ISNUMBER(SEARCH("GB", Table2_1[[#This Row],[Model Name]])), IFERROR(VALUE(TRIM(RIGHT(SUBSTITUTE(LEFT(Table2_1[[#This Row],[Model Name]], SEARCH("GB", Table2_1[[#This Row],[Model Name]])-1), " ", REPT(" ", 100)), 100))), 128), 128)</f>
        <v>16</v>
      </c>
      <c r="D697" s="6">
        <v>490</v>
      </c>
      <c r="E697" s="6">
        <v>1.5</v>
      </c>
      <c r="F697" s="6">
        <v>2</v>
      </c>
      <c r="G697" s="6">
        <v>5</v>
      </c>
      <c r="H697" s="6"/>
      <c r="I697" s="6"/>
      <c r="J697" s="6" t="s">
        <v>721</v>
      </c>
      <c r="K697" s="6" t="s">
        <v>2439</v>
      </c>
      <c r="L697" s="6">
        <v>1</v>
      </c>
      <c r="M697" s="6">
        <v>5000</v>
      </c>
      <c r="N697" s="6">
        <v>10.1</v>
      </c>
      <c r="O697" s="6">
        <v>129</v>
      </c>
      <c r="P697" s="6" t="s">
        <v>2369</v>
      </c>
      <c r="Q697" s="6">
        <f>Table2_1[[#This Row],[Specs Score]] / (Table2_1[[#This Row],[Launched Price (USA)]] ^ 0.85)</f>
        <v>0.17200335115392246</v>
      </c>
      <c r="R697" s="6">
        <f>IFERROR(Table2_1[[#This Row],[Launched Price (USA)]] / S697, "")</f>
        <v>12.051789794364053</v>
      </c>
      <c r="S69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10.703804347826086</v>
      </c>
      <c r="T697" s="6">
        <v>2016</v>
      </c>
    </row>
    <row r="698" spans="1:20" x14ac:dyDescent="0.25">
      <c r="A698" s="6" t="s">
        <v>372</v>
      </c>
      <c r="B698" s="6" t="s">
        <v>725</v>
      </c>
      <c r="C698" s="6">
        <f>IF(ISNUMBER(SEARCH("GB", Table2_1[[#This Row],[Model Name]])), IFERROR(VALUE(TRIM(RIGHT(SUBSTITUTE(LEFT(Table2_1[[#This Row],[Model Name]], SEARCH("GB", Table2_1[[#This Row],[Model Name]])-1), " ", REPT(" ", 100)), 100))), 128), 128)</f>
        <v>16</v>
      </c>
      <c r="D698" s="6">
        <v>360</v>
      </c>
      <c r="E698" s="6">
        <v>1.5</v>
      </c>
      <c r="F698" s="6">
        <v>2</v>
      </c>
      <c r="G698" s="6">
        <v>5</v>
      </c>
      <c r="H698" s="6"/>
      <c r="I698" s="6"/>
      <c r="J698" s="6" t="s">
        <v>727</v>
      </c>
      <c r="K698" s="6" t="s">
        <v>2439</v>
      </c>
      <c r="L698" s="6">
        <v>2</v>
      </c>
      <c r="M698" s="6">
        <v>5000</v>
      </c>
      <c r="N698" s="6">
        <v>8</v>
      </c>
      <c r="O698" s="6">
        <v>99</v>
      </c>
      <c r="P698" s="6" t="s">
        <v>2368</v>
      </c>
      <c r="Q698" s="6">
        <f>Table2_1[[#This Row],[Specs Score]] / (Table2_1[[#This Row],[Launched Price (USA)]] ^ 0.85)</f>
        <v>0.17646221055154782</v>
      </c>
      <c r="R698" s="6">
        <f>IFERROR(Table2_1[[#This Row],[Launched Price (USA)]] / S698, "")</f>
        <v>11.289990171098021</v>
      </c>
      <c r="S69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8.7688296003513386</v>
      </c>
      <c r="T698" s="6">
        <v>2016</v>
      </c>
    </row>
    <row r="699" spans="1:20" x14ac:dyDescent="0.25">
      <c r="A699" s="6" t="s">
        <v>372</v>
      </c>
      <c r="B699" s="6" t="s">
        <v>373</v>
      </c>
      <c r="C69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699" s="6">
        <v>234</v>
      </c>
      <c r="E699" s="6">
        <v>12</v>
      </c>
      <c r="F699" s="6">
        <v>12</v>
      </c>
      <c r="G699" s="6">
        <v>200</v>
      </c>
      <c r="H699" s="6">
        <v>12</v>
      </c>
      <c r="I699" s="6"/>
      <c r="J699" s="6" t="s">
        <v>377</v>
      </c>
      <c r="K699" s="6" t="s">
        <v>2437</v>
      </c>
      <c r="L699" s="6">
        <v>95</v>
      </c>
      <c r="M699" s="6">
        <v>5000</v>
      </c>
      <c r="N699" s="6">
        <v>6.8</v>
      </c>
      <c r="O699" s="6">
        <v>1199</v>
      </c>
      <c r="P699" s="6" t="s">
        <v>2368</v>
      </c>
      <c r="Q699" s="6">
        <f>Table2_1[[#This Row],[Specs Score]] / (Table2_1[[#This Row],[Launched Price (USA)]] ^ 0.85)</f>
        <v>0.13675226778159782</v>
      </c>
      <c r="R699" s="6">
        <f>IFERROR(Table2_1[[#This Row],[Launched Price (USA)]] / S699, "")</f>
        <v>21.178165626402244</v>
      </c>
      <c r="S69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56.614912790427859</v>
      </c>
      <c r="T699" s="6">
        <v>2024</v>
      </c>
    </row>
    <row r="700" spans="1:20" x14ac:dyDescent="0.25">
      <c r="A700" s="6" t="s">
        <v>372</v>
      </c>
      <c r="B700" s="6" t="s">
        <v>383</v>
      </c>
      <c r="C70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00" s="6">
        <v>234</v>
      </c>
      <c r="E700" s="6">
        <v>12</v>
      </c>
      <c r="F700" s="6">
        <v>12</v>
      </c>
      <c r="G700" s="6">
        <v>200</v>
      </c>
      <c r="H700" s="6">
        <v>12</v>
      </c>
      <c r="I700" s="6"/>
      <c r="J700" s="6" t="s">
        <v>377</v>
      </c>
      <c r="K700" s="6" t="s">
        <v>2437</v>
      </c>
      <c r="L700" s="6">
        <v>95</v>
      </c>
      <c r="M700" s="6">
        <v>5000</v>
      </c>
      <c r="N700" s="6">
        <v>6.8</v>
      </c>
      <c r="O700" s="6">
        <v>1299</v>
      </c>
      <c r="P700" s="6" t="s">
        <v>2368</v>
      </c>
      <c r="Q700" s="6">
        <f>Table2_1[[#This Row],[Specs Score]] / (Table2_1[[#This Row],[Launched Price (USA)]] ^ 0.85)</f>
        <v>0.13648541007041784</v>
      </c>
      <c r="R700" s="6">
        <f>IFERROR(Table2_1[[#This Row],[Launched Price (USA)]] / S700, "")</f>
        <v>21.47608646128516</v>
      </c>
      <c r="S70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60.485880532363339</v>
      </c>
      <c r="T700" s="6">
        <v>2024</v>
      </c>
    </row>
    <row r="701" spans="1:20" x14ac:dyDescent="0.25">
      <c r="A701" s="6" t="s">
        <v>372</v>
      </c>
      <c r="B701" s="6" t="s">
        <v>386</v>
      </c>
      <c r="C70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01" s="6">
        <v>196</v>
      </c>
      <c r="E701" s="6">
        <v>8</v>
      </c>
      <c r="F701" s="6">
        <v>12</v>
      </c>
      <c r="G701" s="6">
        <v>50</v>
      </c>
      <c r="H701" s="6">
        <v>12</v>
      </c>
      <c r="I701" s="6"/>
      <c r="J701" s="6" t="s">
        <v>377</v>
      </c>
      <c r="K701" s="6" t="s">
        <v>2437</v>
      </c>
      <c r="L701" s="6">
        <v>95</v>
      </c>
      <c r="M701" s="6">
        <v>4800</v>
      </c>
      <c r="N701" s="6">
        <v>6.6</v>
      </c>
      <c r="O701" s="6">
        <v>899</v>
      </c>
      <c r="P701" s="6" t="s">
        <v>2368</v>
      </c>
      <c r="Q701" s="6">
        <f>Table2_1[[#This Row],[Specs Score]] / (Table2_1[[#This Row],[Launched Price (USA)]] ^ 0.85)</f>
        <v>0.13695303074736118</v>
      </c>
      <c r="R701" s="6">
        <f>IFERROR(Table2_1[[#This Row],[Launched Price (USA)]] / S701, "")</f>
        <v>20.253137268019255</v>
      </c>
      <c r="S70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44.388184808265095</v>
      </c>
      <c r="T701" s="6">
        <v>2024</v>
      </c>
    </row>
    <row r="702" spans="1:20" x14ac:dyDescent="0.25">
      <c r="A702" s="6" t="s">
        <v>372</v>
      </c>
      <c r="B702" s="6" t="s">
        <v>391</v>
      </c>
      <c r="C70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02" s="6">
        <v>196</v>
      </c>
      <c r="E702" s="6">
        <v>8</v>
      </c>
      <c r="F702" s="6">
        <v>12</v>
      </c>
      <c r="G702" s="6">
        <v>50</v>
      </c>
      <c r="H702" s="6">
        <v>12</v>
      </c>
      <c r="I702" s="6"/>
      <c r="J702" s="6" t="s">
        <v>377</v>
      </c>
      <c r="K702" s="6" t="s">
        <v>2437</v>
      </c>
      <c r="L702" s="6">
        <v>95</v>
      </c>
      <c r="M702" s="6">
        <v>4800</v>
      </c>
      <c r="N702" s="6">
        <v>6.6</v>
      </c>
      <c r="O702" s="6">
        <v>999</v>
      </c>
      <c r="P702" s="6" t="s">
        <v>2368</v>
      </c>
      <c r="Q702" s="6">
        <f>Table2_1[[#This Row],[Specs Score]] / (Table2_1[[#This Row],[Launched Price (USA)]] ^ 0.85)</f>
        <v>0.13612848972255648</v>
      </c>
      <c r="R702" s="6">
        <f>IFERROR(Table2_1[[#This Row],[Launched Price (USA)]] / S702, "")</f>
        <v>20.700736486427342</v>
      </c>
      <c r="S70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48.259152550200568</v>
      </c>
      <c r="T702" s="6">
        <v>2024</v>
      </c>
    </row>
    <row r="703" spans="1:20" x14ac:dyDescent="0.25">
      <c r="A703" s="6" t="s">
        <v>372</v>
      </c>
      <c r="B703" s="6" t="s">
        <v>393</v>
      </c>
      <c r="C70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03" s="6">
        <v>168</v>
      </c>
      <c r="E703" s="6">
        <v>8</v>
      </c>
      <c r="F703" s="6">
        <v>12</v>
      </c>
      <c r="G703" s="6">
        <v>50</v>
      </c>
      <c r="H703" s="6">
        <v>12</v>
      </c>
      <c r="I703" s="6"/>
      <c r="J703" s="6" t="s">
        <v>377</v>
      </c>
      <c r="K703" s="6" t="s">
        <v>2437</v>
      </c>
      <c r="L703" s="6">
        <v>95</v>
      </c>
      <c r="M703" s="6">
        <v>4000</v>
      </c>
      <c r="N703" s="6">
        <v>6.1</v>
      </c>
      <c r="O703" s="6">
        <v>799</v>
      </c>
      <c r="P703" s="6" t="s">
        <v>2368</v>
      </c>
      <c r="Q703" s="6">
        <f>Table2_1[[#This Row],[Specs Score]] / (Table2_1[[#This Row],[Launched Price (USA)]] ^ 0.85)</f>
        <v>0.14516686764358497</v>
      </c>
      <c r="R703" s="6">
        <f>IFERROR(Table2_1[[#This Row],[Launched Price (USA)]] / S703, "")</f>
        <v>18.772171404817797</v>
      </c>
      <c r="S70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42.563003648844806</v>
      </c>
      <c r="T703" s="6">
        <v>2024</v>
      </c>
    </row>
    <row r="704" spans="1:20" x14ac:dyDescent="0.25">
      <c r="A704" s="6" t="s">
        <v>372</v>
      </c>
      <c r="B704" s="6" t="s">
        <v>398</v>
      </c>
      <c r="C70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04" s="6">
        <v>168</v>
      </c>
      <c r="E704" s="6">
        <v>8</v>
      </c>
      <c r="F704" s="6">
        <v>12</v>
      </c>
      <c r="G704" s="6">
        <v>50</v>
      </c>
      <c r="H704" s="6">
        <v>12</v>
      </c>
      <c r="I704" s="6"/>
      <c r="J704" s="6" t="s">
        <v>377</v>
      </c>
      <c r="K704" s="6" t="s">
        <v>2437</v>
      </c>
      <c r="L704" s="6">
        <v>95</v>
      </c>
      <c r="M704" s="6">
        <v>4000</v>
      </c>
      <c r="N704" s="6">
        <v>6.1</v>
      </c>
      <c r="O704" s="6">
        <v>899</v>
      </c>
      <c r="P704" s="6" t="s">
        <v>2368</v>
      </c>
      <c r="Q704" s="6">
        <f>Table2_1[[#This Row],[Specs Score]] / (Table2_1[[#This Row],[Launched Price (USA)]] ^ 0.85)</f>
        <v>0.14326499583329488</v>
      </c>
      <c r="R704" s="6">
        <f>IFERROR(Table2_1[[#This Row],[Launched Price (USA)]] / S704, "")</f>
        <v>19.360825125944348</v>
      </c>
      <c r="S70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46.433971390780286</v>
      </c>
      <c r="T704" s="6">
        <v>2024</v>
      </c>
    </row>
    <row r="705" spans="1:20" x14ac:dyDescent="0.25">
      <c r="A705" s="6" t="s">
        <v>372</v>
      </c>
      <c r="B705" s="6" t="s">
        <v>400</v>
      </c>
      <c r="C70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05" s="6">
        <v>228</v>
      </c>
      <c r="E705" s="6">
        <v>12</v>
      </c>
      <c r="F705" s="6">
        <v>12</v>
      </c>
      <c r="G705" s="6">
        <v>200</v>
      </c>
      <c r="H705" s="6">
        <v>12</v>
      </c>
      <c r="I705" s="6"/>
      <c r="J705" s="6" t="s">
        <v>401</v>
      </c>
      <c r="K705" s="6" t="s">
        <v>2437</v>
      </c>
      <c r="L705" s="6">
        <v>95</v>
      </c>
      <c r="M705" s="6">
        <v>5000</v>
      </c>
      <c r="N705" s="6">
        <v>6.8</v>
      </c>
      <c r="O705" s="6">
        <v>1199</v>
      </c>
      <c r="P705" s="6" t="s">
        <v>2368</v>
      </c>
      <c r="Q705" s="6">
        <f>Table2_1[[#This Row],[Specs Score]] / (Table2_1[[#This Row],[Launched Price (USA)]] ^ 0.85)</f>
        <v>0.13675226778159782</v>
      </c>
      <c r="R705" s="6">
        <f>IFERROR(Table2_1[[#This Row],[Launched Price (USA)]] / S705, "")</f>
        <v>21.178165626402244</v>
      </c>
      <c r="S70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56.614912790427859</v>
      </c>
      <c r="T705" s="6">
        <v>2023</v>
      </c>
    </row>
    <row r="706" spans="1:20" x14ac:dyDescent="0.25">
      <c r="A706" s="6" t="s">
        <v>372</v>
      </c>
      <c r="B706" s="6" t="s">
        <v>402</v>
      </c>
      <c r="C70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06" s="6">
        <v>228</v>
      </c>
      <c r="E706" s="6">
        <v>12</v>
      </c>
      <c r="F706" s="6">
        <v>12</v>
      </c>
      <c r="G706" s="6">
        <v>200</v>
      </c>
      <c r="H706" s="6">
        <v>12</v>
      </c>
      <c r="I706" s="6"/>
      <c r="J706" s="6" t="s">
        <v>401</v>
      </c>
      <c r="K706" s="6" t="s">
        <v>2437</v>
      </c>
      <c r="L706" s="6">
        <v>95</v>
      </c>
      <c r="M706" s="6">
        <v>5000</v>
      </c>
      <c r="N706" s="6">
        <v>6.8</v>
      </c>
      <c r="O706" s="6">
        <v>1299</v>
      </c>
      <c r="P706" s="6" t="s">
        <v>2368</v>
      </c>
      <c r="Q706" s="6">
        <f>Table2_1[[#This Row],[Specs Score]] / (Table2_1[[#This Row],[Launched Price (USA)]] ^ 0.85)</f>
        <v>0.13648541007041784</v>
      </c>
      <c r="R706" s="6">
        <f>IFERROR(Table2_1[[#This Row],[Launched Price (USA)]] / S706, "")</f>
        <v>21.47608646128516</v>
      </c>
      <c r="S70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60.485880532363339</v>
      </c>
      <c r="T706" s="6">
        <v>2023</v>
      </c>
    </row>
    <row r="707" spans="1:20" x14ac:dyDescent="0.25">
      <c r="A707" s="6" t="s">
        <v>372</v>
      </c>
      <c r="B707" s="6" t="s">
        <v>404</v>
      </c>
      <c r="C70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07" s="6">
        <v>196</v>
      </c>
      <c r="E707" s="6">
        <v>8</v>
      </c>
      <c r="F707" s="6">
        <v>12</v>
      </c>
      <c r="G707" s="6">
        <v>50</v>
      </c>
      <c r="H707" s="6">
        <v>12</v>
      </c>
      <c r="I707" s="6"/>
      <c r="J707" s="6" t="s">
        <v>401</v>
      </c>
      <c r="K707" s="6" t="s">
        <v>2437</v>
      </c>
      <c r="L707" s="6">
        <v>95</v>
      </c>
      <c r="M707" s="6">
        <v>4700</v>
      </c>
      <c r="N707" s="6">
        <v>6.6</v>
      </c>
      <c r="O707" s="6">
        <v>899</v>
      </c>
      <c r="P707" s="6" t="s">
        <v>2368</v>
      </c>
      <c r="Q707" s="6">
        <f>Table2_1[[#This Row],[Specs Score]] / (Table2_1[[#This Row],[Launched Price (USA)]] ^ 0.85)</f>
        <v>0.13644998475465231</v>
      </c>
      <c r="R707" s="6">
        <f>IFERROR(Table2_1[[#This Row],[Launched Price (USA)]] / S707, "")</f>
        <v>20.327803890817194</v>
      </c>
      <c r="S70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44.22514133000422</v>
      </c>
      <c r="T707" s="6">
        <v>2023</v>
      </c>
    </row>
    <row r="708" spans="1:20" x14ac:dyDescent="0.25">
      <c r="A708" s="6" t="s">
        <v>372</v>
      </c>
      <c r="B708" s="6" t="s">
        <v>407</v>
      </c>
      <c r="C70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08" s="6">
        <v>196</v>
      </c>
      <c r="E708" s="6">
        <v>8</v>
      </c>
      <c r="F708" s="6">
        <v>12</v>
      </c>
      <c r="G708" s="6">
        <v>50</v>
      </c>
      <c r="H708" s="6">
        <v>12</v>
      </c>
      <c r="I708" s="6"/>
      <c r="J708" s="6" t="s">
        <v>401</v>
      </c>
      <c r="K708" s="6" t="s">
        <v>2437</v>
      </c>
      <c r="L708" s="6">
        <v>95</v>
      </c>
      <c r="M708" s="6">
        <v>4700</v>
      </c>
      <c r="N708" s="6">
        <v>6.6</v>
      </c>
      <c r="O708" s="6">
        <v>999</v>
      </c>
      <c r="P708" s="6" t="s">
        <v>2368</v>
      </c>
      <c r="Q708" s="6">
        <f>Table2_1[[#This Row],[Specs Score]] / (Table2_1[[#This Row],[Launched Price (USA)]] ^ 0.85)</f>
        <v>0.13566857981361896</v>
      </c>
      <c r="R708" s="6">
        <f>IFERROR(Table2_1[[#This Row],[Launched Price (USA)]] / S708, "")</f>
        <v>20.770910979633445</v>
      </c>
      <c r="S70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48.096109071939701</v>
      </c>
      <c r="T708" s="6">
        <v>2023</v>
      </c>
    </row>
    <row r="709" spans="1:20" x14ac:dyDescent="0.25">
      <c r="A709" s="6" t="s">
        <v>372</v>
      </c>
      <c r="B709" s="6" t="s">
        <v>409</v>
      </c>
      <c r="C70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09" s="6">
        <v>168</v>
      </c>
      <c r="E709" s="6">
        <v>8</v>
      </c>
      <c r="F709" s="6">
        <v>12</v>
      </c>
      <c r="G709" s="6">
        <v>50</v>
      </c>
      <c r="H709" s="6">
        <v>12</v>
      </c>
      <c r="I709" s="6"/>
      <c r="J709" s="6" t="s">
        <v>401</v>
      </c>
      <c r="K709" s="6" t="s">
        <v>2437</v>
      </c>
      <c r="L709" s="6">
        <v>95</v>
      </c>
      <c r="M709" s="6">
        <v>3900</v>
      </c>
      <c r="N709" s="6">
        <v>6.1</v>
      </c>
      <c r="O709" s="6">
        <v>799</v>
      </c>
      <c r="P709" s="6" t="s">
        <v>2368</v>
      </c>
      <c r="Q709" s="6">
        <f>Table2_1[[#This Row],[Specs Score]] / (Table2_1[[#This Row],[Launched Price (USA)]] ^ 0.85)</f>
        <v>0.1446107858589413</v>
      </c>
      <c r="R709" s="6">
        <f>IFERROR(Table2_1[[#This Row],[Launched Price (USA)]] / S709, "")</f>
        <v>18.844357324522367</v>
      </c>
      <c r="S70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42.399960170583938</v>
      </c>
      <c r="T709" s="6">
        <v>2023</v>
      </c>
    </row>
    <row r="710" spans="1:20" x14ac:dyDescent="0.25">
      <c r="A710" s="6" t="s">
        <v>372</v>
      </c>
      <c r="B710" s="6" t="s">
        <v>412</v>
      </c>
      <c r="C71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10" s="6">
        <v>168</v>
      </c>
      <c r="E710" s="6">
        <v>8</v>
      </c>
      <c r="F710" s="6">
        <v>12</v>
      </c>
      <c r="G710" s="6">
        <v>50</v>
      </c>
      <c r="H710" s="6">
        <v>12</v>
      </c>
      <c r="I710" s="6"/>
      <c r="J710" s="6" t="s">
        <v>401</v>
      </c>
      <c r="K710" s="6" t="s">
        <v>2437</v>
      </c>
      <c r="L710" s="6">
        <v>95</v>
      </c>
      <c r="M710" s="6">
        <v>3900</v>
      </c>
      <c r="N710" s="6">
        <v>6.1</v>
      </c>
      <c r="O710" s="6">
        <v>899</v>
      </c>
      <c r="P710" s="6" t="s">
        <v>2368</v>
      </c>
      <c r="Q710" s="6">
        <f>Table2_1[[#This Row],[Specs Score]] / (Table2_1[[#This Row],[Launched Price (USA)]] ^ 0.85)</f>
        <v>0.14276194984058604</v>
      </c>
      <c r="R710" s="6">
        <f>IFERROR(Table2_1[[#This Row],[Launched Price (USA)]] / S710, "")</f>
        <v>19.429046283654916</v>
      </c>
      <c r="S71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46.270927912519419</v>
      </c>
      <c r="T710" s="6">
        <v>2023</v>
      </c>
    </row>
    <row r="711" spans="1:20" x14ac:dyDescent="0.25">
      <c r="A711" s="6" t="s">
        <v>372</v>
      </c>
      <c r="B711" s="6" t="s">
        <v>413</v>
      </c>
      <c r="C71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11" s="6">
        <v>228</v>
      </c>
      <c r="E711" s="6">
        <v>12</v>
      </c>
      <c r="F711" s="6">
        <v>10</v>
      </c>
      <c r="G711" s="6">
        <v>108</v>
      </c>
      <c r="H711" s="6">
        <v>12</v>
      </c>
      <c r="I711" s="6"/>
      <c r="J711" s="6" t="s">
        <v>416</v>
      </c>
      <c r="K711" s="6" t="s">
        <v>2437</v>
      </c>
      <c r="L711" s="6">
        <v>85</v>
      </c>
      <c r="M711" s="6">
        <v>5000</v>
      </c>
      <c r="N711" s="6">
        <v>6.8</v>
      </c>
      <c r="O711" s="6">
        <v>1099</v>
      </c>
      <c r="P711" s="6" t="s">
        <v>2368</v>
      </c>
      <c r="Q711" s="6">
        <f>Table2_1[[#This Row],[Specs Score]] / (Table2_1[[#This Row],[Launched Price (USA)]] ^ 0.85)</f>
        <v>0.12752233397131632</v>
      </c>
      <c r="R711" s="6">
        <f>IFERROR(Table2_1[[#This Row],[Launched Price (USA)]] / S711, "")</f>
        <v>22.416272689771443</v>
      </c>
      <c r="S71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49.02688396101972</v>
      </c>
      <c r="T711" s="6">
        <v>2022</v>
      </c>
    </row>
    <row r="712" spans="1:20" x14ac:dyDescent="0.25">
      <c r="A712" s="6" t="s">
        <v>372</v>
      </c>
      <c r="B712" s="6" t="s">
        <v>419</v>
      </c>
      <c r="C71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12" s="6">
        <v>228</v>
      </c>
      <c r="E712" s="6">
        <v>12</v>
      </c>
      <c r="F712" s="6">
        <v>10</v>
      </c>
      <c r="G712" s="6">
        <v>108</v>
      </c>
      <c r="H712" s="6">
        <v>12</v>
      </c>
      <c r="I712" s="6"/>
      <c r="J712" s="6" t="s">
        <v>416</v>
      </c>
      <c r="K712" s="6" t="s">
        <v>2437</v>
      </c>
      <c r="L712" s="6">
        <v>85</v>
      </c>
      <c r="M712" s="6">
        <v>5000</v>
      </c>
      <c r="N712" s="6">
        <v>6.8</v>
      </c>
      <c r="O712" s="6">
        <v>1199</v>
      </c>
      <c r="P712" s="6" t="s">
        <v>2368</v>
      </c>
      <c r="Q712" s="6">
        <f>Table2_1[[#This Row],[Specs Score]] / (Table2_1[[#This Row],[Launched Price (USA)]] ^ 0.85)</f>
        <v>0.12777377592952591</v>
      </c>
      <c r="R712" s="6">
        <f>IFERROR(Table2_1[[#This Row],[Launched Price (USA)]] / S712, "")</f>
        <v>22.666326918773837</v>
      </c>
      <c r="S71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52.897851702955201</v>
      </c>
      <c r="T712" s="6">
        <v>2022</v>
      </c>
    </row>
    <row r="713" spans="1:20" x14ac:dyDescent="0.25">
      <c r="A713" s="6" t="s">
        <v>372</v>
      </c>
      <c r="B713" s="6" t="s">
        <v>420</v>
      </c>
      <c r="C71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13" s="6">
        <v>195</v>
      </c>
      <c r="E713" s="6">
        <v>8</v>
      </c>
      <c r="F713" s="6">
        <v>10</v>
      </c>
      <c r="G713" s="6">
        <v>50</v>
      </c>
      <c r="H713" s="6">
        <v>12</v>
      </c>
      <c r="I713" s="6"/>
      <c r="J713" s="6" t="s">
        <v>416</v>
      </c>
      <c r="K713" s="6" t="s">
        <v>2437</v>
      </c>
      <c r="L713" s="6">
        <v>85</v>
      </c>
      <c r="M713" s="6">
        <v>4500</v>
      </c>
      <c r="N713" s="6">
        <v>6.6</v>
      </c>
      <c r="O713" s="6">
        <v>799</v>
      </c>
      <c r="P713" s="6" t="s">
        <v>2368</v>
      </c>
      <c r="Q713" s="6">
        <f>Table2_1[[#This Row],[Specs Score]] / (Table2_1[[#This Row],[Launched Price (USA)]] ^ 0.85)</f>
        <v>0.13993485340898415</v>
      </c>
      <c r="R713" s="6">
        <f>IFERROR(Table2_1[[#This Row],[Launched Price (USA)]] / S713, "")</f>
        <v>19.474042780044947</v>
      </c>
      <c r="S71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41.028974262023056</v>
      </c>
      <c r="T713" s="6">
        <v>2022</v>
      </c>
    </row>
    <row r="714" spans="1:20" x14ac:dyDescent="0.25">
      <c r="A714" s="6" t="s">
        <v>372</v>
      </c>
      <c r="B714" s="6" t="s">
        <v>423</v>
      </c>
      <c r="C71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14" s="6">
        <v>195</v>
      </c>
      <c r="E714" s="6">
        <v>8</v>
      </c>
      <c r="F714" s="6">
        <v>10</v>
      </c>
      <c r="G714" s="6">
        <v>50</v>
      </c>
      <c r="H714" s="6">
        <v>12</v>
      </c>
      <c r="I714" s="6"/>
      <c r="J714" s="6" t="s">
        <v>416</v>
      </c>
      <c r="K714" s="6" t="s">
        <v>2437</v>
      </c>
      <c r="L714" s="6">
        <v>85</v>
      </c>
      <c r="M714" s="6">
        <v>4500</v>
      </c>
      <c r="N714" s="6">
        <v>6.6</v>
      </c>
      <c r="O714" s="6">
        <v>899</v>
      </c>
      <c r="P714" s="6" t="s">
        <v>2368</v>
      </c>
      <c r="Q714" s="6">
        <f>Table2_1[[#This Row],[Specs Score]] / (Table2_1[[#This Row],[Launched Price (USA)]] ^ 0.85)</f>
        <v>0.13853198017410004</v>
      </c>
      <c r="R714" s="6">
        <f>IFERROR(Table2_1[[#This Row],[Launched Price (USA)]] / S714, "")</f>
        <v>20.022297577149228</v>
      </c>
      <c r="S71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44.899942003958543</v>
      </c>
      <c r="T714" s="6">
        <v>2022</v>
      </c>
    </row>
    <row r="715" spans="1:20" x14ac:dyDescent="0.25">
      <c r="A715" s="6" t="s">
        <v>372</v>
      </c>
      <c r="B715" s="6" t="s">
        <v>424</v>
      </c>
      <c r="C71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15" s="6">
        <v>167</v>
      </c>
      <c r="E715" s="6">
        <v>8</v>
      </c>
      <c r="F715" s="6">
        <v>10</v>
      </c>
      <c r="G715" s="6">
        <v>50</v>
      </c>
      <c r="H715" s="6">
        <v>12</v>
      </c>
      <c r="I715" s="6"/>
      <c r="J715" s="6" t="s">
        <v>416</v>
      </c>
      <c r="K715" s="6" t="s">
        <v>2437</v>
      </c>
      <c r="L715" s="6">
        <v>85</v>
      </c>
      <c r="M715" s="6">
        <v>3800</v>
      </c>
      <c r="N715" s="6">
        <v>6.1</v>
      </c>
      <c r="O715" s="6">
        <v>699</v>
      </c>
      <c r="P715" s="6" t="s">
        <v>2368</v>
      </c>
      <c r="Q715" s="6">
        <f>Table2_1[[#This Row],[Specs Score]] / (Table2_1[[#This Row],[Launched Price (USA)]] ^ 0.85)</f>
        <v>0.15042669645721984</v>
      </c>
      <c r="R715" s="6">
        <f>IFERROR(Table2_1[[#This Row],[Launched Price (USA)]] / S715, "")</f>
        <v>17.75606222674713</v>
      </c>
      <c r="S71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39.366836580863641</v>
      </c>
      <c r="T715" s="6">
        <v>2022</v>
      </c>
    </row>
    <row r="716" spans="1:20" x14ac:dyDescent="0.25">
      <c r="A716" s="6" t="s">
        <v>372</v>
      </c>
      <c r="B716" s="6" t="s">
        <v>428</v>
      </c>
      <c r="C71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16" s="6">
        <v>167</v>
      </c>
      <c r="E716" s="6">
        <v>8</v>
      </c>
      <c r="F716" s="6">
        <v>10</v>
      </c>
      <c r="G716" s="6">
        <v>50</v>
      </c>
      <c r="H716" s="6">
        <v>12</v>
      </c>
      <c r="I716" s="6"/>
      <c r="J716" s="6" t="s">
        <v>416</v>
      </c>
      <c r="K716" s="6" t="s">
        <v>2437</v>
      </c>
      <c r="L716" s="6">
        <v>85</v>
      </c>
      <c r="M716" s="6">
        <v>3800</v>
      </c>
      <c r="N716" s="6">
        <v>6.1</v>
      </c>
      <c r="O716" s="6">
        <v>799</v>
      </c>
      <c r="P716" s="6" t="s">
        <v>2368</v>
      </c>
      <c r="Q716" s="6">
        <f>Table2_1[[#This Row],[Specs Score]] / (Table2_1[[#This Row],[Launched Price (USA)]] ^ 0.85)</f>
        <v>0.14746836640363284</v>
      </c>
      <c r="R716" s="6">
        <f>IFERROR(Table2_1[[#This Row],[Launched Price (USA)]] / S716, "")</f>
        <v>18.479199221933904</v>
      </c>
      <c r="S71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43.237804322799128</v>
      </c>
      <c r="T716" s="6">
        <v>2022</v>
      </c>
    </row>
    <row r="717" spans="1:20" x14ac:dyDescent="0.25">
      <c r="A717" s="6" t="s">
        <v>372</v>
      </c>
      <c r="B717" s="6" t="s">
        <v>430</v>
      </c>
      <c r="C71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17" s="6">
        <v>254</v>
      </c>
      <c r="E717" s="6">
        <v>12</v>
      </c>
      <c r="F717" s="6">
        <v>10</v>
      </c>
      <c r="G717" s="6">
        <v>50</v>
      </c>
      <c r="H717" s="6">
        <v>12</v>
      </c>
      <c r="I717" s="6"/>
      <c r="J717" s="6" t="s">
        <v>401</v>
      </c>
      <c r="K717" s="6" t="s">
        <v>2437</v>
      </c>
      <c r="L717" s="6">
        <v>95</v>
      </c>
      <c r="M717" s="6">
        <v>4400</v>
      </c>
      <c r="N717" s="6">
        <v>7.6</v>
      </c>
      <c r="O717" s="6">
        <v>1799</v>
      </c>
      <c r="P717" s="6" t="s">
        <v>2368</v>
      </c>
      <c r="Q717" s="6">
        <f>Table2_1[[#This Row],[Specs Score]] / (Table2_1[[#This Row],[Launched Price (USA)]] ^ 0.85)</f>
        <v>8.948637195644546E-2</v>
      </c>
      <c r="R717" s="6">
        <f>IFERROR(Table2_1[[#This Row],[Launched Price (USA)]] / S717, "")</f>
        <v>34.395194815656154</v>
      </c>
      <c r="S71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52.303817717616866</v>
      </c>
      <c r="T717" s="6">
        <v>2023</v>
      </c>
    </row>
    <row r="718" spans="1:20" x14ac:dyDescent="0.25">
      <c r="A718" s="6" t="s">
        <v>372</v>
      </c>
      <c r="B718" s="6" t="s">
        <v>438</v>
      </c>
      <c r="C718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718" s="6">
        <v>254</v>
      </c>
      <c r="E718" s="6">
        <v>12</v>
      </c>
      <c r="F718" s="6">
        <v>10</v>
      </c>
      <c r="G718" s="6">
        <v>50</v>
      </c>
      <c r="H718" s="6">
        <v>12</v>
      </c>
      <c r="I718" s="6"/>
      <c r="J718" s="6" t="s">
        <v>401</v>
      </c>
      <c r="K718" s="6" t="s">
        <v>2437</v>
      </c>
      <c r="L718" s="6">
        <v>95</v>
      </c>
      <c r="M718" s="6">
        <v>4400</v>
      </c>
      <c r="N718" s="6">
        <v>7.6</v>
      </c>
      <c r="O718" s="6">
        <v>1899</v>
      </c>
      <c r="P718" s="6" t="s">
        <v>2368</v>
      </c>
      <c r="Q718" s="6">
        <f>Table2_1[[#This Row],[Specs Score]] / (Table2_1[[#This Row],[Launched Price (USA)]] ^ 0.85)</f>
        <v>9.811515106724697E-2</v>
      </c>
      <c r="R718" s="6">
        <f>IFERROR(Table2_1[[#This Row],[Launched Price (USA)]] / S718, "")</f>
        <v>31.625883576275065</v>
      </c>
      <c r="S71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60.045753201487834</v>
      </c>
      <c r="T718" s="6">
        <v>2023</v>
      </c>
    </row>
    <row r="719" spans="1:20" x14ac:dyDescent="0.25">
      <c r="A719" s="6" t="s">
        <v>372</v>
      </c>
      <c r="B719" s="6" t="s">
        <v>444</v>
      </c>
      <c r="C71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19" s="6">
        <v>187</v>
      </c>
      <c r="E719" s="6">
        <v>8</v>
      </c>
      <c r="F719" s="6">
        <v>12</v>
      </c>
      <c r="G719" s="6">
        <v>12</v>
      </c>
      <c r="H719" s="6">
        <v>12</v>
      </c>
      <c r="I719" s="6"/>
      <c r="J719" s="6" t="s">
        <v>401</v>
      </c>
      <c r="K719" s="6" t="s">
        <v>2437</v>
      </c>
      <c r="L719" s="6">
        <v>95</v>
      </c>
      <c r="M719" s="6">
        <v>3700</v>
      </c>
      <c r="N719" s="6">
        <v>6.7</v>
      </c>
      <c r="O719" s="6">
        <v>999</v>
      </c>
      <c r="P719" s="6" t="s">
        <v>2368</v>
      </c>
      <c r="Q719" s="6">
        <f>Table2_1[[#This Row],[Specs Score]] / (Table2_1[[#This Row],[Launched Price (USA)]] ^ 0.85)</f>
        <v>0.12586640592966986</v>
      </c>
      <c r="R719" s="6">
        <f>IFERROR(Table2_1[[#This Row],[Launched Price (USA)]] / S719, "")</f>
        <v>22.388499721018178</v>
      </c>
      <c r="S71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44.621123007279728</v>
      </c>
      <c r="T719" s="6">
        <v>2023</v>
      </c>
    </row>
    <row r="720" spans="1:20" x14ac:dyDescent="0.25">
      <c r="A720" s="6" t="s">
        <v>372</v>
      </c>
      <c r="B720" s="6" t="s">
        <v>448</v>
      </c>
      <c r="C720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720" s="6">
        <v>187</v>
      </c>
      <c r="E720" s="6">
        <v>8</v>
      </c>
      <c r="F720" s="6">
        <v>12</v>
      </c>
      <c r="G720" s="6">
        <v>12</v>
      </c>
      <c r="H720" s="6">
        <v>12</v>
      </c>
      <c r="I720" s="6"/>
      <c r="J720" s="6" t="s">
        <v>401</v>
      </c>
      <c r="K720" s="6" t="s">
        <v>2437</v>
      </c>
      <c r="L720" s="6">
        <v>95</v>
      </c>
      <c r="M720" s="6">
        <v>3700</v>
      </c>
      <c r="N720" s="6">
        <v>6.7</v>
      </c>
      <c r="O720" s="6">
        <v>1099</v>
      </c>
      <c r="P720" s="6" t="s">
        <v>2368</v>
      </c>
      <c r="Q720" s="6">
        <f>Table2_1[[#This Row],[Specs Score]] / (Table2_1[[#This Row],[Launched Price (USA)]] ^ 0.85)</f>
        <v>0.13619995588496309</v>
      </c>
      <c r="R720" s="6">
        <f>IFERROR(Table2_1[[#This Row],[Launched Price (USA)]] / S720, "")</f>
        <v>20.988078841607962</v>
      </c>
      <c r="S72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52.363058491150696</v>
      </c>
      <c r="T720" s="6">
        <v>2023</v>
      </c>
    </row>
    <row r="721" spans="1:20" x14ac:dyDescent="0.25">
      <c r="A721" s="6" t="s">
        <v>372</v>
      </c>
      <c r="B721" s="6" t="s">
        <v>449</v>
      </c>
      <c r="C72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21" s="6">
        <v>263</v>
      </c>
      <c r="E721" s="6">
        <v>12</v>
      </c>
      <c r="F721" s="6">
        <v>10</v>
      </c>
      <c r="G721" s="6">
        <v>50</v>
      </c>
      <c r="H721" s="6">
        <v>12</v>
      </c>
      <c r="I721" s="6"/>
      <c r="J721" s="6" t="s">
        <v>451</v>
      </c>
      <c r="K721" s="6" t="s">
        <v>2437</v>
      </c>
      <c r="L721" s="6">
        <v>90</v>
      </c>
      <c r="M721" s="6">
        <v>4400</v>
      </c>
      <c r="N721" s="6">
        <v>7.6</v>
      </c>
      <c r="O721" s="6">
        <v>1799</v>
      </c>
      <c r="P721" s="6" t="s">
        <v>2368</v>
      </c>
      <c r="Q721" s="6">
        <f>Table2_1[[#This Row],[Specs Score]] / (Table2_1[[#This Row],[Launched Price (USA)]] ^ 0.85)</f>
        <v>8.7326150230579089E-2</v>
      </c>
      <c r="R721" s="6">
        <f>IFERROR(Table2_1[[#This Row],[Launched Price (USA)]] / S721, "")</f>
        <v>35.246042435870706</v>
      </c>
      <c r="S72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51.041191454990603</v>
      </c>
      <c r="T721" s="6">
        <v>2022</v>
      </c>
    </row>
    <row r="722" spans="1:20" x14ac:dyDescent="0.25">
      <c r="A722" s="6" t="s">
        <v>372</v>
      </c>
      <c r="B722" s="6" t="s">
        <v>455</v>
      </c>
      <c r="C722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722" s="6">
        <v>263</v>
      </c>
      <c r="E722" s="6">
        <v>12</v>
      </c>
      <c r="F722" s="6">
        <v>10</v>
      </c>
      <c r="G722" s="6">
        <v>50</v>
      </c>
      <c r="H722" s="6">
        <v>12</v>
      </c>
      <c r="I722" s="6"/>
      <c r="J722" s="6" t="s">
        <v>451</v>
      </c>
      <c r="K722" s="6" t="s">
        <v>2437</v>
      </c>
      <c r="L722" s="6">
        <v>90</v>
      </c>
      <c r="M722" s="6">
        <v>4400</v>
      </c>
      <c r="N722" s="6">
        <v>7.6</v>
      </c>
      <c r="O722" s="6">
        <v>1899</v>
      </c>
      <c r="P722" s="6" t="s">
        <v>2368</v>
      </c>
      <c r="Q722" s="6">
        <f>Table2_1[[#This Row],[Specs Score]] / (Table2_1[[#This Row],[Launched Price (USA)]] ^ 0.85)</f>
        <v>9.6052011546232857E-2</v>
      </c>
      <c r="R722" s="6">
        <f>IFERROR(Table2_1[[#This Row],[Launched Price (USA)]] / S722, "")</f>
        <v>32.30518856159334</v>
      </c>
      <c r="S72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58.783126938861571</v>
      </c>
      <c r="T722" s="6">
        <v>2022</v>
      </c>
    </row>
    <row r="723" spans="1:20" x14ac:dyDescent="0.25">
      <c r="A723" s="6" t="s">
        <v>372</v>
      </c>
      <c r="B723" s="6" t="s">
        <v>458</v>
      </c>
      <c r="C72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23" s="6">
        <v>187</v>
      </c>
      <c r="E723" s="6">
        <v>8</v>
      </c>
      <c r="F723" s="6">
        <v>10</v>
      </c>
      <c r="G723" s="6">
        <v>12</v>
      </c>
      <c r="H723" s="6">
        <v>12</v>
      </c>
      <c r="I723" s="6"/>
      <c r="J723" s="6" t="s">
        <v>451</v>
      </c>
      <c r="K723" s="6" t="s">
        <v>2437</v>
      </c>
      <c r="L723" s="6">
        <v>90</v>
      </c>
      <c r="M723" s="6">
        <v>3700</v>
      </c>
      <c r="N723" s="6">
        <v>6.7</v>
      </c>
      <c r="O723" s="6">
        <v>999</v>
      </c>
      <c r="P723" s="6" t="s">
        <v>2368</v>
      </c>
      <c r="Q723" s="6">
        <f>Table2_1[[#This Row],[Specs Score]] / (Table2_1[[#This Row],[Launched Price (USA)]] ^ 0.85)</f>
        <v>0.12133213101647601</v>
      </c>
      <c r="R723" s="6">
        <f>IFERROR(Table2_1[[#This Row],[Launched Price (USA)]] / S723, "")</f>
        <v>23.225175148859091</v>
      </c>
      <c r="S72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43.013669158446568</v>
      </c>
      <c r="T723" s="6">
        <v>2022</v>
      </c>
    </row>
    <row r="724" spans="1:20" x14ac:dyDescent="0.25">
      <c r="A724" s="6" t="s">
        <v>372</v>
      </c>
      <c r="B724" s="6" t="s">
        <v>459</v>
      </c>
      <c r="C724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724" s="6">
        <v>187</v>
      </c>
      <c r="E724" s="6">
        <v>8</v>
      </c>
      <c r="F724" s="6">
        <v>10</v>
      </c>
      <c r="G724" s="6">
        <v>12</v>
      </c>
      <c r="H724" s="6">
        <v>12</v>
      </c>
      <c r="I724" s="6"/>
      <c r="J724" s="6" t="s">
        <v>451</v>
      </c>
      <c r="K724" s="6" t="s">
        <v>2437</v>
      </c>
      <c r="L724" s="6">
        <v>90</v>
      </c>
      <c r="M724" s="6">
        <v>3700</v>
      </c>
      <c r="N724" s="6">
        <v>6.7</v>
      </c>
      <c r="O724" s="6">
        <v>1099</v>
      </c>
      <c r="P724" s="6" t="s">
        <v>2368</v>
      </c>
      <c r="Q724" s="6">
        <f>Table2_1[[#This Row],[Specs Score]] / (Table2_1[[#This Row],[Launched Price (USA)]] ^ 0.85)</f>
        <v>0.13201885665953891</v>
      </c>
      <c r="R724" s="6">
        <f>IFERROR(Table2_1[[#This Row],[Launched Price (USA)]] / S724, "")</f>
        <v>21.652781160717524</v>
      </c>
      <c r="S72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50.755604642317536</v>
      </c>
      <c r="T724" s="6">
        <v>2022</v>
      </c>
    </row>
    <row r="725" spans="1:20" x14ac:dyDescent="0.25">
      <c r="A725" s="6" t="s">
        <v>372</v>
      </c>
      <c r="B725" s="6" t="s">
        <v>551</v>
      </c>
      <c r="C72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25" s="6">
        <v>208</v>
      </c>
      <c r="E725" s="6">
        <v>12</v>
      </c>
      <c r="F725" s="6">
        <v>10</v>
      </c>
      <c r="G725" s="6">
        <v>108</v>
      </c>
      <c r="H725" s="6">
        <v>12</v>
      </c>
      <c r="I725" s="6"/>
      <c r="J725" s="6" t="s">
        <v>552</v>
      </c>
      <c r="K725" s="6" t="s">
        <v>2437</v>
      </c>
      <c r="L725" s="6">
        <v>80</v>
      </c>
      <c r="M725" s="6">
        <v>4500</v>
      </c>
      <c r="N725" s="6">
        <v>6.9</v>
      </c>
      <c r="O725" s="6">
        <v>1299</v>
      </c>
      <c r="P725" s="6" t="s">
        <v>2368</v>
      </c>
      <c r="Q725" s="6">
        <f>Table2_1[[#This Row],[Specs Score]] / (Table2_1[[#This Row],[Launched Price (USA)]] ^ 0.85)</f>
        <v>0.10617479967916034</v>
      </c>
      <c r="R725" s="6">
        <f>IFERROR(Table2_1[[#This Row],[Launched Price (USA)]] / S725, "")</f>
        <v>27.607044950719839</v>
      </c>
      <c r="S72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47.053206973755778</v>
      </c>
      <c r="T725" s="6">
        <v>2020</v>
      </c>
    </row>
    <row r="726" spans="1:20" x14ac:dyDescent="0.25">
      <c r="A726" s="6" t="s">
        <v>372</v>
      </c>
      <c r="B726" s="6" t="s">
        <v>555</v>
      </c>
      <c r="C72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26" s="6">
        <v>208</v>
      </c>
      <c r="E726" s="6">
        <v>12</v>
      </c>
      <c r="F726" s="6">
        <v>10</v>
      </c>
      <c r="G726" s="6">
        <v>108</v>
      </c>
      <c r="H726" s="6">
        <v>12</v>
      </c>
      <c r="I726" s="6"/>
      <c r="J726" s="6" t="s">
        <v>552</v>
      </c>
      <c r="K726" s="6" t="s">
        <v>2437</v>
      </c>
      <c r="L726" s="6">
        <v>80</v>
      </c>
      <c r="M726" s="6">
        <v>4500</v>
      </c>
      <c r="N726" s="6">
        <v>6.9</v>
      </c>
      <c r="O726" s="6">
        <v>1399</v>
      </c>
      <c r="P726" s="6" t="s">
        <v>2368</v>
      </c>
      <c r="Q726" s="6">
        <f>Table2_1[[#This Row],[Specs Score]] / (Table2_1[[#This Row],[Launched Price (USA)]] ^ 0.85)</f>
        <v>0.10788944081376554</v>
      </c>
      <c r="R726" s="6">
        <f>IFERROR(Table2_1[[#This Row],[Launched Price (USA)]] / S726, "")</f>
        <v>27.472217425428912</v>
      </c>
      <c r="S72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50.924174715691265</v>
      </c>
      <c r="T726" s="6">
        <v>2020</v>
      </c>
    </row>
    <row r="727" spans="1:20" x14ac:dyDescent="0.25">
      <c r="A727" s="6" t="s">
        <v>372</v>
      </c>
      <c r="B727" s="6" t="s">
        <v>558</v>
      </c>
      <c r="C72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27" s="6">
        <v>192</v>
      </c>
      <c r="E727" s="6">
        <v>8</v>
      </c>
      <c r="F727" s="6">
        <v>10</v>
      </c>
      <c r="G727" s="6">
        <v>108</v>
      </c>
      <c r="H727" s="6">
        <v>12</v>
      </c>
      <c r="I727" s="6"/>
      <c r="J727" s="6" t="s">
        <v>552</v>
      </c>
      <c r="K727" s="6" t="s">
        <v>2437</v>
      </c>
      <c r="L727" s="6">
        <v>80</v>
      </c>
      <c r="M727" s="6">
        <v>4300</v>
      </c>
      <c r="N727" s="6">
        <v>6.7</v>
      </c>
      <c r="O727" s="6">
        <v>999</v>
      </c>
      <c r="P727" s="6" t="s">
        <v>2368</v>
      </c>
      <c r="Q727" s="6">
        <f>Table2_1[[#This Row],[Specs Score]] / (Table2_1[[#This Row],[Launched Price (USA)]] ^ 0.85)</f>
        <v>0.11993617604648329</v>
      </c>
      <c r="R727" s="6">
        <f>IFERROR(Table2_1[[#This Row],[Launched Price (USA)]] / S727, "")</f>
        <v>23.495496412607203</v>
      </c>
      <c r="S72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42.518786683900707</v>
      </c>
      <c r="T727" s="6">
        <v>2020</v>
      </c>
    </row>
    <row r="728" spans="1:20" x14ac:dyDescent="0.25">
      <c r="A728" s="6" t="s">
        <v>372</v>
      </c>
      <c r="B728" s="6" t="s">
        <v>563</v>
      </c>
      <c r="C72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28" s="6">
        <v>192</v>
      </c>
      <c r="E728" s="6">
        <v>8</v>
      </c>
      <c r="F728" s="6">
        <v>10</v>
      </c>
      <c r="G728" s="6">
        <v>108</v>
      </c>
      <c r="H728" s="6">
        <v>12</v>
      </c>
      <c r="I728" s="6"/>
      <c r="J728" s="6" t="s">
        <v>552</v>
      </c>
      <c r="K728" s="6" t="s">
        <v>2437</v>
      </c>
      <c r="L728" s="6">
        <v>80</v>
      </c>
      <c r="M728" s="6">
        <v>4300</v>
      </c>
      <c r="N728" s="6">
        <v>6.7</v>
      </c>
      <c r="O728" s="6">
        <v>1099</v>
      </c>
      <c r="P728" s="6" t="s">
        <v>2368</v>
      </c>
      <c r="Q728" s="6">
        <f>Table2_1[[#This Row],[Specs Score]] / (Table2_1[[#This Row],[Launched Price (USA)]] ^ 0.85)</f>
        <v>0.1206629766934058</v>
      </c>
      <c r="R728" s="6">
        <f>IFERROR(Table2_1[[#This Row],[Launched Price (USA)]] / S728, "")</f>
        <v>23.690575938637124</v>
      </c>
      <c r="S72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46.389754425836195</v>
      </c>
      <c r="T728" s="6">
        <v>2020</v>
      </c>
    </row>
    <row r="729" spans="1:20" x14ac:dyDescent="0.25">
      <c r="A729" s="6" t="s">
        <v>372</v>
      </c>
      <c r="B729" s="6" t="s">
        <v>565</v>
      </c>
      <c r="C72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29" s="6">
        <v>196</v>
      </c>
      <c r="E729" s="6">
        <v>12</v>
      </c>
      <c r="F729" s="6">
        <v>10</v>
      </c>
      <c r="G729" s="6">
        <v>12</v>
      </c>
      <c r="H729" s="6">
        <v>16</v>
      </c>
      <c r="I729" s="6"/>
      <c r="J729" s="6" t="s">
        <v>567</v>
      </c>
      <c r="K729" s="6" t="s">
        <v>2437</v>
      </c>
      <c r="L729" s="6">
        <v>78</v>
      </c>
      <c r="M729" s="6">
        <v>4300</v>
      </c>
      <c r="N729" s="6">
        <v>6.8</v>
      </c>
      <c r="O729" s="6">
        <v>1099</v>
      </c>
      <c r="P729" s="6" t="s">
        <v>2368</v>
      </c>
      <c r="Q729" s="6">
        <f>Table2_1[[#This Row],[Specs Score]] / (Table2_1[[#This Row],[Launched Price (USA)]] ^ 0.85)</f>
        <v>0.11721926269921935</v>
      </c>
      <c r="R729" s="6">
        <f>IFERROR(Table2_1[[#This Row],[Launched Price (USA)]] / S729, "")</f>
        <v>24.386567075346129</v>
      </c>
      <c r="S72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45.065793664375427</v>
      </c>
      <c r="T729" s="6">
        <v>2019</v>
      </c>
    </row>
    <row r="730" spans="1:20" x14ac:dyDescent="0.25">
      <c r="A730" s="6" t="s">
        <v>372</v>
      </c>
      <c r="B730" s="6" t="s">
        <v>569</v>
      </c>
      <c r="C730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730" s="6">
        <v>196</v>
      </c>
      <c r="E730" s="6">
        <v>12</v>
      </c>
      <c r="F730" s="6">
        <v>10</v>
      </c>
      <c r="G730" s="6">
        <v>12</v>
      </c>
      <c r="H730" s="6">
        <v>16</v>
      </c>
      <c r="I730" s="6"/>
      <c r="J730" s="6" t="s">
        <v>567</v>
      </c>
      <c r="K730" s="6" t="s">
        <v>2437</v>
      </c>
      <c r="L730" s="6">
        <v>78</v>
      </c>
      <c r="M730" s="6">
        <v>4300</v>
      </c>
      <c r="N730" s="6">
        <v>6.8</v>
      </c>
      <c r="O730" s="6">
        <v>1199</v>
      </c>
      <c r="P730" s="6" t="s">
        <v>2368</v>
      </c>
      <c r="Q730" s="6">
        <f>Table2_1[[#This Row],[Specs Score]] / (Table2_1[[#This Row],[Launched Price (USA)]] ^ 0.85)</f>
        <v>0.12755608657654002</v>
      </c>
      <c r="R730" s="6">
        <f>IFERROR(Table2_1[[#This Row],[Launched Price (USA)]] / S730, "")</f>
        <v>22.705009651789123</v>
      </c>
      <c r="S73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52.807729148246388</v>
      </c>
      <c r="T730" s="6">
        <v>2019</v>
      </c>
    </row>
    <row r="731" spans="1:20" x14ac:dyDescent="0.25">
      <c r="A731" s="6" t="s">
        <v>372</v>
      </c>
      <c r="B731" s="6" t="s">
        <v>570</v>
      </c>
      <c r="C73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31" s="6">
        <v>168</v>
      </c>
      <c r="E731" s="6">
        <v>8</v>
      </c>
      <c r="F731" s="6">
        <v>10</v>
      </c>
      <c r="G731" s="6">
        <v>12</v>
      </c>
      <c r="H731" s="6">
        <v>16</v>
      </c>
      <c r="I731" s="6"/>
      <c r="J731" s="6" t="s">
        <v>567</v>
      </c>
      <c r="K731" s="6" t="s">
        <v>2437</v>
      </c>
      <c r="L731" s="6">
        <v>78</v>
      </c>
      <c r="M731" s="6">
        <v>3500</v>
      </c>
      <c r="N731" s="6">
        <v>6.3</v>
      </c>
      <c r="O731" s="6">
        <v>949</v>
      </c>
      <c r="P731" s="6" t="s">
        <v>2368</v>
      </c>
      <c r="Q731" s="6">
        <f>Table2_1[[#This Row],[Specs Score]] / (Table2_1[[#This Row],[Launched Price (USA)]] ^ 0.85)</f>
        <v>0.11562706370556902</v>
      </c>
      <c r="R731" s="6">
        <f>IFERROR(Table2_1[[#This Row],[Launched Price (USA)]] / S731, "")</f>
        <v>24.184128111664013</v>
      </c>
      <c r="S73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39.240612504955138</v>
      </c>
      <c r="T731" s="6">
        <v>2019</v>
      </c>
    </row>
    <row r="732" spans="1:20" x14ac:dyDescent="0.25">
      <c r="A732" s="6" t="s">
        <v>372</v>
      </c>
      <c r="B732" s="6" t="s">
        <v>575</v>
      </c>
      <c r="C73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32" s="6">
        <v>168</v>
      </c>
      <c r="E732" s="6">
        <v>8</v>
      </c>
      <c r="F732" s="6">
        <v>10</v>
      </c>
      <c r="G732" s="6">
        <v>12</v>
      </c>
      <c r="H732" s="6">
        <v>16</v>
      </c>
      <c r="I732" s="6"/>
      <c r="J732" s="6" t="s">
        <v>567</v>
      </c>
      <c r="K732" s="6" t="s">
        <v>2437</v>
      </c>
      <c r="L732" s="6">
        <v>78</v>
      </c>
      <c r="M732" s="6">
        <v>3500</v>
      </c>
      <c r="N732" s="6">
        <v>6.3</v>
      </c>
      <c r="O732" s="6">
        <v>899</v>
      </c>
      <c r="P732" s="6" t="s">
        <v>2368</v>
      </c>
      <c r="Q732" s="6">
        <f>Table2_1[[#This Row],[Specs Score]] / (Table2_1[[#This Row],[Launched Price (USA)]] ^ 0.85)</f>
        <v>0.10912768944431181</v>
      </c>
      <c r="R732" s="6">
        <f>IFERROR(Table2_1[[#This Row],[Launched Price (USA)]] / S732, "")</f>
        <v>25.417275350753304</v>
      </c>
      <c r="S73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35.36964476301965</v>
      </c>
      <c r="T732" s="6">
        <v>2019</v>
      </c>
    </row>
    <row r="733" spans="1:20" x14ac:dyDescent="0.25">
      <c r="A733" s="6" t="s">
        <v>372</v>
      </c>
      <c r="B733" s="6" t="s">
        <v>638</v>
      </c>
      <c r="C73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33" s="6">
        <v>228</v>
      </c>
      <c r="E733" s="6">
        <v>12</v>
      </c>
      <c r="F733" s="6">
        <v>10</v>
      </c>
      <c r="G733" s="6">
        <v>108</v>
      </c>
      <c r="H733" s="6">
        <v>12</v>
      </c>
      <c r="I733" s="6"/>
      <c r="J733" s="6" t="s">
        <v>639</v>
      </c>
      <c r="K733" s="6" t="s">
        <v>2437</v>
      </c>
      <c r="L733" s="6">
        <v>85</v>
      </c>
      <c r="M733" s="6">
        <v>4500</v>
      </c>
      <c r="N733" s="6">
        <v>7.6</v>
      </c>
      <c r="O733" s="6">
        <v>1499</v>
      </c>
      <c r="P733" s="6" t="s">
        <v>2368</v>
      </c>
      <c r="Q733" s="6">
        <f>Table2_1[[#This Row],[Specs Score]] / (Table2_1[[#This Row],[Launched Price (USA)]] ^ 0.85)</f>
        <v>0.10571956179338098</v>
      </c>
      <c r="R733" s="6">
        <f>IFERROR(Table2_1[[#This Row],[Launched Price (USA)]] / S733, "")</f>
        <v>28.327933263109994</v>
      </c>
      <c r="S73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52.915967644984192</v>
      </c>
      <c r="T733" s="6">
        <v>2021</v>
      </c>
    </row>
    <row r="734" spans="1:20" x14ac:dyDescent="0.25">
      <c r="A734" s="6" t="s">
        <v>372</v>
      </c>
      <c r="B734" s="6" t="s">
        <v>643</v>
      </c>
      <c r="C73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34" s="6">
        <v>229</v>
      </c>
      <c r="E734" s="6">
        <v>12</v>
      </c>
      <c r="F734" s="6">
        <v>10</v>
      </c>
      <c r="G734" s="6">
        <v>108</v>
      </c>
      <c r="H734" s="6">
        <v>12</v>
      </c>
      <c r="I734" s="6"/>
      <c r="J734" s="6" t="s">
        <v>639</v>
      </c>
      <c r="K734" s="6" t="s">
        <v>2437</v>
      </c>
      <c r="L734" s="6">
        <v>85</v>
      </c>
      <c r="M734" s="6">
        <v>4500</v>
      </c>
      <c r="N734" s="6">
        <v>7.6</v>
      </c>
      <c r="O734" s="6">
        <v>1399</v>
      </c>
      <c r="P734" s="6" t="s">
        <v>2368</v>
      </c>
      <c r="Q734" s="6">
        <f>Table2_1[[#This Row],[Specs Score]] / (Table2_1[[#This Row],[Launched Price (USA)]] ^ 0.85)</f>
        <v>0.11210931136754422</v>
      </c>
      <c r="R734" s="6">
        <f>IFERROR(Table2_1[[#This Row],[Launched Price (USA)]] / S734, "")</f>
        <v>26.438144519740415</v>
      </c>
      <c r="S73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52.915967644984192</v>
      </c>
      <c r="T734" s="6">
        <v>2020</v>
      </c>
    </row>
    <row r="735" spans="1:20" x14ac:dyDescent="0.25">
      <c r="A735" s="6" t="s">
        <v>372</v>
      </c>
      <c r="B735" s="6" t="s">
        <v>647</v>
      </c>
      <c r="C73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35" s="6">
        <v>732</v>
      </c>
      <c r="E735" s="6">
        <v>12</v>
      </c>
      <c r="F735" s="6">
        <v>12</v>
      </c>
      <c r="G735" s="6">
        <v>13</v>
      </c>
      <c r="H735" s="6">
        <v>8</v>
      </c>
      <c r="I735" s="6"/>
      <c r="J735" s="6" t="s">
        <v>401</v>
      </c>
      <c r="K735" s="6" t="s">
        <v>2437</v>
      </c>
      <c r="L735" s="6">
        <v>95</v>
      </c>
      <c r="M735" s="6">
        <v>11200</v>
      </c>
      <c r="N735" s="6">
        <v>14.6</v>
      </c>
      <c r="O735" s="6">
        <v>1199</v>
      </c>
      <c r="P735" s="6" t="s">
        <v>2369</v>
      </c>
      <c r="Q735" s="6">
        <f>Table2_1[[#This Row],[Specs Score]] / (Table2_1[[#This Row],[Launched Price (USA)]] ^ 0.85)</f>
        <v>0.16698182356466731</v>
      </c>
      <c r="R735" s="6">
        <f>IFERROR(Table2_1[[#This Row],[Launched Price (USA)]] / S735, "")</f>
        <v>17.344176240494754</v>
      </c>
      <c r="S73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69.129832594793655</v>
      </c>
      <c r="T735" s="6">
        <v>2023</v>
      </c>
    </row>
    <row r="736" spans="1:20" x14ac:dyDescent="0.25">
      <c r="A736" s="6" t="s">
        <v>372</v>
      </c>
      <c r="B736" s="6" t="s">
        <v>653</v>
      </c>
      <c r="C73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36" s="6">
        <v>586</v>
      </c>
      <c r="E736" s="6">
        <v>12</v>
      </c>
      <c r="F736" s="6">
        <v>12</v>
      </c>
      <c r="G736" s="6">
        <v>13</v>
      </c>
      <c r="H736" s="6">
        <v>8</v>
      </c>
      <c r="I736" s="6"/>
      <c r="J736" s="6" t="s">
        <v>401</v>
      </c>
      <c r="K736" s="6" t="s">
        <v>2437</v>
      </c>
      <c r="L736" s="6">
        <v>95</v>
      </c>
      <c r="M736" s="6">
        <v>10090</v>
      </c>
      <c r="N736" s="6">
        <v>12.4</v>
      </c>
      <c r="O736" s="6">
        <v>999</v>
      </c>
      <c r="P736" s="6" t="s">
        <v>2369</v>
      </c>
      <c r="Q736" s="6">
        <f>Table2_1[[#This Row],[Specs Score]] / (Table2_1[[#This Row],[Launched Price (USA)]] ^ 0.85)</f>
        <v>0.18343081348486884</v>
      </c>
      <c r="R736" s="6">
        <f>IFERROR(Table2_1[[#This Row],[Launched Price (USA)]] / S736, "")</f>
        <v>15.362522471037437</v>
      </c>
      <c r="S73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65.028383319431342</v>
      </c>
      <c r="T736" s="6">
        <v>2023</v>
      </c>
    </row>
    <row r="737" spans="1:20" x14ac:dyDescent="0.25">
      <c r="A737" s="6" t="s">
        <v>372</v>
      </c>
      <c r="B737" s="6" t="s">
        <v>657</v>
      </c>
      <c r="C73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37" s="6">
        <v>498</v>
      </c>
      <c r="E737" s="6">
        <v>8</v>
      </c>
      <c r="F737" s="6">
        <v>12</v>
      </c>
      <c r="G737" s="6">
        <v>13</v>
      </c>
      <c r="H737" s="6"/>
      <c r="I737" s="6"/>
      <c r="J737" s="6" t="s">
        <v>401</v>
      </c>
      <c r="K737" s="6" t="s">
        <v>2437</v>
      </c>
      <c r="L737" s="6">
        <v>95</v>
      </c>
      <c r="M737" s="6">
        <v>8400</v>
      </c>
      <c r="N737" s="6">
        <v>11</v>
      </c>
      <c r="O737" s="6">
        <v>799</v>
      </c>
      <c r="P737" s="6" t="s">
        <v>2369</v>
      </c>
      <c r="Q737" s="6">
        <f>Table2_1[[#This Row],[Specs Score]] / (Table2_1[[#This Row],[Launched Price (USA)]] ^ 0.85)</f>
        <v>0.18057145419126464</v>
      </c>
      <c r="R737" s="6">
        <f>IFERROR(Table2_1[[#This Row],[Launched Price (USA)]] / S737, "")</f>
        <v>15.091517836586743</v>
      </c>
      <c r="S73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52.94364746155383</v>
      </c>
      <c r="T737" s="6">
        <v>2023</v>
      </c>
    </row>
    <row r="738" spans="1:20" x14ac:dyDescent="0.25">
      <c r="A738" s="6" t="s">
        <v>372</v>
      </c>
      <c r="B738" s="6" t="s">
        <v>668</v>
      </c>
      <c r="C73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38" s="6">
        <v>726</v>
      </c>
      <c r="E738" s="6">
        <v>12</v>
      </c>
      <c r="F738" s="6">
        <v>12</v>
      </c>
      <c r="G738" s="6">
        <v>13</v>
      </c>
      <c r="H738" s="6">
        <v>6</v>
      </c>
      <c r="I738" s="6"/>
      <c r="J738" s="6" t="s">
        <v>451</v>
      </c>
      <c r="K738" s="6" t="s">
        <v>2437</v>
      </c>
      <c r="L738" s="6">
        <v>90</v>
      </c>
      <c r="M738" s="6">
        <v>11200</v>
      </c>
      <c r="N738" s="6">
        <v>14.6</v>
      </c>
      <c r="O738" s="6">
        <v>1099</v>
      </c>
      <c r="P738" s="6" t="s">
        <v>2369</v>
      </c>
      <c r="Q738" s="6">
        <f>Table2_1[[#This Row],[Specs Score]] / (Table2_1[[#This Row],[Launched Price (USA)]] ^ 0.85)</f>
        <v>0.17652732240686497</v>
      </c>
      <c r="R738" s="6">
        <f>IFERROR(Table2_1[[#This Row],[Launched Price (USA)]] / S738, "")</f>
        <v>16.193387932031332</v>
      </c>
      <c r="S73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67.867206332167399</v>
      </c>
      <c r="T738" s="6">
        <v>2022</v>
      </c>
    </row>
    <row r="739" spans="1:20" x14ac:dyDescent="0.25">
      <c r="A739" s="6" t="s">
        <v>372</v>
      </c>
      <c r="B739" s="6" t="s">
        <v>673</v>
      </c>
      <c r="C73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39" s="6">
        <v>567</v>
      </c>
      <c r="E739" s="6">
        <v>8</v>
      </c>
      <c r="F739" s="6">
        <v>12</v>
      </c>
      <c r="G739" s="6">
        <v>13</v>
      </c>
      <c r="H739" s="6">
        <v>6</v>
      </c>
      <c r="I739" s="6"/>
      <c r="J739" s="6" t="s">
        <v>451</v>
      </c>
      <c r="K739" s="6" t="s">
        <v>2437</v>
      </c>
      <c r="L739" s="6">
        <v>90</v>
      </c>
      <c r="M739" s="6">
        <v>10090</v>
      </c>
      <c r="N739" s="6">
        <v>12.4</v>
      </c>
      <c r="O739" s="6">
        <v>899</v>
      </c>
      <c r="P739" s="6" t="s">
        <v>2369</v>
      </c>
      <c r="Q739" s="6">
        <f>Table2_1[[#This Row],[Specs Score]] / (Table2_1[[#This Row],[Launched Price (USA)]] ^ 0.85)</f>
        <v>0.18439820414363683</v>
      </c>
      <c r="R739" s="6">
        <f>IFERROR(Table2_1[[#This Row],[Launched Price (USA)]] / S739, "")</f>
        <v>15.04205826666823</v>
      </c>
      <c r="S73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59.765757056805086</v>
      </c>
      <c r="T739" s="6">
        <v>2022</v>
      </c>
    </row>
    <row r="740" spans="1:20" x14ac:dyDescent="0.25">
      <c r="A740" s="6" t="s">
        <v>372</v>
      </c>
      <c r="B740" s="6" t="s">
        <v>676</v>
      </c>
      <c r="C74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40" s="6">
        <v>503</v>
      </c>
      <c r="E740" s="6">
        <v>8</v>
      </c>
      <c r="F740" s="6">
        <v>12</v>
      </c>
      <c r="G740" s="6">
        <v>13</v>
      </c>
      <c r="H740" s="6">
        <v>6</v>
      </c>
      <c r="I740" s="6"/>
      <c r="J740" s="6" t="s">
        <v>451</v>
      </c>
      <c r="K740" s="6" t="s">
        <v>2437</v>
      </c>
      <c r="L740" s="6">
        <v>90</v>
      </c>
      <c r="M740" s="6">
        <v>8000</v>
      </c>
      <c r="N740" s="6">
        <v>11</v>
      </c>
      <c r="O740" s="6">
        <v>699</v>
      </c>
      <c r="P740" s="6" t="s">
        <v>2369</v>
      </c>
      <c r="Q740" s="6">
        <f>Table2_1[[#This Row],[Specs Score]] / (Table2_1[[#This Row],[Launched Price (USA)]] ^ 0.85)</f>
        <v>0.19498902091022707</v>
      </c>
      <c r="R740" s="6">
        <f>IFERROR(Table2_1[[#This Row],[Launched Price (USA)]] / S740, "")</f>
        <v>13.698134235404561</v>
      </c>
      <c r="S74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51.02884728588409</v>
      </c>
      <c r="T740" s="6">
        <v>2022</v>
      </c>
    </row>
    <row r="741" spans="1:20" x14ac:dyDescent="0.25">
      <c r="A741" s="6" t="s">
        <v>372</v>
      </c>
      <c r="B741" s="6" t="s">
        <v>713</v>
      </c>
      <c r="C741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741" s="6">
        <v>426</v>
      </c>
      <c r="E741" s="6">
        <v>4</v>
      </c>
      <c r="F741" s="6">
        <v>5</v>
      </c>
      <c r="G741" s="6">
        <v>13</v>
      </c>
      <c r="H741" s="6"/>
      <c r="I741" s="6"/>
      <c r="J741" s="6" t="s">
        <v>715</v>
      </c>
      <c r="K741" s="6" t="s">
        <v>2437</v>
      </c>
      <c r="L741" s="6">
        <v>75</v>
      </c>
      <c r="M741" s="6">
        <v>5050</v>
      </c>
      <c r="N741" s="6">
        <v>8</v>
      </c>
      <c r="O741" s="6">
        <v>499</v>
      </c>
      <c r="P741" s="6" t="s">
        <v>2368</v>
      </c>
      <c r="Q741" s="6">
        <f>Table2_1[[#This Row],[Specs Score]] / (Table2_1[[#This Row],[Launched Price (USA)]] ^ 0.85)</f>
        <v>0.16367485429043985</v>
      </c>
      <c r="R741" s="6">
        <f>IFERROR(Table2_1[[#This Row],[Launched Price (USA)]] / S741, "")</f>
        <v>15.514333355793459</v>
      </c>
      <c r="S74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32.163805466617767</v>
      </c>
      <c r="T741" s="6">
        <v>2020</v>
      </c>
    </row>
    <row r="742" spans="1:20" x14ac:dyDescent="0.25">
      <c r="A742" s="6" t="s">
        <v>372</v>
      </c>
      <c r="B742" s="6" t="s">
        <v>2344</v>
      </c>
      <c r="C74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42" s="6">
        <v>239</v>
      </c>
      <c r="E742" s="6">
        <v>12</v>
      </c>
      <c r="F742" s="6">
        <v>10</v>
      </c>
      <c r="G742" s="6">
        <v>50</v>
      </c>
      <c r="H742" s="6"/>
      <c r="I742" s="6"/>
      <c r="J742" s="6" t="s">
        <v>737</v>
      </c>
      <c r="K742" s="6" t="s">
        <v>2437</v>
      </c>
      <c r="L742" s="6">
        <v>100</v>
      </c>
      <c r="M742" s="6">
        <v>4400</v>
      </c>
      <c r="N742" s="6">
        <v>7.6</v>
      </c>
      <c r="O742" s="6">
        <v>1899</v>
      </c>
      <c r="P742" s="6" t="s">
        <v>2368</v>
      </c>
      <c r="Q742" s="6">
        <f>Table2_1[[#This Row],[Specs Score]] / (Table2_1[[#This Row],[Launched Price (USA)]] ^ 0.85)</f>
        <v>8.7527917680055842E-2</v>
      </c>
      <c r="R742" s="6">
        <f>IFERROR(Table2_1[[#This Row],[Launched Price (USA)]] / S742, "")</f>
        <v>35.451298590968754</v>
      </c>
      <c r="S74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53.566443980243129</v>
      </c>
      <c r="T742" s="6">
        <v>2024</v>
      </c>
    </row>
    <row r="743" spans="1:20" x14ac:dyDescent="0.25">
      <c r="A743" s="6" t="s">
        <v>372</v>
      </c>
      <c r="B743" s="6" t="s">
        <v>2350</v>
      </c>
      <c r="C743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743" s="6">
        <v>239</v>
      </c>
      <c r="E743" s="6">
        <v>12</v>
      </c>
      <c r="F743" s="6">
        <v>10</v>
      </c>
      <c r="G743" s="6">
        <v>50</v>
      </c>
      <c r="H743" s="6"/>
      <c r="I743" s="6"/>
      <c r="J743" s="6" t="s">
        <v>737</v>
      </c>
      <c r="K743" s="6" t="s">
        <v>2437</v>
      </c>
      <c r="L743" s="6">
        <v>100</v>
      </c>
      <c r="M743" s="6">
        <v>4400</v>
      </c>
      <c r="N743" s="6">
        <v>7.6</v>
      </c>
      <c r="O743" s="6">
        <v>1719</v>
      </c>
      <c r="P743" s="6" t="s">
        <v>2368</v>
      </c>
      <c r="Q743" s="6">
        <f>Table2_1[[#This Row],[Specs Score]] / (Table2_1[[#This Row],[Launched Price (USA)]] ^ 0.85)</f>
        <v>0.10902732119604906</v>
      </c>
      <c r="R743" s="6">
        <f>IFERROR(Table2_1[[#This Row],[Launched Price (USA)]] / S743, "")</f>
        <v>28.03858159399222</v>
      </c>
      <c r="S74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61.308379464114097</v>
      </c>
      <c r="T743" s="6">
        <v>2024</v>
      </c>
    </row>
    <row r="744" spans="1:20" x14ac:dyDescent="0.25">
      <c r="A744" s="6" t="s">
        <v>372</v>
      </c>
      <c r="B744" s="6" t="s">
        <v>2356</v>
      </c>
      <c r="C74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44" s="6">
        <v>239</v>
      </c>
      <c r="E744" s="6">
        <v>12</v>
      </c>
      <c r="F744" s="6">
        <v>10</v>
      </c>
      <c r="G744" s="6">
        <v>50</v>
      </c>
      <c r="H744" s="6"/>
      <c r="I744" s="6"/>
      <c r="J744" s="6" t="s">
        <v>737</v>
      </c>
      <c r="K744" s="6" t="s">
        <v>2437</v>
      </c>
      <c r="L744" s="6">
        <v>100</v>
      </c>
      <c r="M744" s="6">
        <v>4400</v>
      </c>
      <c r="N744" s="6">
        <v>7.6</v>
      </c>
      <c r="O744" s="6">
        <v>2259</v>
      </c>
      <c r="P744" s="6" t="s">
        <v>2368</v>
      </c>
      <c r="Q744" s="6">
        <f>Table2_1[[#This Row],[Specs Score]] / (Table2_1[[#This Row],[Launched Price (USA)]] ^ 0.85)</f>
        <v>7.0062892123381848E-2</v>
      </c>
      <c r="R744" s="6">
        <f>IFERROR(Table2_1[[#This Row],[Launched Price (USA)]] / S744, "")</f>
        <v>45.456853842536574</v>
      </c>
      <c r="S74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49.695476238307648</v>
      </c>
      <c r="T744" s="6">
        <v>2024</v>
      </c>
    </row>
    <row r="745" spans="1:20" x14ac:dyDescent="0.25">
      <c r="A745" s="6" t="s">
        <v>372</v>
      </c>
      <c r="B745" s="6" t="s">
        <v>460</v>
      </c>
      <c r="C74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45" s="6">
        <v>189</v>
      </c>
      <c r="E745" s="6">
        <v>6</v>
      </c>
      <c r="F745" s="6">
        <v>32</v>
      </c>
      <c r="G745" s="6">
        <v>50</v>
      </c>
      <c r="H745" s="6">
        <v>12</v>
      </c>
      <c r="I745" s="6"/>
      <c r="J745" s="6" t="s">
        <v>462</v>
      </c>
      <c r="K745" s="6" t="s">
        <v>2438</v>
      </c>
      <c r="L745" s="6">
        <v>45</v>
      </c>
      <c r="M745" s="6">
        <v>5000</v>
      </c>
      <c r="N745" s="6">
        <v>6.4</v>
      </c>
      <c r="O745" s="6">
        <v>399</v>
      </c>
      <c r="P745" s="6" t="s">
        <v>2368</v>
      </c>
      <c r="Q745" s="6">
        <f>Table2_1[[#This Row],[Specs Score]] / (Table2_1[[#This Row],[Launched Price (USA)]] ^ 0.85)</f>
        <v>0.20510755681299764</v>
      </c>
      <c r="R745" s="6">
        <f>IFERROR(Table2_1[[#This Row],[Launched Price (USA)]] / S745, "")</f>
        <v>11.971932868348555</v>
      </c>
      <c r="S74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33.327951667259832</v>
      </c>
      <c r="T745" s="6">
        <v>2023</v>
      </c>
    </row>
    <row r="746" spans="1:20" x14ac:dyDescent="0.25">
      <c r="A746" s="6" t="s">
        <v>372</v>
      </c>
      <c r="B746" s="6" t="s">
        <v>468</v>
      </c>
      <c r="C74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46" s="6">
        <v>189</v>
      </c>
      <c r="E746" s="6">
        <v>6</v>
      </c>
      <c r="F746" s="6">
        <v>32</v>
      </c>
      <c r="G746" s="6">
        <v>50</v>
      </c>
      <c r="H746" s="6">
        <v>12</v>
      </c>
      <c r="I746" s="6"/>
      <c r="J746" s="6" t="s">
        <v>462</v>
      </c>
      <c r="K746" s="6" t="s">
        <v>2438</v>
      </c>
      <c r="L746" s="6">
        <v>45</v>
      </c>
      <c r="M746" s="6">
        <v>5000</v>
      </c>
      <c r="N746" s="6">
        <v>6.4</v>
      </c>
      <c r="O746" s="6">
        <v>449</v>
      </c>
      <c r="P746" s="6" t="s">
        <v>2368</v>
      </c>
      <c r="Q746" s="6">
        <f>Table2_1[[#This Row],[Specs Score]] / (Table2_1[[#This Row],[Launched Price (USA)]] ^ 0.85)</f>
        <v>0.20707178842297719</v>
      </c>
      <c r="R746" s="6">
        <f>IFERROR(Table2_1[[#This Row],[Launched Price (USA)]] / S746, "")</f>
        <v>12.070243091228352</v>
      </c>
      <c r="S74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37.198919409195312</v>
      </c>
      <c r="T746" s="6">
        <v>2023</v>
      </c>
    </row>
    <row r="747" spans="1:20" x14ac:dyDescent="0.25">
      <c r="A747" s="6" t="s">
        <v>372</v>
      </c>
      <c r="B747" s="6" t="s">
        <v>473</v>
      </c>
      <c r="C74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47" s="6">
        <v>199</v>
      </c>
      <c r="E747" s="6">
        <v>6</v>
      </c>
      <c r="F747" s="6">
        <v>13</v>
      </c>
      <c r="G747" s="6">
        <v>48</v>
      </c>
      <c r="H747" s="6">
        <v>8</v>
      </c>
      <c r="I747" s="6"/>
      <c r="J747" s="6" t="s">
        <v>2420</v>
      </c>
      <c r="K747" s="6" t="s">
        <v>2438</v>
      </c>
      <c r="L747" s="6">
        <v>42</v>
      </c>
      <c r="M747" s="6">
        <v>5000</v>
      </c>
      <c r="N747" s="6">
        <v>6.6</v>
      </c>
      <c r="O747" s="6">
        <v>349</v>
      </c>
      <c r="P747" s="6" t="s">
        <v>2368</v>
      </c>
      <c r="Q747" s="6">
        <f>Table2_1[[#This Row],[Specs Score]] / (Table2_1[[#This Row],[Launched Price (USA)]] ^ 0.85)</f>
        <v>0.2027448815789657</v>
      </c>
      <c r="R747" s="6">
        <f>IFERROR(Table2_1[[#This Row],[Launched Price (USA)]] / S747, "")</f>
        <v>11.870634005509219</v>
      </c>
      <c r="S74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29.400283071487792</v>
      </c>
      <c r="T747" s="6">
        <v>2023</v>
      </c>
    </row>
    <row r="748" spans="1:20" x14ac:dyDescent="0.25">
      <c r="A748" s="6" t="s">
        <v>372</v>
      </c>
      <c r="B748" s="6" t="s">
        <v>483</v>
      </c>
      <c r="C74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48" s="6">
        <v>199</v>
      </c>
      <c r="E748" s="6">
        <v>6</v>
      </c>
      <c r="F748" s="6">
        <v>13</v>
      </c>
      <c r="G748" s="6">
        <v>48</v>
      </c>
      <c r="H748" s="6">
        <v>8</v>
      </c>
      <c r="I748" s="6"/>
      <c r="J748" s="6" t="s">
        <v>2420</v>
      </c>
      <c r="K748" s="6" t="s">
        <v>2438</v>
      </c>
      <c r="L748" s="6">
        <v>42</v>
      </c>
      <c r="M748" s="6">
        <v>5000</v>
      </c>
      <c r="N748" s="6">
        <v>6.6</v>
      </c>
      <c r="O748" s="6">
        <v>399</v>
      </c>
      <c r="P748" s="6" t="s">
        <v>2368</v>
      </c>
      <c r="Q748" s="6">
        <f>Table2_1[[#This Row],[Specs Score]] / (Table2_1[[#This Row],[Launched Price (USA)]] ^ 0.85)</f>
        <v>0.20475860726711084</v>
      </c>
      <c r="R748" s="6">
        <f>IFERROR(Table2_1[[#This Row],[Launched Price (USA)]] / S748, "")</f>
        <v>11.992335432096938</v>
      </c>
      <c r="S74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33.271250813423272</v>
      </c>
      <c r="T748" s="6">
        <v>2023</v>
      </c>
    </row>
    <row r="749" spans="1:20" x14ac:dyDescent="0.25">
      <c r="A749" s="6" t="s">
        <v>372</v>
      </c>
      <c r="B749" s="6" t="s">
        <v>495</v>
      </c>
      <c r="C74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49" s="6">
        <v>190</v>
      </c>
      <c r="E749" s="6">
        <v>4</v>
      </c>
      <c r="F749" s="6">
        <v>13</v>
      </c>
      <c r="G749" s="6">
        <v>50</v>
      </c>
      <c r="H749" s="6">
        <v>2</v>
      </c>
      <c r="I749" s="6"/>
      <c r="J749" s="6" t="s">
        <v>498</v>
      </c>
      <c r="K749" s="6" t="s">
        <v>2438</v>
      </c>
      <c r="L749" s="6">
        <v>30</v>
      </c>
      <c r="M749" s="6">
        <v>5000</v>
      </c>
      <c r="N749" s="6">
        <v>6.6</v>
      </c>
      <c r="O749" s="6">
        <v>249</v>
      </c>
      <c r="P749" s="6" t="s">
        <v>2368</v>
      </c>
      <c r="Q749" s="6">
        <f>Table2_1[[#This Row],[Specs Score]] / (Table2_1[[#This Row],[Launched Price (USA)]] ^ 0.85)</f>
        <v>0.22485868966088182</v>
      </c>
      <c r="R749" s="6">
        <f>IFERROR(Table2_1[[#This Row],[Launched Price (USA)]] / S749, "")</f>
        <v>10.174667518726418</v>
      </c>
      <c r="S74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24.472544143748866</v>
      </c>
      <c r="T749" s="6">
        <v>2023</v>
      </c>
    </row>
    <row r="750" spans="1:20" x14ac:dyDescent="0.25">
      <c r="A750" s="6" t="s">
        <v>372</v>
      </c>
      <c r="B750" s="6" t="s">
        <v>504</v>
      </c>
      <c r="C75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50" s="6">
        <v>190</v>
      </c>
      <c r="E750" s="6">
        <v>4</v>
      </c>
      <c r="F750" s="6">
        <v>13</v>
      </c>
      <c r="G750" s="6">
        <v>50</v>
      </c>
      <c r="H750" s="6">
        <v>2</v>
      </c>
      <c r="I750" s="6"/>
      <c r="J750" s="6" t="s">
        <v>498</v>
      </c>
      <c r="K750" s="6" t="s">
        <v>2438</v>
      </c>
      <c r="L750" s="6">
        <v>30</v>
      </c>
      <c r="M750" s="6">
        <v>5000</v>
      </c>
      <c r="N750" s="6">
        <v>6.6</v>
      </c>
      <c r="O750" s="6">
        <v>299</v>
      </c>
      <c r="P750" s="6" t="s">
        <v>2368</v>
      </c>
      <c r="Q750" s="6">
        <f>Table2_1[[#This Row],[Specs Score]] / (Table2_1[[#This Row],[Launched Price (USA)]] ^ 0.85)</f>
        <v>0.22291184690198487</v>
      </c>
      <c r="R750" s="6">
        <f>IFERROR(Table2_1[[#This Row],[Launched Price (USA)]] / S750, "")</f>
        <v>10.549151467395188</v>
      </c>
      <c r="S75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28.34351188568435</v>
      </c>
      <c r="T750" s="6">
        <v>2023</v>
      </c>
    </row>
    <row r="751" spans="1:20" x14ac:dyDescent="0.25">
      <c r="A751" s="6" t="s">
        <v>372</v>
      </c>
      <c r="B751" s="6" t="s">
        <v>507</v>
      </c>
      <c r="C751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751" s="6">
        <v>188</v>
      </c>
      <c r="E751" s="6">
        <v>4</v>
      </c>
      <c r="F751" s="6">
        <v>5</v>
      </c>
      <c r="G751" s="6">
        <v>50</v>
      </c>
      <c r="H751" s="6">
        <v>2</v>
      </c>
      <c r="I751" s="6"/>
      <c r="J751" s="6" t="s">
        <v>498</v>
      </c>
      <c r="K751" s="6" t="s">
        <v>2438</v>
      </c>
      <c r="L751" s="6">
        <v>30</v>
      </c>
      <c r="M751" s="6">
        <v>5000</v>
      </c>
      <c r="N751" s="6">
        <v>6.5</v>
      </c>
      <c r="O751" s="6">
        <v>199</v>
      </c>
      <c r="P751" s="6" t="s">
        <v>2368</v>
      </c>
      <c r="Q751" s="6">
        <f>Table2_1[[#This Row],[Specs Score]] / (Table2_1[[#This Row],[Launched Price (USA)]] ^ 0.85)</f>
        <v>0.2340458297462352</v>
      </c>
      <c r="R751" s="6">
        <f>IFERROR(Table2_1[[#This Row],[Launched Price (USA)]] / S751, "")</f>
        <v>9.4520727198927386</v>
      </c>
      <c r="S75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21.053583261286867</v>
      </c>
      <c r="T751" s="6">
        <v>2022</v>
      </c>
    </row>
    <row r="752" spans="1:20" x14ac:dyDescent="0.25">
      <c r="A752" s="6" t="s">
        <v>372</v>
      </c>
      <c r="B752" s="6" t="s">
        <v>514</v>
      </c>
      <c r="C75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52" s="6">
        <v>188</v>
      </c>
      <c r="E752" s="6">
        <v>4</v>
      </c>
      <c r="F752" s="6">
        <v>5</v>
      </c>
      <c r="G752" s="6">
        <v>50</v>
      </c>
      <c r="H752" s="6">
        <v>2</v>
      </c>
      <c r="I752" s="6"/>
      <c r="J752" s="6" t="s">
        <v>498</v>
      </c>
      <c r="K752" s="6" t="s">
        <v>2438</v>
      </c>
      <c r="L752" s="6">
        <v>30</v>
      </c>
      <c r="M752" s="6">
        <v>5000</v>
      </c>
      <c r="N752" s="6">
        <v>6.5</v>
      </c>
      <c r="O752" s="6">
        <v>249</v>
      </c>
      <c r="P752" s="6" t="s">
        <v>2368</v>
      </c>
      <c r="Q752" s="6">
        <f>Table2_1[[#This Row],[Specs Score]] / (Table2_1[[#This Row],[Launched Price (USA)]] ^ 0.85)</f>
        <v>0.21122820257350455</v>
      </c>
      <c r="R752" s="6">
        <f>IFERROR(Table2_1[[#This Row],[Launched Price (USA)]] / S752, "")</f>
        <v>10.831235498488006</v>
      </c>
      <c r="S75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22.989067132254611</v>
      </c>
      <c r="T752" s="6">
        <v>2022</v>
      </c>
    </row>
    <row r="753" spans="1:20" x14ac:dyDescent="0.25">
      <c r="A753" s="6" t="s">
        <v>372</v>
      </c>
      <c r="B753" s="6" t="s">
        <v>517</v>
      </c>
      <c r="C75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53" s="6">
        <v>202</v>
      </c>
      <c r="E753" s="6">
        <v>8</v>
      </c>
      <c r="F753" s="6">
        <v>32</v>
      </c>
      <c r="G753" s="6">
        <v>108</v>
      </c>
      <c r="H753" s="6">
        <v>8</v>
      </c>
      <c r="I753" s="6"/>
      <c r="J753" s="6" t="s">
        <v>462</v>
      </c>
      <c r="K753" s="6" t="s">
        <v>2438</v>
      </c>
      <c r="L753" s="6">
        <v>45</v>
      </c>
      <c r="M753" s="6">
        <v>6000</v>
      </c>
      <c r="N753" s="6">
        <v>6.7</v>
      </c>
      <c r="O753" s="6">
        <v>349</v>
      </c>
      <c r="P753" s="6" t="s">
        <v>2368</v>
      </c>
      <c r="Q753" s="6">
        <f>Table2_1[[#This Row],[Specs Score]] / (Table2_1[[#This Row],[Launched Price (USA)]] ^ 0.85)</f>
        <v>0.27753193728819792</v>
      </c>
      <c r="R753" s="6">
        <f>IFERROR(Table2_1[[#This Row],[Launched Price (USA)]] / S753, "")</f>
        <v>8.671831823142595</v>
      </c>
      <c r="S75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40.245245424227505</v>
      </c>
      <c r="T753" s="6">
        <v>2023</v>
      </c>
    </row>
    <row r="754" spans="1:20" x14ac:dyDescent="0.25">
      <c r="A754" s="6" t="s">
        <v>372</v>
      </c>
      <c r="B754" s="6" t="s">
        <v>523</v>
      </c>
      <c r="C75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54" s="6">
        <v>202</v>
      </c>
      <c r="E754" s="6">
        <v>8</v>
      </c>
      <c r="F754" s="6">
        <v>32</v>
      </c>
      <c r="G754" s="6">
        <v>108</v>
      </c>
      <c r="H754" s="6">
        <v>8</v>
      </c>
      <c r="I754" s="6"/>
      <c r="J754" s="6" t="s">
        <v>462</v>
      </c>
      <c r="K754" s="6" t="s">
        <v>2438</v>
      </c>
      <c r="L754" s="6">
        <v>45</v>
      </c>
      <c r="M754" s="6">
        <v>6000</v>
      </c>
      <c r="N754" s="6">
        <v>6.7</v>
      </c>
      <c r="O754" s="6">
        <v>399</v>
      </c>
      <c r="P754" s="6" t="s">
        <v>2368</v>
      </c>
      <c r="Q754" s="6">
        <f>Table2_1[[#This Row],[Specs Score]] / (Table2_1[[#This Row],[Launched Price (USA)]] ^ 0.85)</f>
        <v>0.27150089476522121</v>
      </c>
      <c r="R754" s="6">
        <f>IFERROR(Table2_1[[#This Row],[Launched Price (USA)]] / S754, "")</f>
        <v>9.0442939537256528</v>
      </c>
      <c r="S75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44.116213166162993</v>
      </c>
      <c r="T754" s="6">
        <v>2023</v>
      </c>
    </row>
    <row r="755" spans="1:20" x14ac:dyDescent="0.25">
      <c r="A755" s="6" t="s">
        <v>372</v>
      </c>
      <c r="B755" s="6" t="s">
        <v>526</v>
      </c>
      <c r="C75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55" s="6">
        <v>199</v>
      </c>
      <c r="E755" s="6">
        <v>6</v>
      </c>
      <c r="F755" s="6">
        <v>13</v>
      </c>
      <c r="G755" s="6">
        <v>50</v>
      </c>
      <c r="H755" s="6">
        <v>8</v>
      </c>
      <c r="I755" s="6"/>
      <c r="J755" s="6" t="s">
        <v>528</v>
      </c>
      <c r="K755" s="6" t="s">
        <v>2438</v>
      </c>
      <c r="L755" s="6">
        <v>40</v>
      </c>
      <c r="M755" s="6">
        <v>6000</v>
      </c>
      <c r="N755" s="6">
        <v>6.5</v>
      </c>
      <c r="O755" s="6">
        <v>299</v>
      </c>
      <c r="P755" s="6" t="s">
        <v>2368</v>
      </c>
      <c r="Q755" s="6">
        <f>Table2_1[[#This Row],[Specs Score]] / (Table2_1[[#This Row],[Launched Price (USA)]] ^ 0.85)</f>
        <v>0.24006113581162136</v>
      </c>
      <c r="R755" s="6">
        <f>IFERROR(Table2_1[[#This Row],[Launched Price (USA)]] / S755, "")</f>
        <v>9.7955499081330579</v>
      </c>
      <c r="S75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30.524064784943416</v>
      </c>
      <c r="T755" s="6">
        <v>2023</v>
      </c>
    </row>
    <row r="756" spans="1:20" x14ac:dyDescent="0.25">
      <c r="A756" s="6" t="s">
        <v>372</v>
      </c>
      <c r="B756" s="6" t="s">
        <v>530</v>
      </c>
      <c r="C75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56" s="6">
        <v>199</v>
      </c>
      <c r="E756" s="6">
        <v>6</v>
      </c>
      <c r="F756" s="6">
        <v>13</v>
      </c>
      <c r="G756" s="6">
        <v>50</v>
      </c>
      <c r="H756" s="6">
        <v>8</v>
      </c>
      <c r="I756" s="6"/>
      <c r="J756" s="6" t="s">
        <v>528</v>
      </c>
      <c r="K756" s="6" t="s">
        <v>2438</v>
      </c>
      <c r="L756" s="6">
        <v>40</v>
      </c>
      <c r="M756" s="6">
        <v>6000</v>
      </c>
      <c r="N756" s="6">
        <v>6.5</v>
      </c>
      <c r="O756" s="6">
        <v>349</v>
      </c>
      <c r="P756" s="6" t="s">
        <v>2368</v>
      </c>
      <c r="Q756" s="6">
        <f>Table2_1[[#This Row],[Specs Score]] / (Table2_1[[#This Row],[Launched Price (USA)]] ^ 0.85)</f>
        <v>0.23718876378198928</v>
      </c>
      <c r="R756" s="6">
        <f>IFERROR(Table2_1[[#This Row],[Launched Price (USA)]] / S756, "")</f>
        <v>10.146814070527912</v>
      </c>
      <c r="S75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34.3950325268789</v>
      </c>
      <c r="T756" s="6">
        <v>2023</v>
      </c>
    </row>
    <row r="757" spans="1:20" x14ac:dyDescent="0.25">
      <c r="A757" s="6" t="s">
        <v>372</v>
      </c>
      <c r="B757" s="6" t="s">
        <v>532</v>
      </c>
      <c r="C75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57" s="6">
        <v>202</v>
      </c>
      <c r="E757" s="6">
        <v>4</v>
      </c>
      <c r="F757" s="6">
        <v>13</v>
      </c>
      <c r="G757" s="6">
        <v>50</v>
      </c>
      <c r="H757" s="6">
        <v>2</v>
      </c>
      <c r="I757" s="6"/>
      <c r="J757" s="6" t="s">
        <v>498</v>
      </c>
      <c r="K757" s="6" t="s">
        <v>2438</v>
      </c>
      <c r="L757" s="6">
        <v>30</v>
      </c>
      <c r="M757" s="6">
        <v>6000</v>
      </c>
      <c r="N757" s="6">
        <v>6.6</v>
      </c>
      <c r="O757" s="6">
        <v>249</v>
      </c>
      <c r="P757" s="6" t="s">
        <v>2368</v>
      </c>
      <c r="Q757" s="6">
        <f>Table2_1[[#This Row],[Specs Score]] / (Table2_1[[#This Row],[Launched Price (USA)]] ^ 0.85)</f>
        <v>0.23983945449846666</v>
      </c>
      <c r="R757" s="6">
        <f>IFERROR(Table2_1[[#This Row],[Launched Price (USA)]] / S757, "")</f>
        <v>9.539141134139733</v>
      </c>
      <c r="S75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26.102978926357562</v>
      </c>
      <c r="T757" s="6">
        <v>2023</v>
      </c>
    </row>
    <row r="758" spans="1:20" x14ac:dyDescent="0.25">
      <c r="A758" s="6" t="s">
        <v>372</v>
      </c>
      <c r="B758" s="6" t="s">
        <v>533</v>
      </c>
      <c r="C75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58" s="6">
        <v>202</v>
      </c>
      <c r="E758" s="6">
        <v>4</v>
      </c>
      <c r="F758" s="6">
        <v>13</v>
      </c>
      <c r="G758" s="6">
        <v>50</v>
      </c>
      <c r="H758" s="6">
        <v>2</v>
      </c>
      <c r="I758" s="6"/>
      <c r="J758" s="6" t="s">
        <v>498</v>
      </c>
      <c r="K758" s="6" t="s">
        <v>2438</v>
      </c>
      <c r="L758" s="6">
        <v>30</v>
      </c>
      <c r="M758" s="6">
        <v>6000</v>
      </c>
      <c r="N758" s="6">
        <v>6.6</v>
      </c>
      <c r="O758" s="6">
        <v>299</v>
      </c>
      <c r="P758" s="6" t="s">
        <v>2368</v>
      </c>
      <c r="Q758" s="6">
        <f>Table2_1[[#This Row],[Specs Score]] / (Table2_1[[#This Row],[Launched Price (USA)]] ^ 0.85)</f>
        <v>0.23573464846977885</v>
      </c>
      <c r="R758" s="6">
        <f>IFERROR(Table2_1[[#This Row],[Launched Price (USA)]] / S758, "")</f>
        <v>9.975329685772989</v>
      </c>
      <c r="S75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29.973946668293046</v>
      </c>
      <c r="T758" s="6">
        <v>2023</v>
      </c>
    </row>
    <row r="759" spans="1:20" x14ac:dyDescent="0.25">
      <c r="A759" s="6" t="s">
        <v>372</v>
      </c>
      <c r="B759" s="6" t="s">
        <v>542</v>
      </c>
      <c r="C75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59" s="6">
        <v>199</v>
      </c>
      <c r="E759" s="6">
        <v>8</v>
      </c>
      <c r="F759" s="6">
        <v>32</v>
      </c>
      <c r="G759" s="6">
        <v>108</v>
      </c>
      <c r="H759" s="6">
        <v>8</v>
      </c>
      <c r="I759" s="6"/>
      <c r="J759" s="6" t="s">
        <v>462</v>
      </c>
      <c r="K759" s="6" t="s">
        <v>2438</v>
      </c>
      <c r="L759" s="6">
        <v>45</v>
      </c>
      <c r="M759" s="6">
        <v>6000</v>
      </c>
      <c r="N759" s="6">
        <v>6.7</v>
      </c>
      <c r="O759" s="6">
        <v>349</v>
      </c>
      <c r="P759" s="6" t="s">
        <v>2368</v>
      </c>
      <c r="Q759" s="6">
        <f>Table2_1[[#This Row],[Specs Score]] / (Table2_1[[#This Row],[Launched Price (USA)]] ^ 0.85)</f>
        <v>0.27753193728819792</v>
      </c>
      <c r="R759" s="6">
        <f>IFERROR(Table2_1[[#This Row],[Launched Price (USA)]] / S759, "")</f>
        <v>8.671831823142595</v>
      </c>
      <c r="S75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40.245245424227505</v>
      </c>
      <c r="T759" s="6">
        <v>2023</v>
      </c>
    </row>
    <row r="760" spans="1:20" x14ac:dyDescent="0.25">
      <c r="A760" s="6" t="s">
        <v>372</v>
      </c>
      <c r="B760" s="6" t="s">
        <v>543</v>
      </c>
      <c r="C76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60" s="6">
        <v>199</v>
      </c>
      <c r="E760" s="6">
        <v>8</v>
      </c>
      <c r="F760" s="6">
        <v>32</v>
      </c>
      <c r="G760" s="6">
        <v>108</v>
      </c>
      <c r="H760" s="6">
        <v>8</v>
      </c>
      <c r="I760" s="6"/>
      <c r="J760" s="6" t="s">
        <v>462</v>
      </c>
      <c r="K760" s="6" t="s">
        <v>2438</v>
      </c>
      <c r="L760" s="6">
        <v>45</v>
      </c>
      <c r="M760" s="6">
        <v>6000</v>
      </c>
      <c r="N760" s="6">
        <v>6.7</v>
      </c>
      <c r="O760" s="6">
        <v>399</v>
      </c>
      <c r="P760" s="6" t="s">
        <v>2368</v>
      </c>
      <c r="Q760" s="6">
        <f>Table2_1[[#This Row],[Specs Score]] / (Table2_1[[#This Row],[Launched Price (USA)]] ^ 0.85)</f>
        <v>0.27150089476522121</v>
      </c>
      <c r="R760" s="6">
        <f>IFERROR(Table2_1[[#This Row],[Launched Price (USA)]] / S760, "")</f>
        <v>9.0442939537256528</v>
      </c>
      <c r="S76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44.116213166162993</v>
      </c>
      <c r="T760" s="6">
        <v>2023</v>
      </c>
    </row>
    <row r="761" spans="1:20" x14ac:dyDescent="0.25">
      <c r="A761" s="6" t="s">
        <v>372</v>
      </c>
      <c r="B761" s="6" t="s">
        <v>545</v>
      </c>
      <c r="C76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61" s="6">
        <v>190</v>
      </c>
      <c r="E761" s="6">
        <v>6</v>
      </c>
      <c r="F761" s="6">
        <v>13</v>
      </c>
      <c r="G761" s="6">
        <v>50</v>
      </c>
      <c r="H761" s="6">
        <v>8</v>
      </c>
      <c r="I761" s="6"/>
      <c r="J761" s="6" t="s">
        <v>528</v>
      </c>
      <c r="K761" s="6" t="s">
        <v>2438</v>
      </c>
      <c r="L761" s="6">
        <v>40</v>
      </c>
      <c r="M761" s="6">
        <v>6000</v>
      </c>
      <c r="N761" s="6">
        <v>6.5</v>
      </c>
      <c r="O761" s="6">
        <v>299</v>
      </c>
      <c r="P761" s="6" t="s">
        <v>2368</v>
      </c>
      <c r="Q761" s="6">
        <f>Table2_1[[#This Row],[Specs Score]] / (Table2_1[[#This Row],[Launched Price (USA)]] ^ 0.85)</f>
        <v>0.24006113581162136</v>
      </c>
      <c r="R761" s="6">
        <f>IFERROR(Table2_1[[#This Row],[Launched Price (USA)]] / S761, "")</f>
        <v>9.7955499081330579</v>
      </c>
      <c r="S76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30.524064784943416</v>
      </c>
      <c r="T761" s="6">
        <v>2023</v>
      </c>
    </row>
    <row r="762" spans="1:20" x14ac:dyDescent="0.25">
      <c r="A762" s="6" t="s">
        <v>372</v>
      </c>
      <c r="B762" s="6" t="s">
        <v>547</v>
      </c>
      <c r="C76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62" s="6">
        <v>190</v>
      </c>
      <c r="E762" s="6">
        <v>6</v>
      </c>
      <c r="F762" s="6">
        <v>13</v>
      </c>
      <c r="G762" s="6">
        <v>50</v>
      </c>
      <c r="H762" s="6">
        <v>8</v>
      </c>
      <c r="I762" s="6"/>
      <c r="J762" s="6" t="s">
        <v>528</v>
      </c>
      <c r="K762" s="6" t="s">
        <v>2438</v>
      </c>
      <c r="L762" s="6">
        <v>40</v>
      </c>
      <c r="M762" s="6">
        <v>6000</v>
      </c>
      <c r="N762" s="6">
        <v>6.5</v>
      </c>
      <c r="O762" s="6">
        <v>349</v>
      </c>
      <c r="P762" s="6" t="s">
        <v>2368</v>
      </c>
      <c r="Q762" s="6">
        <f>Table2_1[[#This Row],[Specs Score]] / (Table2_1[[#This Row],[Launched Price (USA)]] ^ 0.85)</f>
        <v>0.23718876378198928</v>
      </c>
      <c r="R762" s="6">
        <f>IFERROR(Table2_1[[#This Row],[Launched Price (USA)]] / S762, "")</f>
        <v>10.146814070527912</v>
      </c>
      <c r="S76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34.3950325268789</v>
      </c>
      <c r="T762" s="6">
        <v>2023</v>
      </c>
    </row>
    <row r="763" spans="1:20" x14ac:dyDescent="0.25">
      <c r="A763" s="6" t="s">
        <v>372</v>
      </c>
      <c r="B763" s="6" t="s">
        <v>548</v>
      </c>
      <c r="C76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63" s="6">
        <v>198</v>
      </c>
      <c r="E763" s="6">
        <v>4</v>
      </c>
      <c r="F763" s="6">
        <v>13</v>
      </c>
      <c r="G763" s="6">
        <v>50</v>
      </c>
      <c r="H763" s="6">
        <v>2</v>
      </c>
      <c r="I763" s="6"/>
      <c r="J763" s="6" t="s">
        <v>498</v>
      </c>
      <c r="K763" s="6" t="s">
        <v>2438</v>
      </c>
      <c r="L763" s="6">
        <v>30</v>
      </c>
      <c r="M763" s="6">
        <v>6000</v>
      </c>
      <c r="N763" s="6">
        <v>6.6</v>
      </c>
      <c r="O763" s="6">
        <v>249</v>
      </c>
      <c r="P763" s="6" t="s">
        <v>2368</v>
      </c>
      <c r="Q763" s="6">
        <f>Table2_1[[#This Row],[Specs Score]] / (Table2_1[[#This Row],[Launched Price (USA)]] ^ 0.85)</f>
        <v>0.23983945449846666</v>
      </c>
      <c r="R763" s="6">
        <f>IFERROR(Table2_1[[#This Row],[Launched Price (USA)]] / S763, "")</f>
        <v>9.539141134139733</v>
      </c>
      <c r="S76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26.102978926357562</v>
      </c>
      <c r="T763" s="6">
        <v>2023</v>
      </c>
    </row>
    <row r="764" spans="1:20" x14ac:dyDescent="0.25">
      <c r="A764" s="6" t="s">
        <v>372</v>
      </c>
      <c r="B764" s="6" t="s">
        <v>550</v>
      </c>
      <c r="C76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64" s="6">
        <v>198</v>
      </c>
      <c r="E764" s="6">
        <v>4</v>
      </c>
      <c r="F764" s="6">
        <v>13</v>
      </c>
      <c r="G764" s="6">
        <v>50</v>
      </c>
      <c r="H764" s="6">
        <v>2</v>
      </c>
      <c r="I764" s="6"/>
      <c r="J764" s="6" t="s">
        <v>498</v>
      </c>
      <c r="K764" s="6" t="s">
        <v>2438</v>
      </c>
      <c r="L764" s="6">
        <v>30</v>
      </c>
      <c r="M764" s="6">
        <v>6000</v>
      </c>
      <c r="N764" s="6">
        <v>6.6</v>
      </c>
      <c r="O764" s="6">
        <v>299</v>
      </c>
      <c r="P764" s="6" t="s">
        <v>2368</v>
      </c>
      <c r="Q764" s="6">
        <f>Table2_1[[#This Row],[Specs Score]] / (Table2_1[[#This Row],[Launched Price (USA)]] ^ 0.85)</f>
        <v>0.23573464846977885</v>
      </c>
      <c r="R764" s="6">
        <f>IFERROR(Table2_1[[#This Row],[Launched Price (USA)]] / S764, "")</f>
        <v>9.975329685772989</v>
      </c>
      <c r="S76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29.973946668293046</v>
      </c>
      <c r="T764" s="6">
        <v>2023</v>
      </c>
    </row>
    <row r="765" spans="1:20" x14ac:dyDescent="0.25">
      <c r="A765" s="6" t="s">
        <v>372</v>
      </c>
      <c r="B765" s="6" t="s">
        <v>578</v>
      </c>
      <c r="C76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65" s="6">
        <v>235</v>
      </c>
      <c r="E765" s="6">
        <v>6</v>
      </c>
      <c r="F765" s="6">
        <v>13</v>
      </c>
      <c r="G765" s="6">
        <v>50</v>
      </c>
      <c r="H765" s="6"/>
      <c r="I765" s="6"/>
      <c r="J765" s="6" t="s">
        <v>462</v>
      </c>
      <c r="K765" s="6" t="s">
        <v>2438</v>
      </c>
      <c r="L765" s="6">
        <v>45</v>
      </c>
      <c r="M765" s="6">
        <v>4050</v>
      </c>
      <c r="N765" s="6">
        <v>6.6</v>
      </c>
      <c r="O765" s="6">
        <v>499</v>
      </c>
      <c r="P765" s="6" t="s">
        <v>2368</v>
      </c>
      <c r="Q765" s="6">
        <f>Table2_1[[#This Row],[Specs Score]] / (Table2_1[[#This Row],[Launched Price (USA)]] ^ 0.85)</f>
        <v>0.14610684678710509</v>
      </c>
      <c r="R765" s="6">
        <f>IFERROR(Table2_1[[#This Row],[Launched Price (USA)]] / S765, "")</f>
        <v>17.379789566760508</v>
      </c>
      <c r="S76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28.711509888149394</v>
      </c>
      <c r="T765" s="6">
        <v>2022</v>
      </c>
    </row>
    <row r="766" spans="1:20" x14ac:dyDescent="0.25">
      <c r="A766" s="6" t="s">
        <v>372</v>
      </c>
      <c r="B766" s="6" t="s">
        <v>584</v>
      </c>
      <c r="C766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766" s="6">
        <v>172</v>
      </c>
      <c r="E766" s="6">
        <v>4</v>
      </c>
      <c r="F766" s="6">
        <v>5</v>
      </c>
      <c r="G766" s="6">
        <v>16</v>
      </c>
      <c r="H766" s="6"/>
      <c r="I766" s="6"/>
      <c r="J766" s="6" t="s">
        <v>498</v>
      </c>
      <c r="K766" s="6" t="s">
        <v>2438</v>
      </c>
      <c r="L766" s="6">
        <v>30</v>
      </c>
      <c r="M766" s="6">
        <v>3000</v>
      </c>
      <c r="N766" s="6">
        <v>5.3</v>
      </c>
      <c r="O766" s="6">
        <v>249</v>
      </c>
      <c r="P766" s="6" t="s">
        <v>2368</v>
      </c>
      <c r="Q766" s="6">
        <f>Table2_1[[#This Row],[Specs Score]] / (Table2_1[[#This Row],[Launched Price (USA)]] ^ 0.85)</f>
        <v>0.13597734671707909</v>
      </c>
      <c r="R766" s="6">
        <f>IFERROR(Table2_1[[#This Row],[Launched Price (USA)]] / S766, "")</f>
        <v>16.825320255411313</v>
      </c>
      <c r="S76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14.799123952479734</v>
      </c>
      <c r="T766" s="6">
        <v>2020</v>
      </c>
    </row>
    <row r="767" spans="1:20" x14ac:dyDescent="0.25">
      <c r="A767" s="6" t="s">
        <v>372</v>
      </c>
      <c r="B767" s="6" t="s">
        <v>662</v>
      </c>
      <c r="C76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67" s="6">
        <v>523</v>
      </c>
      <c r="E767" s="6">
        <v>6</v>
      </c>
      <c r="F767" s="6">
        <v>12</v>
      </c>
      <c r="G767" s="6">
        <v>8</v>
      </c>
      <c r="H767" s="6"/>
      <c r="I767" s="6"/>
      <c r="J767" s="6" t="s">
        <v>462</v>
      </c>
      <c r="K767" s="6" t="s">
        <v>2438</v>
      </c>
      <c r="L767" s="6">
        <v>45</v>
      </c>
      <c r="M767" s="6">
        <v>8000</v>
      </c>
      <c r="N767" s="6">
        <v>10.9</v>
      </c>
      <c r="O767" s="6">
        <v>549</v>
      </c>
      <c r="P767" s="6" t="s">
        <v>2369</v>
      </c>
      <c r="Q767" s="6">
        <f>Table2_1[[#This Row],[Specs Score]] / (Table2_1[[#This Row],[Launched Price (USA)]] ^ 0.85)</f>
        <v>0.17503556091958036</v>
      </c>
      <c r="R767" s="6">
        <f>IFERROR(Table2_1[[#This Row],[Launched Price (USA)]] / S767, "")</f>
        <v>14.716670320695359</v>
      </c>
      <c r="S76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37.304633999170804</v>
      </c>
      <c r="T767" s="6">
        <v>2023</v>
      </c>
    </row>
    <row r="768" spans="1:20" x14ac:dyDescent="0.25">
      <c r="A768" s="6" t="s">
        <v>372</v>
      </c>
      <c r="B768" s="6" t="s">
        <v>678</v>
      </c>
      <c r="C76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68" s="6">
        <v>480</v>
      </c>
      <c r="E768" s="6">
        <v>8</v>
      </c>
      <c r="F768" s="6">
        <v>5</v>
      </c>
      <c r="G768" s="6">
        <v>8</v>
      </c>
      <c r="H768" s="6"/>
      <c r="I768" s="6"/>
      <c r="J768" s="6" t="s">
        <v>680</v>
      </c>
      <c r="K768" s="6" t="s">
        <v>2438</v>
      </c>
      <c r="L768" s="6">
        <v>40</v>
      </c>
      <c r="M768" s="6">
        <v>7040</v>
      </c>
      <c r="N768" s="6">
        <v>11</v>
      </c>
      <c r="O768" s="6">
        <v>229</v>
      </c>
      <c r="P768" s="6" t="s">
        <v>2369</v>
      </c>
      <c r="Q768" s="6">
        <f>Table2_1[[#This Row],[Specs Score]] / (Table2_1[[#This Row],[Launched Price (USA)]] ^ 0.85)</f>
        <v>0.34899945902942192</v>
      </c>
      <c r="R768" s="6">
        <f>IFERROR(Table2_1[[#This Row],[Launched Price (USA)]] / S768, "")</f>
        <v>6.4736701702018049</v>
      </c>
      <c r="S76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35.374060460182719</v>
      </c>
      <c r="T768" s="6">
        <v>2023</v>
      </c>
    </row>
    <row r="769" spans="1:20" x14ac:dyDescent="0.25">
      <c r="A769" s="6" t="s">
        <v>372</v>
      </c>
      <c r="B769" s="6" t="s">
        <v>700</v>
      </c>
      <c r="C76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69" s="6">
        <v>433</v>
      </c>
      <c r="E769" s="6">
        <v>6</v>
      </c>
      <c r="F769" s="6">
        <v>5</v>
      </c>
      <c r="G769" s="6">
        <v>13</v>
      </c>
      <c r="H769" s="6"/>
      <c r="I769" s="6"/>
      <c r="J769" s="6" t="s">
        <v>462</v>
      </c>
      <c r="K769" s="6" t="s">
        <v>2438</v>
      </c>
      <c r="L769" s="6">
        <v>45</v>
      </c>
      <c r="M769" s="6">
        <v>5050</v>
      </c>
      <c r="N769" s="6">
        <v>8</v>
      </c>
      <c r="O769" s="6">
        <v>549</v>
      </c>
      <c r="P769" s="6" t="s">
        <v>2368</v>
      </c>
      <c r="Q769" s="6">
        <f>Table2_1[[#This Row],[Specs Score]] / (Table2_1[[#This Row],[Launched Price (USA)]] ^ 0.85)</f>
        <v>0.13383410708305016</v>
      </c>
      <c r="R769" s="6">
        <f>IFERROR(Table2_1[[#This Row],[Launched Price (USA)]] / S769, "")</f>
        <v>19.247265892041739</v>
      </c>
      <c r="S76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28.523531761827936</v>
      </c>
      <c r="T769" s="6">
        <v>2024</v>
      </c>
    </row>
    <row r="770" spans="1:20" x14ac:dyDescent="0.25">
      <c r="A770" s="6" t="s">
        <v>372</v>
      </c>
      <c r="B770" s="6" t="s">
        <v>706</v>
      </c>
      <c r="C77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70" s="6">
        <v>674</v>
      </c>
      <c r="E770" s="6">
        <v>6</v>
      </c>
      <c r="F770" s="6">
        <v>8</v>
      </c>
      <c r="G770" s="6">
        <v>13</v>
      </c>
      <c r="H770" s="6"/>
      <c r="I770" s="6"/>
      <c r="J770" s="6" t="s">
        <v>708</v>
      </c>
      <c r="K770" s="6" t="s">
        <v>2438</v>
      </c>
      <c r="L770" s="6">
        <v>60</v>
      </c>
      <c r="M770" s="6">
        <v>7600</v>
      </c>
      <c r="N770" s="6">
        <v>10.1</v>
      </c>
      <c r="O770" s="6">
        <v>649</v>
      </c>
      <c r="P770" s="6" t="s">
        <v>2369</v>
      </c>
      <c r="Q770" s="6">
        <f>Table2_1[[#This Row],[Specs Score]] / (Table2_1[[#This Row],[Launched Price (USA)]] ^ 0.85)</f>
        <v>0.15943632410957337</v>
      </c>
      <c r="R770" s="6">
        <f>IFERROR(Table2_1[[#This Row],[Launched Price (USA)]] / S770, "")</f>
        <v>16.567212073872213</v>
      </c>
      <c r="S77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39.173760624669235</v>
      </c>
      <c r="T770" s="6">
        <v>2022</v>
      </c>
    </row>
    <row r="771" spans="1:20" x14ac:dyDescent="0.25">
      <c r="A771" s="6" t="s">
        <v>1887</v>
      </c>
      <c r="B771" s="6" t="s">
        <v>1888</v>
      </c>
      <c r="C77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71" s="6">
        <v>185</v>
      </c>
      <c r="E771" s="6">
        <v>12</v>
      </c>
      <c r="F771" s="6">
        <v>12</v>
      </c>
      <c r="G771" s="6">
        <v>12</v>
      </c>
      <c r="H771" s="6"/>
      <c r="I771" s="6"/>
      <c r="J771" s="6" t="s">
        <v>451</v>
      </c>
      <c r="K771" s="6" t="s">
        <v>2437</v>
      </c>
      <c r="L771" s="6">
        <v>90</v>
      </c>
      <c r="M771" s="6">
        <v>5000</v>
      </c>
      <c r="N771" s="6">
        <v>6.5</v>
      </c>
      <c r="O771" s="6">
        <v>1599</v>
      </c>
      <c r="P771" s="6" t="s">
        <v>2368</v>
      </c>
      <c r="Q771" s="6">
        <f>Table2_1[[#This Row],[Specs Score]] / (Table2_1[[#This Row],[Launched Price (USA)]] ^ 0.85)</f>
        <v>9.3177054196748182E-2</v>
      </c>
      <c r="R771" s="6">
        <f>IFERROR(Table2_1[[#This Row],[Launched Price (USA)]] / S771, "")</f>
        <v>32.454004608992285</v>
      </c>
      <c r="S77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49.269728628711434</v>
      </c>
      <c r="T771" s="6">
        <v>2022</v>
      </c>
    </row>
    <row r="772" spans="1:20" x14ac:dyDescent="0.25">
      <c r="A772" s="6" t="s">
        <v>1887</v>
      </c>
      <c r="B772" s="6" t="s">
        <v>1890</v>
      </c>
      <c r="C77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72" s="6">
        <v>172</v>
      </c>
      <c r="E772" s="6">
        <v>8</v>
      </c>
      <c r="F772" s="6">
        <v>12</v>
      </c>
      <c r="G772" s="6">
        <v>12</v>
      </c>
      <c r="H772" s="6"/>
      <c r="I772" s="6"/>
      <c r="J772" s="6" t="s">
        <v>451</v>
      </c>
      <c r="K772" s="6" t="s">
        <v>2437</v>
      </c>
      <c r="L772" s="6">
        <v>90</v>
      </c>
      <c r="M772" s="6">
        <v>5000</v>
      </c>
      <c r="N772" s="6">
        <v>6.1</v>
      </c>
      <c r="O772" s="6">
        <v>999</v>
      </c>
      <c r="P772" s="6" t="s">
        <v>2368</v>
      </c>
      <c r="Q772" s="6">
        <f>Table2_1[[#This Row],[Specs Score]] / (Table2_1[[#This Row],[Launched Price (USA)]] ^ 0.85)</f>
        <v>0.11560150348781462</v>
      </c>
      <c r="R772" s="6">
        <f>IFERROR(Table2_1[[#This Row],[Launched Price (USA)]] / S772, "")</f>
        <v>24.376499517923754</v>
      </c>
      <c r="S77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40.982094220109289</v>
      </c>
      <c r="T772" s="6">
        <v>2022</v>
      </c>
    </row>
    <row r="773" spans="1:20" x14ac:dyDescent="0.25">
      <c r="A773" s="6" t="s">
        <v>1887</v>
      </c>
      <c r="B773" s="6" t="s">
        <v>1894</v>
      </c>
      <c r="C77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73" s="6">
        <v>187</v>
      </c>
      <c r="E773" s="6">
        <v>12</v>
      </c>
      <c r="F773" s="6">
        <v>12</v>
      </c>
      <c r="G773" s="6">
        <v>48</v>
      </c>
      <c r="H773" s="6"/>
      <c r="I773" s="6"/>
      <c r="J773" s="6" t="s">
        <v>401</v>
      </c>
      <c r="K773" s="6" t="s">
        <v>2437</v>
      </c>
      <c r="L773" s="6">
        <v>95</v>
      </c>
      <c r="M773" s="6">
        <v>5000</v>
      </c>
      <c r="N773" s="6">
        <v>6.5</v>
      </c>
      <c r="O773" s="6">
        <v>1699</v>
      </c>
      <c r="P773" s="6" t="s">
        <v>2368</v>
      </c>
      <c r="Q773" s="6">
        <f>Table2_1[[#This Row],[Specs Score]] / (Table2_1[[#This Row],[Launched Price (USA)]] ^ 0.85)</f>
        <v>9.4078147584010438E-2</v>
      </c>
      <c r="R773" s="6">
        <f>IFERROR(Table2_1[[#This Row],[Launched Price (USA)]] / S773, "")</f>
        <v>32.436967774607297</v>
      </c>
      <c r="S77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52.378508737491543</v>
      </c>
      <c r="T773" s="6">
        <v>2023</v>
      </c>
    </row>
    <row r="774" spans="1:20" x14ac:dyDescent="0.25">
      <c r="A774" s="6" t="s">
        <v>1887</v>
      </c>
      <c r="B774" s="6" t="s">
        <v>1898</v>
      </c>
      <c r="C77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74" s="6">
        <v>178</v>
      </c>
      <c r="E774" s="6">
        <v>8</v>
      </c>
      <c r="F774" s="6">
        <v>12</v>
      </c>
      <c r="G774" s="6">
        <v>48</v>
      </c>
      <c r="H774" s="6"/>
      <c r="I774" s="6"/>
      <c r="J774" s="6" t="s">
        <v>401</v>
      </c>
      <c r="K774" s="6" t="s">
        <v>2437</v>
      </c>
      <c r="L774" s="6">
        <v>95</v>
      </c>
      <c r="M774" s="6">
        <v>5000</v>
      </c>
      <c r="N774" s="6">
        <v>6.1</v>
      </c>
      <c r="O774" s="6">
        <v>1099</v>
      </c>
      <c r="P774" s="6" t="s">
        <v>2368</v>
      </c>
      <c r="Q774" s="6">
        <f>Table2_1[[#This Row],[Specs Score]] / (Table2_1[[#This Row],[Launched Price (USA)]] ^ 0.85)</f>
        <v>0.11468342972248377</v>
      </c>
      <c r="R774" s="6">
        <f>IFERROR(Table2_1[[#This Row],[Launched Price (USA)]] / S774, "")</f>
        <v>24.925792847793648</v>
      </c>
      <c r="S77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44.090874328889399</v>
      </c>
      <c r="T774" s="6">
        <v>2023</v>
      </c>
    </row>
    <row r="775" spans="1:20" x14ac:dyDescent="0.25">
      <c r="A775" s="6" t="s">
        <v>1887</v>
      </c>
      <c r="B775" s="6" t="s">
        <v>1901</v>
      </c>
      <c r="C77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75" s="6">
        <v>190</v>
      </c>
      <c r="E775" s="6">
        <v>12</v>
      </c>
      <c r="F775" s="6">
        <v>12</v>
      </c>
      <c r="G775" s="6">
        <v>48</v>
      </c>
      <c r="H775" s="6"/>
      <c r="I775" s="6"/>
      <c r="J775" s="6" t="s">
        <v>737</v>
      </c>
      <c r="K775" s="6" t="s">
        <v>2437</v>
      </c>
      <c r="L775" s="6">
        <v>100</v>
      </c>
      <c r="M775" s="6">
        <v>5000</v>
      </c>
      <c r="N775" s="6">
        <v>6.5</v>
      </c>
      <c r="O775" s="6">
        <v>1799</v>
      </c>
      <c r="P775" s="6" t="s">
        <v>2368</v>
      </c>
      <c r="Q775" s="6">
        <f>Table2_1[[#This Row],[Specs Score]] / (Table2_1[[#This Row],[Launched Price (USA)]] ^ 0.85)</f>
        <v>9.1774382220089268E-2</v>
      </c>
      <c r="R775" s="6">
        <f>IFERROR(Table2_1[[#This Row],[Launched Price (USA)]] / S775, "")</f>
        <v>33.537694532303412</v>
      </c>
      <c r="S77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53.641135000117806</v>
      </c>
      <c r="T775" s="6">
        <v>2024</v>
      </c>
    </row>
    <row r="776" spans="1:20" x14ac:dyDescent="0.25">
      <c r="A776" s="6" t="s">
        <v>1887</v>
      </c>
      <c r="B776" s="6" t="s">
        <v>1904</v>
      </c>
      <c r="C77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76" s="6">
        <v>180</v>
      </c>
      <c r="E776" s="6">
        <v>8</v>
      </c>
      <c r="F776" s="6">
        <v>12</v>
      </c>
      <c r="G776" s="6">
        <v>48</v>
      </c>
      <c r="H776" s="6"/>
      <c r="I776" s="6"/>
      <c r="J776" s="6" t="s">
        <v>737</v>
      </c>
      <c r="K776" s="6" t="s">
        <v>2437</v>
      </c>
      <c r="L776" s="6">
        <v>100</v>
      </c>
      <c r="M776" s="6">
        <v>5000</v>
      </c>
      <c r="N776" s="6">
        <v>6.1</v>
      </c>
      <c r="O776" s="6">
        <v>1199</v>
      </c>
      <c r="P776" s="6" t="s">
        <v>2368</v>
      </c>
      <c r="Q776" s="6">
        <f>Table2_1[[#This Row],[Specs Score]] / (Table2_1[[#This Row],[Launched Price (USA)]] ^ 0.85)</f>
        <v>0.10955053628153673</v>
      </c>
      <c r="R776" s="6">
        <f>IFERROR(Table2_1[[#This Row],[Launched Price (USA)]] / S776, "")</f>
        <v>26.436768592550461</v>
      </c>
      <c r="S77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45.353500591515662</v>
      </c>
      <c r="T776" s="6">
        <v>2024</v>
      </c>
    </row>
    <row r="777" spans="1:20" x14ac:dyDescent="0.25">
      <c r="A777" s="6" t="s">
        <v>1887</v>
      </c>
      <c r="B777" s="6" t="s">
        <v>1892</v>
      </c>
      <c r="C77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77" s="6">
        <v>161</v>
      </c>
      <c r="E777" s="6">
        <v>6</v>
      </c>
      <c r="F777" s="6">
        <v>8</v>
      </c>
      <c r="G777" s="6">
        <v>12</v>
      </c>
      <c r="H777" s="6"/>
      <c r="I777" s="6"/>
      <c r="J777" s="6" t="s">
        <v>680</v>
      </c>
      <c r="K777" s="6" t="s">
        <v>2438</v>
      </c>
      <c r="L777" s="6">
        <v>40</v>
      </c>
      <c r="M777" s="6">
        <v>5000</v>
      </c>
      <c r="N777" s="6">
        <v>6</v>
      </c>
      <c r="O777" s="6">
        <v>499</v>
      </c>
      <c r="P777" s="6" t="s">
        <v>2368</v>
      </c>
      <c r="Q777" s="6">
        <f>Table2_1[[#This Row],[Specs Score]] / (Table2_1[[#This Row],[Launched Price (USA)]] ^ 0.85)</f>
        <v>0.13007970174190087</v>
      </c>
      <c r="R777" s="6">
        <f>IFERROR(Table2_1[[#This Row],[Launched Price (USA)]] / S777, "")</f>
        <v>19.521156778643288</v>
      </c>
      <c r="S77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25.562009754766198</v>
      </c>
      <c r="T777" s="6">
        <v>2022</v>
      </c>
    </row>
    <row r="778" spans="1:20" x14ac:dyDescent="0.25">
      <c r="A778" s="6" t="s">
        <v>1887</v>
      </c>
      <c r="B778" s="6" t="s">
        <v>1900</v>
      </c>
      <c r="C77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78" s="6">
        <v>164</v>
      </c>
      <c r="E778" s="6">
        <v>6</v>
      </c>
      <c r="F778" s="6">
        <v>8</v>
      </c>
      <c r="G778" s="6">
        <v>48</v>
      </c>
      <c r="H778" s="6"/>
      <c r="I778" s="6"/>
      <c r="J778" s="6" t="s">
        <v>680</v>
      </c>
      <c r="K778" s="6" t="s">
        <v>2438</v>
      </c>
      <c r="L778" s="6">
        <v>40</v>
      </c>
      <c r="M778" s="6">
        <v>5000</v>
      </c>
      <c r="N778" s="6">
        <v>6.1</v>
      </c>
      <c r="O778" s="6">
        <v>599</v>
      </c>
      <c r="P778" s="6" t="s">
        <v>2368</v>
      </c>
      <c r="Q778" s="6">
        <f>Table2_1[[#This Row],[Specs Score]] / (Table2_1[[#This Row],[Launched Price (USA)]] ^ 0.85)</f>
        <v>0.11987112389620104</v>
      </c>
      <c r="R778" s="6">
        <f>IFERROR(Table2_1[[#This Row],[Launched Price (USA)]] / S778, "")</f>
        <v>21.772056171690554</v>
      </c>
      <c r="S77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27.512330267586709</v>
      </c>
      <c r="T778" s="6">
        <v>2023</v>
      </c>
    </row>
    <row r="779" spans="1:20" x14ac:dyDescent="0.25">
      <c r="A779" s="6" t="s">
        <v>1887</v>
      </c>
      <c r="B779" s="6" t="s">
        <v>1905</v>
      </c>
      <c r="C77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79" s="6">
        <v>167</v>
      </c>
      <c r="E779" s="6">
        <v>6</v>
      </c>
      <c r="F779" s="6">
        <v>8</v>
      </c>
      <c r="G779" s="6">
        <v>48</v>
      </c>
      <c r="H779" s="6"/>
      <c r="I779" s="6"/>
      <c r="J779" s="6" t="s">
        <v>1648</v>
      </c>
      <c r="K779" s="6" t="s">
        <v>2438</v>
      </c>
      <c r="L779" s="6">
        <v>55</v>
      </c>
      <c r="M779" s="6">
        <v>5000</v>
      </c>
      <c r="N779" s="6">
        <v>6.1</v>
      </c>
      <c r="O779" s="6">
        <v>699</v>
      </c>
      <c r="P779" s="6" t="s">
        <v>2368</v>
      </c>
      <c r="Q779" s="6">
        <f>Table2_1[[#This Row],[Specs Score]] / (Table2_1[[#This Row],[Launched Price (USA)]] ^ 0.85)</f>
        <v>0.11960288038289557</v>
      </c>
      <c r="R779" s="6">
        <f>IFERROR(Table2_1[[#This Row],[Launched Price (USA)]] / S779, "")</f>
        <v>22.332119212409665</v>
      </c>
      <c r="S77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31.300209055465494</v>
      </c>
      <c r="T779" s="6">
        <v>2024</v>
      </c>
    </row>
    <row r="780" spans="1:20" x14ac:dyDescent="0.25">
      <c r="A780" s="6" t="s">
        <v>1981</v>
      </c>
      <c r="B780" s="6" t="s">
        <v>1982</v>
      </c>
      <c r="C780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780" s="6">
        <v>190</v>
      </c>
      <c r="E780" s="6">
        <v>4</v>
      </c>
      <c r="F780" s="6">
        <v>8</v>
      </c>
      <c r="G780" s="6">
        <v>13</v>
      </c>
      <c r="H780" s="6"/>
      <c r="I780" s="6"/>
      <c r="J780" s="6" t="s">
        <v>2396</v>
      </c>
      <c r="K780" s="6" t="s">
        <v>2439</v>
      </c>
      <c r="L780" s="6">
        <v>2</v>
      </c>
      <c r="M780" s="6">
        <v>5000</v>
      </c>
      <c r="N780" s="6">
        <v>6.6</v>
      </c>
      <c r="O780" s="6">
        <v>129</v>
      </c>
      <c r="P780" s="6" t="s">
        <v>2368</v>
      </c>
      <c r="Q780" s="6">
        <f>Table2_1[[#This Row],[Specs Score]] / (Table2_1[[#This Row],[Launched Price (USA)]] ^ 0.85)</f>
        <v>0.20419099844415078</v>
      </c>
      <c r="R780" s="6">
        <f>IFERROR(Table2_1[[#This Row],[Launched Price (USA)]] / S780, "")</f>
        <v>10.152005954367477</v>
      </c>
      <c r="S78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12.706848339120913</v>
      </c>
      <c r="T780" s="6">
        <v>2024</v>
      </c>
    </row>
    <row r="781" spans="1:20" x14ac:dyDescent="0.25">
      <c r="A781" s="6" t="s">
        <v>1981</v>
      </c>
      <c r="B781" s="6" t="s">
        <v>1984</v>
      </c>
      <c r="C78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81" s="6">
        <v>450</v>
      </c>
      <c r="E781" s="6">
        <v>8</v>
      </c>
      <c r="F781" s="6">
        <v>13</v>
      </c>
      <c r="G781" s="6">
        <v>50</v>
      </c>
      <c r="H781" s="6"/>
      <c r="I781" s="6"/>
      <c r="J781" s="6" t="s">
        <v>2390</v>
      </c>
      <c r="K781" s="6" t="s">
        <v>2439</v>
      </c>
      <c r="L781" s="6">
        <v>22</v>
      </c>
      <c r="M781" s="6">
        <v>8000</v>
      </c>
      <c r="N781" s="6">
        <v>11</v>
      </c>
      <c r="O781" s="6">
        <v>349</v>
      </c>
      <c r="P781" s="6" t="s">
        <v>2369</v>
      </c>
      <c r="Q781" s="6">
        <f>Table2_1[[#This Row],[Specs Score]] / (Table2_1[[#This Row],[Launched Price (USA)]] ^ 0.85)</f>
        <v>0.27444736306824435</v>
      </c>
      <c r="R781" s="6">
        <f>IFERROR(Table2_1[[#This Row],[Launched Price (USA)]] / S781, "")</f>
        <v>8.769296446531186</v>
      </c>
      <c r="S78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39.797947546641744</v>
      </c>
      <c r="T781" s="6">
        <v>2024</v>
      </c>
    </row>
    <row r="782" spans="1:20" x14ac:dyDescent="0.25">
      <c r="A782" s="6" t="s">
        <v>1981</v>
      </c>
      <c r="B782" s="6" t="s">
        <v>1988</v>
      </c>
      <c r="C782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782" s="6">
        <v>195</v>
      </c>
      <c r="E782" s="6">
        <v>3</v>
      </c>
      <c r="F782" s="6">
        <v>5</v>
      </c>
      <c r="G782" s="6">
        <v>8</v>
      </c>
      <c r="H782" s="6"/>
      <c r="I782" s="6"/>
      <c r="J782" s="6" t="s">
        <v>1626</v>
      </c>
      <c r="K782" s="6" t="s">
        <v>2439</v>
      </c>
      <c r="L782" s="6">
        <v>3</v>
      </c>
      <c r="M782" s="6">
        <v>5000</v>
      </c>
      <c r="N782" s="6">
        <v>6.52</v>
      </c>
      <c r="O782" s="6">
        <v>99</v>
      </c>
      <c r="P782" s="6" t="s">
        <v>2368</v>
      </c>
      <c r="Q782" s="6">
        <f>Table2_1[[#This Row],[Specs Score]] / (Table2_1[[#This Row],[Launched Price (USA)]] ^ 0.85)</f>
        <v>0.22342229556684304</v>
      </c>
      <c r="R782" s="6">
        <f>IFERROR(Table2_1[[#This Row],[Launched Price (USA)]] / S782, "")</f>
        <v>8.9170000587571838</v>
      </c>
      <c r="S78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11.10238862259223</v>
      </c>
      <c r="T782" s="6">
        <v>2024</v>
      </c>
    </row>
    <row r="783" spans="1:20" x14ac:dyDescent="0.25">
      <c r="A783" s="6" t="s">
        <v>1981</v>
      </c>
      <c r="B783" s="6" t="s">
        <v>1990</v>
      </c>
      <c r="C78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83" s="6">
        <v>420</v>
      </c>
      <c r="E783" s="6">
        <v>6</v>
      </c>
      <c r="F783" s="6">
        <v>12</v>
      </c>
      <c r="G783" s="6">
        <v>50</v>
      </c>
      <c r="H783" s="6"/>
      <c r="I783" s="6"/>
      <c r="J783" s="6" t="s">
        <v>2385</v>
      </c>
      <c r="K783" s="6" t="s">
        <v>2439</v>
      </c>
      <c r="L783" s="6">
        <v>10</v>
      </c>
      <c r="M783" s="6">
        <v>7500</v>
      </c>
      <c r="N783" s="6">
        <v>10.9</v>
      </c>
      <c r="O783" s="6">
        <v>299</v>
      </c>
      <c r="P783" s="6" t="s">
        <v>2369</v>
      </c>
      <c r="Q783" s="6">
        <f>Table2_1[[#This Row],[Specs Score]] / (Table2_1[[#This Row],[Launched Price (USA)]] ^ 0.85)</f>
        <v>0.23440498955406155</v>
      </c>
      <c r="R783" s="6">
        <f>IFERROR(Table2_1[[#This Row],[Launched Price (USA)]] / S783, "")</f>
        <v>10.031914599256021</v>
      </c>
      <c r="S78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29.804878923328772</v>
      </c>
      <c r="T783" s="6">
        <v>2024</v>
      </c>
    </row>
    <row r="784" spans="1:20" x14ac:dyDescent="0.25">
      <c r="A784" s="6" t="s">
        <v>1981</v>
      </c>
      <c r="B784" s="6" t="s">
        <v>1994</v>
      </c>
      <c r="C78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84" s="6">
        <v>200</v>
      </c>
      <c r="E784" s="6">
        <v>6</v>
      </c>
      <c r="F784" s="6">
        <v>16</v>
      </c>
      <c r="G784" s="6">
        <v>50</v>
      </c>
      <c r="H784" s="6"/>
      <c r="I784" s="6"/>
      <c r="J784" s="6" t="s">
        <v>2383</v>
      </c>
      <c r="K784" s="6" t="s">
        <v>2439</v>
      </c>
      <c r="L784" s="6">
        <v>22</v>
      </c>
      <c r="M784" s="6">
        <v>5000</v>
      </c>
      <c r="N784" s="6">
        <v>6.6</v>
      </c>
      <c r="O784" s="6">
        <v>199</v>
      </c>
      <c r="P784" s="6" t="s">
        <v>2368</v>
      </c>
      <c r="Q784" s="6">
        <f>Table2_1[[#This Row],[Specs Score]] / (Table2_1[[#This Row],[Launched Price (USA)]] ^ 0.85)</f>
        <v>0.27757872932205602</v>
      </c>
      <c r="R784" s="6">
        <f>IFERROR(Table2_1[[#This Row],[Launched Price (USA)]] / S784, "")</f>
        <v>7.9696964099232597</v>
      </c>
      <c r="S78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24.969583502857191</v>
      </c>
      <c r="T784" s="6">
        <v>2024</v>
      </c>
    </row>
    <row r="785" spans="1:20" x14ac:dyDescent="0.25">
      <c r="A785" s="6" t="s">
        <v>1981</v>
      </c>
      <c r="B785" s="6" t="s">
        <v>1995</v>
      </c>
      <c r="C78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85" s="6">
        <v>195</v>
      </c>
      <c r="E785" s="6">
        <v>6</v>
      </c>
      <c r="F785" s="6">
        <v>16</v>
      </c>
      <c r="G785" s="6">
        <v>50</v>
      </c>
      <c r="H785" s="6"/>
      <c r="I785" s="6"/>
      <c r="J785" s="6" t="s">
        <v>2381</v>
      </c>
      <c r="K785" s="6" t="s">
        <v>2439</v>
      </c>
      <c r="L785" s="6">
        <v>20</v>
      </c>
      <c r="M785" s="6">
        <v>5000</v>
      </c>
      <c r="N785" s="6">
        <v>6.6</v>
      </c>
      <c r="O785" s="6">
        <v>229</v>
      </c>
      <c r="P785" s="6" t="s">
        <v>2368</v>
      </c>
      <c r="Q785" s="6">
        <f>Table2_1[[#This Row],[Specs Score]] / (Table2_1[[#This Row],[Launched Price (USA)]] ^ 0.85)</f>
        <v>0.24136637611202502</v>
      </c>
      <c r="R785" s="6">
        <f>IFERROR(Table2_1[[#This Row],[Launched Price (USA)]] / S785, "")</f>
        <v>9.3604893263456326</v>
      </c>
      <c r="S78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24.464532997806685</v>
      </c>
      <c r="T785" s="6">
        <v>2024</v>
      </c>
    </row>
    <row r="786" spans="1:20" x14ac:dyDescent="0.25">
      <c r="A786" s="6" t="s">
        <v>1981</v>
      </c>
      <c r="B786" s="6" t="s">
        <v>1996</v>
      </c>
      <c r="C786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786" s="6">
        <v>190</v>
      </c>
      <c r="E786" s="6">
        <v>3</v>
      </c>
      <c r="F786" s="6">
        <v>5</v>
      </c>
      <c r="G786" s="6">
        <v>8</v>
      </c>
      <c r="H786" s="6"/>
      <c r="I786" s="6"/>
      <c r="J786" s="6" t="s">
        <v>1997</v>
      </c>
      <c r="K786" s="6" t="s">
        <v>2439</v>
      </c>
      <c r="L786" s="6">
        <v>2</v>
      </c>
      <c r="M786" s="6">
        <v>5000</v>
      </c>
      <c r="N786" s="6">
        <v>6.52</v>
      </c>
      <c r="O786" s="6">
        <v>89</v>
      </c>
      <c r="P786" s="6" t="s">
        <v>2368</v>
      </c>
      <c r="Q786" s="6">
        <f>Table2_1[[#This Row],[Specs Score]] / (Table2_1[[#This Row],[Launched Price (USA)]] ^ 0.85)</f>
        <v>0.23902468999073595</v>
      </c>
      <c r="R786" s="6">
        <f>IFERROR(Table2_1[[#This Row],[Launched Price (USA)]] / S786, "")</f>
        <v>8.2028682725661461</v>
      </c>
      <c r="S78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10.849863370066977</v>
      </c>
      <c r="T786" s="6">
        <v>2024</v>
      </c>
    </row>
    <row r="787" spans="1:20" x14ac:dyDescent="0.25">
      <c r="A787" s="6" t="s">
        <v>1981</v>
      </c>
      <c r="B787" s="6" t="s">
        <v>2002</v>
      </c>
      <c r="C78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87" s="6">
        <v>205</v>
      </c>
      <c r="E787" s="6">
        <v>8</v>
      </c>
      <c r="F787" s="6">
        <v>32</v>
      </c>
      <c r="G787" s="6">
        <v>50</v>
      </c>
      <c r="H787" s="6"/>
      <c r="I787" s="6"/>
      <c r="J787" s="6" t="s">
        <v>2390</v>
      </c>
      <c r="K787" s="6" t="s">
        <v>2439</v>
      </c>
      <c r="L787" s="6">
        <v>22</v>
      </c>
      <c r="M787" s="6">
        <v>5200</v>
      </c>
      <c r="N787" s="6">
        <v>6.8</v>
      </c>
      <c r="O787" s="6">
        <v>269</v>
      </c>
      <c r="P787" s="6" t="s">
        <v>2368</v>
      </c>
      <c r="Q787" s="6">
        <f>Table2_1[[#This Row],[Specs Score]] / (Table2_1[[#This Row],[Launched Price (USA)]] ^ 0.85)</f>
        <v>0.29369229832391275</v>
      </c>
      <c r="R787" s="6">
        <f>IFERROR(Table2_1[[#This Row],[Launched Price (USA)]] / S787, "")</f>
        <v>7.8807996015278343</v>
      </c>
      <c r="S78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34.133592224302916</v>
      </c>
      <c r="T787" s="6">
        <v>2024</v>
      </c>
    </row>
    <row r="788" spans="1:20" x14ac:dyDescent="0.25">
      <c r="A788" s="6" t="s">
        <v>1981</v>
      </c>
      <c r="B788" s="6" t="s">
        <v>2003</v>
      </c>
      <c r="C78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88" s="6">
        <v>192</v>
      </c>
      <c r="E788" s="6">
        <v>4</v>
      </c>
      <c r="F788" s="6">
        <v>16</v>
      </c>
      <c r="G788" s="6">
        <v>50</v>
      </c>
      <c r="H788" s="6"/>
      <c r="I788" s="6"/>
      <c r="J788" s="6" t="s">
        <v>2391</v>
      </c>
      <c r="K788" s="6" t="s">
        <v>2439</v>
      </c>
      <c r="L788" s="6">
        <v>12</v>
      </c>
      <c r="M788" s="6">
        <v>5000</v>
      </c>
      <c r="N788" s="6">
        <v>6.6</v>
      </c>
      <c r="O788" s="6">
        <v>179</v>
      </c>
      <c r="P788" s="6" t="s">
        <v>2368</v>
      </c>
      <c r="Q788" s="6">
        <f>Table2_1[[#This Row],[Specs Score]] / (Table2_1[[#This Row],[Launched Price (USA)]] ^ 0.85)</f>
        <v>0.24868399006910197</v>
      </c>
      <c r="R788" s="6">
        <f>IFERROR(Table2_1[[#This Row],[Launched Price (USA)]] / S788, "")</f>
        <v>8.755483375615567</v>
      </c>
      <c r="S78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20.444330977604665</v>
      </c>
      <c r="T788" s="6">
        <v>2024</v>
      </c>
    </row>
    <row r="789" spans="1:20" x14ac:dyDescent="0.25">
      <c r="A789" s="6" t="s">
        <v>1981</v>
      </c>
      <c r="B789" s="6" t="s">
        <v>2012</v>
      </c>
      <c r="C78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89" s="6">
        <v>190</v>
      </c>
      <c r="E789" s="6">
        <v>4</v>
      </c>
      <c r="F789" s="6">
        <v>16</v>
      </c>
      <c r="G789" s="6">
        <v>50</v>
      </c>
      <c r="H789" s="6"/>
      <c r="I789" s="6"/>
      <c r="J789" s="6" t="s">
        <v>2391</v>
      </c>
      <c r="K789" s="6" t="s">
        <v>2439</v>
      </c>
      <c r="L789" s="6">
        <v>12</v>
      </c>
      <c r="M789" s="6">
        <v>5000</v>
      </c>
      <c r="N789" s="6">
        <v>6.6</v>
      </c>
      <c r="O789" s="6">
        <v>149</v>
      </c>
      <c r="P789" s="6" t="s">
        <v>2368</v>
      </c>
      <c r="Q789" s="6">
        <f>Table2_1[[#This Row],[Specs Score]] / (Table2_1[[#This Row],[Launched Price (USA)]] ^ 0.85)</f>
        <v>0.29064615037497377</v>
      </c>
      <c r="R789" s="6">
        <f>IFERROR(Table2_1[[#This Row],[Launched Price (USA)]] / S789, "")</f>
        <v>7.2880839271883771</v>
      </c>
      <c r="S78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20.444330977604665</v>
      </c>
      <c r="T789" s="6">
        <v>2024</v>
      </c>
    </row>
    <row r="790" spans="1:20" x14ac:dyDescent="0.25">
      <c r="A790" s="6" t="s">
        <v>1981</v>
      </c>
      <c r="B790" s="6" t="s">
        <v>2013</v>
      </c>
      <c r="C790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790" s="6">
        <v>195</v>
      </c>
      <c r="E790" s="6">
        <v>3</v>
      </c>
      <c r="F790" s="6">
        <v>5</v>
      </c>
      <c r="G790" s="6">
        <v>8</v>
      </c>
      <c r="H790" s="6"/>
      <c r="I790" s="6"/>
      <c r="J790" s="6" t="s">
        <v>1626</v>
      </c>
      <c r="K790" s="6" t="s">
        <v>2439</v>
      </c>
      <c r="L790" s="6">
        <v>3</v>
      </c>
      <c r="M790" s="6">
        <v>5000</v>
      </c>
      <c r="N790" s="6">
        <v>6.52</v>
      </c>
      <c r="O790" s="6">
        <v>99</v>
      </c>
      <c r="P790" s="6" t="s">
        <v>2368</v>
      </c>
      <c r="Q790" s="6">
        <f>Table2_1[[#This Row],[Specs Score]] / (Table2_1[[#This Row],[Launched Price (USA)]] ^ 0.85)</f>
        <v>0.22342229556684304</v>
      </c>
      <c r="R790" s="6">
        <f>IFERROR(Table2_1[[#This Row],[Launched Price (USA)]] / S790, "")</f>
        <v>8.9170000587571838</v>
      </c>
      <c r="S79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11.10238862259223</v>
      </c>
      <c r="T790" s="6">
        <v>2024</v>
      </c>
    </row>
    <row r="791" spans="1:20" x14ac:dyDescent="0.25">
      <c r="A791" s="6" t="s">
        <v>1981</v>
      </c>
      <c r="B791" s="6" t="s">
        <v>2015</v>
      </c>
      <c r="C79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91" s="6">
        <v>195</v>
      </c>
      <c r="E791" s="6">
        <v>4</v>
      </c>
      <c r="F791" s="6">
        <v>16</v>
      </c>
      <c r="G791" s="6">
        <v>50</v>
      </c>
      <c r="H791" s="6"/>
      <c r="I791" s="6"/>
      <c r="J791" s="6" t="s">
        <v>2391</v>
      </c>
      <c r="K791" s="6" t="s">
        <v>2439</v>
      </c>
      <c r="L791" s="6">
        <v>12</v>
      </c>
      <c r="M791" s="6">
        <v>5000</v>
      </c>
      <c r="N791" s="6">
        <v>6.6</v>
      </c>
      <c r="O791" s="6">
        <v>179</v>
      </c>
      <c r="P791" s="6" t="s">
        <v>2368</v>
      </c>
      <c r="Q791" s="6">
        <f>Table2_1[[#This Row],[Specs Score]] / (Table2_1[[#This Row],[Launched Price (USA)]] ^ 0.85)</f>
        <v>0.24868399006910197</v>
      </c>
      <c r="R791" s="6">
        <f>IFERROR(Table2_1[[#This Row],[Launched Price (USA)]] / S791, "")</f>
        <v>8.755483375615567</v>
      </c>
      <c r="S79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20.444330977604665</v>
      </c>
      <c r="T791" s="6">
        <v>2024</v>
      </c>
    </row>
    <row r="792" spans="1:20" x14ac:dyDescent="0.25">
      <c r="A792" s="6" t="s">
        <v>1981</v>
      </c>
      <c r="B792" s="6" t="s">
        <v>2017</v>
      </c>
      <c r="C79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92" s="6">
        <v>230</v>
      </c>
      <c r="E792" s="6">
        <v>8</v>
      </c>
      <c r="F792" s="6">
        <v>16</v>
      </c>
      <c r="G792" s="6">
        <v>50</v>
      </c>
      <c r="H792" s="6"/>
      <c r="I792" s="6"/>
      <c r="J792" s="6" t="s">
        <v>2390</v>
      </c>
      <c r="K792" s="6" t="s">
        <v>2439</v>
      </c>
      <c r="L792" s="6">
        <v>22</v>
      </c>
      <c r="M792" s="6">
        <v>6000</v>
      </c>
      <c r="N792" s="6">
        <v>6.8</v>
      </c>
      <c r="O792" s="6">
        <v>299</v>
      </c>
      <c r="P792" s="6" t="s">
        <v>2368</v>
      </c>
      <c r="Q792" s="6">
        <f>Table2_1[[#This Row],[Specs Score]] / (Table2_1[[#This Row],[Launched Price (USA)]] ^ 0.85)</f>
        <v>0.25701146222040505</v>
      </c>
      <c r="R792" s="6">
        <f>IFERROR(Table2_1[[#This Row],[Launched Price (USA)]] / S792, "")</f>
        <v>9.1495173659968732</v>
      </c>
      <c r="S79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32.679319360734702</v>
      </c>
      <c r="T792" s="6">
        <v>2024</v>
      </c>
    </row>
    <row r="793" spans="1:20" x14ac:dyDescent="0.25">
      <c r="A793" s="6" t="s">
        <v>1981</v>
      </c>
      <c r="B793" s="6" t="s">
        <v>2023</v>
      </c>
      <c r="C79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93" s="6">
        <v>195</v>
      </c>
      <c r="E793" s="6">
        <v>6</v>
      </c>
      <c r="F793" s="6">
        <v>32</v>
      </c>
      <c r="G793" s="6">
        <v>50</v>
      </c>
      <c r="H793" s="6"/>
      <c r="I793" s="6"/>
      <c r="J793" s="6" t="s">
        <v>2390</v>
      </c>
      <c r="K793" s="6" t="s">
        <v>2439</v>
      </c>
      <c r="L793" s="6">
        <v>22</v>
      </c>
      <c r="M793" s="6">
        <v>5000</v>
      </c>
      <c r="N793" s="6">
        <v>6.7</v>
      </c>
      <c r="O793" s="6">
        <v>349</v>
      </c>
      <c r="P793" s="6" t="s">
        <v>2368</v>
      </c>
      <c r="Q793" s="6">
        <f>Table2_1[[#This Row],[Specs Score]] / (Table2_1[[#This Row],[Launched Price (USA)]] ^ 0.85)</f>
        <v>0.19193253072377822</v>
      </c>
      <c r="R793" s="6">
        <f>IFERROR(Table2_1[[#This Row],[Launched Price (USA)]] / S793, "")</f>
        <v>12.539355765479135</v>
      </c>
      <c r="S79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27.832370859179026</v>
      </c>
      <c r="T793" s="6">
        <v>2024</v>
      </c>
    </row>
    <row r="794" spans="1:20" x14ac:dyDescent="0.25">
      <c r="A794" s="6" t="s">
        <v>1981</v>
      </c>
      <c r="B794" s="6" t="s">
        <v>2025</v>
      </c>
      <c r="C79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794" s="6">
        <v>210</v>
      </c>
      <c r="E794" s="6">
        <v>8</v>
      </c>
      <c r="F794" s="6">
        <v>32</v>
      </c>
      <c r="G794" s="6">
        <v>50</v>
      </c>
      <c r="H794" s="6"/>
      <c r="I794" s="6"/>
      <c r="J794" s="6" t="s">
        <v>2390</v>
      </c>
      <c r="K794" s="6" t="s">
        <v>2439</v>
      </c>
      <c r="L794" s="6">
        <v>22</v>
      </c>
      <c r="M794" s="6">
        <v>5200</v>
      </c>
      <c r="N794" s="6">
        <v>6.8</v>
      </c>
      <c r="O794" s="6">
        <v>269</v>
      </c>
      <c r="P794" s="6" t="s">
        <v>2368</v>
      </c>
      <c r="Q794" s="6">
        <f>Table2_1[[#This Row],[Specs Score]] / (Table2_1[[#This Row],[Launched Price (USA)]] ^ 0.85)</f>
        <v>0.29369229832391275</v>
      </c>
      <c r="R794" s="6">
        <f>IFERROR(Table2_1[[#This Row],[Launched Price (USA)]] / S794, "")</f>
        <v>7.8807996015278343</v>
      </c>
      <c r="S79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34.133592224302916</v>
      </c>
      <c r="T794" s="6">
        <v>2024</v>
      </c>
    </row>
    <row r="795" spans="1:20" x14ac:dyDescent="0.25">
      <c r="A795" s="6" t="s">
        <v>1981</v>
      </c>
      <c r="B795" s="6" t="s">
        <v>2026</v>
      </c>
      <c r="C79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95" s="6">
        <v>195</v>
      </c>
      <c r="E795" s="6">
        <v>6</v>
      </c>
      <c r="F795" s="6">
        <v>16</v>
      </c>
      <c r="G795" s="6">
        <v>50</v>
      </c>
      <c r="H795" s="6"/>
      <c r="I795" s="6"/>
      <c r="J795" s="6" t="s">
        <v>2391</v>
      </c>
      <c r="K795" s="6" t="s">
        <v>2439</v>
      </c>
      <c r="L795" s="6">
        <v>12</v>
      </c>
      <c r="M795" s="6">
        <v>5000</v>
      </c>
      <c r="N795" s="6">
        <v>6.6</v>
      </c>
      <c r="O795" s="6">
        <v>199</v>
      </c>
      <c r="P795" s="6" t="s">
        <v>2368</v>
      </c>
      <c r="Q795" s="6">
        <f>Table2_1[[#This Row],[Specs Score]] / (Table2_1[[#This Row],[Launched Price (USA)]] ^ 0.85)</f>
        <v>0.24950631925976161</v>
      </c>
      <c r="R795" s="6">
        <f>IFERROR(Table2_1[[#This Row],[Launched Price (USA)]] / S795, "")</f>
        <v>8.8663814572403865</v>
      </c>
      <c r="S79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22.444330977604665</v>
      </c>
      <c r="T795" s="6">
        <v>2024</v>
      </c>
    </row>
    <row r="796" spans="1:20" x14ac:dyDescent="0.25">
      <c r="A796" s="6" t="s">
        <v>1981</v>
      </c>
      <c r="B796" s="6" t="s">
        <v>2027</v>
      </c>
      <c r="C79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96" s="6">
        <v>192</v>
      </c>
      <c r="E796" s="6">
        <v>4</v>
      </c>
      <c r="F796" s="6">
        <v>16</v>
      </c>
      <c r="G796" s="6">
        <v>50</v>
      </c>
      <c r="H796" s="6"/>
      <c r="I796" s="6"/>
      <c r="J796" s="6" t="s">
        <v>2391</v>
      </c>
      <c r="K796" s="6" t="s">
        <v>2439</v>
      </c>
      <c r="L796" s="6">
        <v>12</v>
      </c>
      <c r="M796" s="6">
        <v>5000</v>
      </c>
      <c r="N796" s="6">
        <v>6.6</v>
      </c>
      <c r="O796" s="6">
        <v>179</v>
      </c>
      <c r="P796" s="6" t="s">
        <v>2368</v>
      </c>
      <c r="Q796" s="6">
        <f>Table2_1[[#This Row],[Specs Score]] / (Table2_1[[#This Row],[Launched Price (USA)]] ^ 0.85)</f>
        <v>0.24868399006910197</v>
      </c>
      <c r="R796" s="6">
        <f>IFERROR(Table2_1[[#This Row],[Launched Price (USA)]] / S796, "")</f>
        <v>8.755483375615567</v>
      </c>
      <c r="S79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20.444330977604665</v>
      </c>
      <c r="T796" s="6">
        <v>2024</v>
      </c>
    </row>
    <row r="797" spans="1:20" x14ac:dyDescent="0.25">
      <c r="A797" s="6" t="s">
        <v>1981</v>
      </c>
      <c r="B797" s="6" t="s">
        <v>2028</v>
      </c>
      <c r="C79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797" s="6">
        <v>190</v>
      </c>
      <c r="E797" s="6">
        <v>4</v>
      </c>
      <c r="F797" s="6">
        <v>16</v>
      </c>
      <c r="G797" s="6">
        <v>50</v>
      </c>
      <c r="H797" s="6"/>
      <c r="I797" s="6"/>
      <c r="J797" s="6" t="s">
        <v>2391</v>
      </c>
      <c r="K797" s="6" t="s">
        <v>2439</v>
      </c>
      <c r="L797" s="6">
        <v>12</v>
      </c>
      <c r="M797" s="6">
        <v>5000</v>
      </c>
      <c r="N797" s="6">
        <v>6.6</v>
      </c>
      <c r="O797" s="6">
        <v>149</v>
      </c>
      <c r="P797" s="6" t="s">
        <v>2368</v>
      </c>
      <c r="Q797" s="6">
        <f>Table2_1[[#This Row],[Specs Score]] / (Table2_1[[#This Row],[Launched Price (USA)]] ^ 0.85)</f>
        <v>0.29064615037497377</v>
      </c>
      <c r="R797" s="6">
        <f>IFERROR(Table2_1[[#This Row],[Launched Price (USA)]] / S797, "")</f>
        <v>7.2880839271883771</v>
      </c>
      <c r="S79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20.444330977604665</v>
      </c>
      <c r="T797" s="6">
        <v>2024</v>
      </c>
    </row>
    <row r="798" spans="1:20" x14ac:dyDescent="0.25">
      <c r="A798" s="6" t="s">
        <v>1981</v>
      </c>
      <c r="B798" s="6" t="s">
        <v>2029</v>
      </c>
      <c r="C798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798" s="6">
        <v>195</v>
      </c>
      <c r="E798" s="6">
        <v>3</v>
      </c>
      <c r="F798" s="6">
        <v>5</v>
      </c>
      <c r="G798" s="6">
        <v>8</v>
      </c>
      <c r="H798" s="6"/>
      <c r="I798" s="6"/>
      <c r="J798" s="6" t="s">
        <v>1626</v>
      </c>
      <c r="K798" s="6" t="s">
        <v>2439</v>
      </c>
      <c r="L798" s="6">
        <v>3</v>
      </c>
      <c r="M798" s="6">
        <v>5000</v>
      </c>
      <c r="N798" s="6">
        <v>6.52</v>
      </c>
      <c r="O798" s="6">
        <v>99</v>
      </c>
      <c r="P798" s="6" t="s">
        <v>2368</v>
      </c>
      <c r="Q798" s="6">
        <f>Table2_1[[#This Row],[Specs Score]] / (Table2_1[[#This Row],[Launched Price (USA)]] ^ 0.85)</f>
        <v>0.22342229556684304</v>
      </c>
      <c r="R798" s="6">
        <f>IFERROR(Table2_1[[#This Row],[Launched Price (USA)]] / S798, "")</f>
        <v>8.9170000587571838</v>
      </c>
      <c r="S79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11.10238862259223</v>
      </c>
      <c r="T798" s="6">
        <v>2024</v>
      </c>
    </row>
    <row r="799" spans="1:20" x14ac:dyDescent="0.25">
      <c r="A799" s="6" t="s">
        <v>1981</v>
      </c>
      <c r="B799" s="6" t="s">
        <v>2030</v>
      </c>
      <c r="C799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799" s="6">
        <v>195</v>
      </c>
      <c r="E799" s="6">
        <v>3</v>
      </c>
      <c r="F799" s="6">
        <v>5</v>
      </c>
      <c r="G799" s="6">
        <v>8</v>
      </c>
      <c r="H799" s="6"/>
      <c r="I799" s="6"/>
      <c r="J799" s="6" t="s">
        <v>1997</v>
      </c>
      <c r="K799" s="6" t="s">
        <v>2439</v>
      </c>
      <c r="L799" s="6">
        <v>2</v>
      </c>
      <c r="M799" s="6">
        <v>5000</v>
      </c>
      <c r="N799" s="6">
        <v>6.52</v>
      </c>
      <c r="O799" s="6">
        <v>89</v>
      </c>
      <c r="P799" s="6" t="s">
        <v>2368</v>
      </c>
      <c r="Q799" s="6">
        <f>Table2_1[[#This Row],[Specs Score]] / (Table2_1[[#This Row],[Launched Price (USA)]] ^ 0.85)</f>
        <v>0.23902468999073595</v>
      </c>
      <c r="R799" s="6">
        <f>IFERROR(Table2_1[[#This Row],[Launched Price (USA)]] / S799, "")</f>
        <v>8.2028682725661461</v>
      </c>
      <c r="S79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10.849863370066977</v>
      </c>
      <c r="T799" s="6">
        <v>2024</v>
      </c>
    </row>
    <row r="800" spans="1:20" x14ac:dyDescent="0.25">
      <c r="A800" s="6" t="s">
        <v>1981</v>
      </c>
      <c r="B800" s="6" t="s">
        <v>2033</v>
      </c>
      <c r="C80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00" s="6">
        <v>200</v>
      </c>
      <c r="E800" s="6">
        <v>8</v>
      </c>
      <c r="F800" s="6">
        <v>32</v>
      </c>
      <c r="G800" s="6">
        <v>50</v>
      </c>
      <c r="H800" s="6"/>
      <c r="I800" s="6"/>
      <c r="J800" s="6" t="s">
        <v>2390</v>
      </c>
      <c r="K800" s="6" t="s">
        <v>2439</v>
      </c>
      <c r="L800" s="6">
        <v>22</v>
      </c>
      <c r="M800" s="6">
        <v>5000</v>
      </c>
      <c r="N800" s="6">
        <v>6.7</v>
      </c>
      <c r="O800" s="6">
        <v>449</v>
      </c>
      <c r="P800" s="6" t="s">
        <v>2368</v>
      </c>
      <c r="Q800" s="6">
        <f>Table2_1[[#This Row],[Specs Score]] / (Table2_1[[#This Row],[Launched Price (USA)]] ^ 0.85)</f>
        <v>0.1876132616430998</v>
      </c>
      <c r="R800" s="6">
        <f>IFERROR(Table2_1[[#This Row],[Launched Price (USA)]] / S800, "")</f>
        <v>13.322122336721632</v>
      </c>
      <c r="S80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33.70333860111451</v>
      </c>
      <c r="T800" s="6">
        <v>2024</v>
      </c>
    </row>
    <row r="801" spans="1:20" x14ac:dyDescent="0.25">
      <c r="A801" s="6" t="s">
        <v>1981</v>
      </c>
      <c r="B801" s="6" t="s">
        <v>2036</v>
      </c>
      <c r="C80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01" s="6">
        <v>198</v>
      </c>
      <c r="E801" s="6">
        <v>6</v>
      </c>
      <c r="F801" s="6">
        <v>32</v>
      </c>
      <c r="G801" s="6">
        <v>50</v>
      </c>
      <c r="H801" s="6"/>
      <c r="I801" s="6"/>
      <c r="J801" s="6" t="s">
        <v>2390</v>
      </c>
      <c r="K801" s="6" t="s">
        <v>2439</v>
      </c>
      <c r="L801" s="6">
        <v>22</v>
      </c>
      <c r="M801" s="6">
        <v>5000</v>
      </c>
      <c r="N801" s="6">
        <v>6.7</v>
      </c>
      <c r="O801" s="6">
        <v>349</v>
      </c>
      <c r="P801" s="6" t="s">
        <v>2368</v>
      </c>
      <c r="Q801" s="6">
        <f>Table2_1[[#This Row],[Specs Score]] / (Table2_1[[#This Row],[Launched Price (USA)]] ^ 0.85)</f>
        <v>0.19193253072377822</v>
      </c>
      <c r="R801" s="6">
        <f>IFERROR(Table2_1[[#This Row],[Launched Price (USA)]] / S801, "")</f>
        <v>12.539355765479135</v>
      </c>
      <c r="S80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27.832370859179026</v>
      </c>
      <c r="T801" s="6">
        <v>2024</v>
      </c>
    </row>
    <row r="802" spans="1:20" x14ac:dyDescent="0.25">
      <c r="A802" s="6" t="s">
        <v>1981</v>
      </c>
      <c r="B802" s="6" t="s">
        <v>2037</v>
      </c>
      <c r="C80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02" s="6">
        <v>195</v>
      </c>
      <c r="E802" s="6">
        <v>6</v>
      </c>
      <c r="F802" s="6">
        <v>32</v>
      </c>
      <c r="G802" s="6">
        <v>50</v>
      </c>
      <c r="H802" s="6"/>
      <c r="I802" s="6"/>
      <c r="J802" s="6" t="s">
        <v>2390</v>
      </c>
      <c r="K802" s="6" t="s">
        <v>2439</v>
      </c>
      <c r="L802" s="6">
        <v>22</v>
      </c>
      <c r="M802" s="6">
        <v>5000</v>
      </c>
      <c r="N802" s="6">
        <v>6.7</v>
      </c>
      <c r="O802" s="6">
        <v>349</v>
      </c>
      <c r="P802" s="6" t="s">
        <v>2368</v>
      </c>
      <c r="Q802" s="6">
        <f>Table2_1[[#This Row],[Specs Score]] / (Table2_1[[#This Row],[Launched Price (USA)]] ^ 0.85)</f>
        <v>0.19193253072377822</v>
      </c>
      <c r="R802" s="6">
        <f>IFERROR(Table2_1[[#This Row],[Launched Price (USA)]] / S802, "")</f>
        <v>12.539355765479135</v>
      </c>
      <c r="S80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27.832370859179026</v>
      </c>
      <c r="T802" s="6">
        <v>2024</v>
      </c>
    </row>
    <row r="803" spans="1:20" x14ac:dyDescent="0.25">
      <c r="A803" s="6" t="s">
        <v>1981</v>
      </c>
      <c r="B803" s="6" t="s">
        <v>2040</v>
      </c>
      <c r="C80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03" s="6">
        <v>230</v>
      </c>
      <c r="E803" s="6">
        <v>8</v>
      </c>
      <c r="F803" s="6">
        <v>16</v>
      </c>
      <c r="G803" s="6">
        <v>50</v>
      </c>
      <c r="H803" s="6"/>
      <c r="I803" s="6"/>
      <c r="J803" s="6" t="s">
        <v>2390</v>
      </c>
      <c r="K803" s="6" t="s">
        <v>2439</v>
      </c>
      <c r="L803" s="6">
        <v>22</v>
      </c>
      <c r="M803" s="6">
        <v>6000</v>
      </c>
      <c r="N803" s="6">
        <v>6.8</v>
      </c>
      <c r="O803" s="6">
        <v>329</v>
      </c>
      <c r="P803" s="6" t="s">
        <v>2368</v>
      </c>
      <c r="Q803" s="6">
        <f>Table2_1[[#This Row],[Specs Score]] / (Table2_1[[#This Row],[Launched Price (USA)]] ^ 0.85)</f>
        <v>0.23694987792291364</v>
      </c>
      <c r="R803" s="6">
        <f>IFERROR(Table2_1[[#This Row],[Launched Price (USA)]] / S803, "")</f>
        <v>10.067529141849402</v>
      </c>
      <c r="S80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32.679319360734702</v>
      </c>
      <c r="T803" s="6">
        <v>2024</v>
      </c>
    </row>
    <row r="804" spans="1:20" x14ac:dyDescent="0.25">
      <c r="A804" s="6" t="s">
        <v>1981</v>
      </c>
      <c r="B804" s="6" t="s">
        <v>2004</v>
      </c>
      <c r="C804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804" s="6">
        <v>280</v>
      </c>
      <c r="E804" s="6">
        <v>12</v>
      </c>
      <c r="F804" s="6">
        <v>32</v>
      </c>
      <c r="G804" s="6">
        <v>64</v>
      </c>
      <c r="H804" s="6"/>
      <c r="I804" s="6"/>
      <c r="J804" s="6" t="s">
        <v>2424</v>
      </c>
      <c r="K804" s="6" t="s">
        <v>2437</v>
      </c>
      <c r="L804" s="6">
        <v>97</v>
      </c>
      <c r="M804" s="6">
        <v>5500</v>
      </c>
      <c r="N804" s="6">
        <v>7.85</v>
      </c>
      <c r="O804" s="6">
        <v>1799</v>
      </c>
      <c r="P804" s="6" t="s">
        <v>2368</v>
      </c>
      <c r="Q804" s="6">
        <f>Table2_1[[#This Row],[Specs Score]] / (Table2_1[[#This Row],[Launched Price (USA)]] ^ 0.85)</f>
        <v>0.11482804319709844</v>
      </c>
      <c r="R804" s="6">
        <f>IFERROR(Table2_1[[#This Row],[Launched Price (USA)]] / S804, "")</f>
        <v>26.804438280857038</v>
      </c>
      <c r="S80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67.115750800299153</v>
      </c>
      <c r="T804" s="6">
        <v>2024</v>
      </c>
    </row>
    <row r="805" spans="1:20" x14ac:dyDescent="0.25">
      <c r="A805" s="6" t="s">
        <v>1981</v>
      </c>
      <c r="B805" s="6" t="s">
        <v>2014</v>
      </c>
      <c r="C805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805" s="6">
        <v>202</v>
      </c>
      <c r="E805" s="6">
        <v>12</v>
      </c>
      <c r="F805" s="6">
        <v>50</v>
      </c>
      <c r="G805" s="6">
        <v>108</v>
      </c>
      <c r="H805" s="6"/>
      <c r="I805" s="6"/>
      <c r="J805" s="6" t="s">
        <v>1203</v>
      </c>
      <c r="K805" s="6" t="s">
        <v>2437</v>
      </c>
      <c r="L805" s="6">
        <v>95</v>
      </c>
      <c r="M805" s="6">
        <v>5200</v>
      </c>
      <c r="N805" s="6">
        <v>6.9</v>
      </c>
      <c r="O805" s="6">
        <v>1099</v>
      </c>
      <c r="P805" s="6" t="s">
        <v>2368</v>
      </c>
      <c r="Q805" s="6">
        <f>Table2_1[[#This Row],[Specs Score]] / (Table2_1[[#This Row],[Launched Price (USA)]] ^ 0.85)</f>
        <v>0.18335419022483526</v>
      </c>
      <c r="R805" s="6">
        <f>IFERROR(Table2_1[[#This Row],[Launched Price (USA)]] / S805, "")</f>
        <v>15.590455875766175</v>
      </c>
      <c r="S80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70.491845059405037</v>
      </c>
      <c r="T805" s="6">
        <v>2024</v>
      </c>
    </row>
    <row r="806" spans="1:20" x14ac:dyDescent="0.25">
      <c r="A806" s="6" t="s">
        <v>1981</v>
      </c>
      <c r="B806" s="6" t="s">
        <v>2020</v>
      </c>
      <c r="C806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806" s="6">
        <v>210</v>
      </c>
      <c r="E806" s="6">
        <v>12</v>
      </c>
      <c r="F806" s="6">
        <v>50</v>
      </c>
      <c r="G806" s="6">
        <v>108</v>
      </c>
      <c r="H806" s="6"/>
      <c r="I806" s="6"/>
      <c r="J806" s="6" t="s">
        <v>1203</v>
      </c>
      <c r="K806" s="6" t="s">
        <v>2437</v>
      </c>
      <c r="L806" s="6">
        <v>95</v>
      </c>
      <c r="M806" s="6">
        <v>5200</v>
      </c>
      <c r="N806" s="6">
        <v>6.9</v>
      </c>
      <c r="O806" s="6">
        <v>1199</v>
      </c>
      <c r="P806" s="6" t="s">
        <v>2368</v>
      </c>
      <c r="Q806" s="6">
        <f>Table2_1[[#This Row],[Specs Score]] / (Table2_1[[#This Row],[Launched Price (USA)]] ^ 0.85)</f>
        <v>0.17027173931481399</v>
      </c>
      <c r="R806" s="6">
        <f>IFERROR(Table2_1[[#This Row],[Launched Price (USA)]] / S806, "")</f>
        <v>17.009059686117965</v>
      </c>
      <c r="S80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70.491845059405037</v>
      </c>
      <c r="T806" s="6">
        <v>2024</v>
      </c>
    </row>
    <row r="807" spans="1:20" x14ac:dyDescent="0.25">
      <c r="A807" s="6" t="s">
        <v>1981</v>
      </c>
      <c r="B807" s="6" t="s">
        <v>2031</v>
      </c>
      <c r="C807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807" s="6">
        <v>202</v>
      </c>
      <c r="E807" s="6">
        <v>12</v>
      </c>
      <c r="F807" s="6">
        <v>50</v>
      </c>
      <c r="G807" s="6">
        <v>108</v>
      </c>
      <c r="H807" s="6"/>
      <c r="I807" s="6"/>
      <c r="J807" s="6" t="s">
        <v>1203</v>
      </c>
      <c r="K807" s="6" t="s">
        <v>2437</v>
      </c>
      <c r="L807" s="6">
        <v>95</v>
      </c>
      <c r="M807" s="6">
        <v>5200</v>
      </c>
      <c r="N807" s="6">
        <v>6.9</v>
      </c>
      <c r="O807" s="6">
        <v>1099</v>
      </c>
      <c r="P807" s="6" t="s">
        <v>2368</v>
      </c>
      <c r="Q807" s="6">
        <f>Table2_1[[#This Row],[Specs Score]] / (Table2_1[[#This Row],[Launched Price (USA)]] ^ 0.85)</f>
        <v>0.18335419022483526</v>
      </c>
      <c r="R807" s="6">
        <f>IFERROR(Table2_1[[#This Row],[Launched Price (USA)]] / S807, "")</f>
        <v>15.590455875766175</v>
      </c>
      <c r="S80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70.491845059405037</v>
      </c>
      <c r="T807" s="6">
        <v>2024</v>
      </c>
    </row>
    <row r="808" spans="1:20" x14ac:dyDescent="0.25">
      <c r="A808" s="6" t="s">
        <v>1981</v>
      </c>
      <c r="B808" s="6" t="s">
        <v>1993</v>
      </c>
      <c r="C80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08" s="6">
        <v>198</v>
      </c>
      <c r="E808" s="6">
        <v>8</v>
      </c>
      <c r="F808" s="6">
        <v>32</v>
      </c>
      <c r="G808" s="6">
        <v>50</v>
      </c>
      <c r="H808" s="6"/>
      <c r="I808" s="6"/>
      <c r="J808" s="6" t="s">
        <v>2377</v>
      </c>
      <c r="K808" s="6" t="s">
        <v>2438</v>
      </c>
      <c r="L808" s="6">
        <v>25</v>
      </c>
      <c r="M808" s="6">
        <v>5200</v>
      </c>
      <c r="N808" s="6">
        <v>6.8</v>
      </c>
      <c r="O808" s="6">
        <v>499</v>
      </c>
      <c r="P808" s="6" t="s">
        <v>2368</v>
      </c>
      <c r="Q808" s="6">
        <f>Table2_1[[#This Row],[Specs Score]] / (Table2_1[[#This Row],[Launched Price (USA)]] ^ 0.85)</f>
        <v>0.17755382961087726</v>
      </c>
      <c r="R808" s="6">
        <f>IFERROR(Table2_1[[#This Row],[Launched Price (USA)]] / S808, "")</f>
        <v>14.30161352750255</v>
      </c>
      <c r="S80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34.891167981878681</v>
      </c>
      <c r="T808" s="6">
        <v>2024</v>
      </c>
    </row>
    <row r="809" spans="1:20" x14ac:dyDescent="0.25">
      <c r="A809" s="6" t="s">
        <v>1981</v>
      </c>
      <c r="B809" s="6" t="s">
        <v>2009</v>
      </c>
      <c r="C80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09" s="6">
        <v>195</v>
      </c>
      <c r="E809" s="6">
        <v>8</v>
      </c>
      <c r="F809" s="6">
        <v>32</v>
      </c>
      <c r="G809" s="6">
        <v>50</v>
      </c>
      <c r="H809" s="6"/>
      <c r="I809" s="6"/>
      <c r="J809" s="6" t="s">
        <v>2395</v>
      </c>
      <c r="K809" s="6" t="s">
        <v>2438</v>
      </c>
      <c r="L809" s="6">
        <v>60</v>
      </c>
      <c r="M809" s="6">
        <v>4300</v>
      </c>
      <c r="N809" s="6">
        <v>6.9</v>
      </c>
      <c r="O809" s="6">
        <v>999</v>
      </c>
      <c r="P809" s="6" t="s">
        <v>2368</v>
      </c>
      <c r="Q809" s="6">
        <f>Table2_1[[#This Row],[Specs Score]] / (Table2_1[[#This Row],[Launched Price (USA)]] ^ 0.85)</f>
        <v>0.11950612121622348</v>
      </c>
      <c r="R809" s="6">
        <f>IFERROR(Table2_1[[#This Row],[Launched Price (USA)]] / S809, "")</f>
        <v>23.580047326140008</v>
      </c>
      <c r="S80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42.366327182581344</v>
      </c>
      <c r="T809" s="6">
        <v>2024</v>
      </c>
    </row>
    <row r="810" spans="1:20" x14ac:dyDescent="0.25">
      <c r="A810" s="6" t="s">
        <v>1981</v>
      </c>
      <c r="B810" s="6" t="s">
        <v>2011</v>
      </c>
      <c r="C81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10" s="6">
        <v>225</v>
      </c>
      <c r="E810" s="6">
        <v>8</v>
      </c>
      <c r="F810" s="6">
        <v>16</v>
      </c>
      <c r="G810" s="6">
        <v>50</v>
      </c>
      <c r="H810" s="6"/>
      <c r="I810" s="6"/>
      <c r="J810" s="6" t="s">
        <v>2377</v>
      </c>
      <c r="K810" s="6" t="s">
        <v>2438</v>
      </c>
      <c r="L810" s="6">
        <v>25</v>
      </c>
      <c r="M810" s="6">
        <v>6000</v>
      </c>
      <c r="N810" s="6">
        <v>6.8</v>
      </c>
      <c r="O810" s="6">
        <v>349</v>
      </c>
      <c r="P810" s="6" t="s">
        <v>2368</v>
      </c>
      <c r="Q810" s="6">
        <f>Table2_1[[#This Row],[Specs Score]] / (Table2_1[[#This Row],[Launched Price (USA)]] ^ 0.85)</f>
        <v>0.23058143095583103</v>
      </c>
      <c r="R810" s="6">
        <f>IFERROR(Table2_1[[#This Row],[Launched Price (USA)]] / S810, "")</f>
        <v>10.437571992409165</v>
      </c>
      <c r="S81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33.43689511831046</v>
      </c>
      <c r="T810" s="6">
        <v>2024</v>
      </c>
    </row>
    <row r="811" spans="1:20" x14ac:dyDescent="0.25">
      <c r="A811" s="6" t="s">
        <v>1981</v>
      </c>
      <c r="B811" s="6" t="s">
        <v>2016</v>
      </c>
      <c r="C81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11" s="6">
        <v>210</v>
      </c>
      <c r="E811" s="6">
        <v>8</v>
      </c>
      <c r="F811" s="6">
        <v>32</v>
      </c>
      <c r="G811" s="6">
        <v>50</v>
      </c>
      <c r="H811" s="6"/>
      <c r="I811" s="6"/>
      <c r="J811" s="6" t="s">
        <v>2377</v>
      </c>
      <c r="K811" s="6" t="s">
        <v>2438</v>
      </c>
      <c r="L811" s="6">
        <v>25</v>
      </c>
      <c r="M811" s="6">
        <v>5200</v>
      </c>
      <c r="N811" s="6">
        <v>6.8</v>
      </c>
      <c r="O811" s="6">
        <v>329</v>
      </c>
      <c r="P811" s="6" t="s">
        <v>2368</v>
      </c>
      <c r="Q811" s="6">
        <f>Table2_1[[#This Row],[Specs Score]] / (Table2_1[[#This Row],[Launched Price (USA)]] ^ 0.85)</f>
        <v>0.25298745982536142</v>
      </c>
      <c r="R811" s="6">
        <f>IFERROR(Table2_1[[#This Row],[Launched Price (USA)]] / S811, "")</f>
        <v>9.4293203417802385</v>
      </c>
      <c r="S81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34.891167981878681</v>
      </c>
      <c r="T811" s="6">
        <v>2024</v>
      </c>
    </row>
    <row r="812" spans="1:20" x14ac:dyDescent="0.25">
      <c r="A812" s="6" t="s">
        <v>1981</v>
      </c>
      <c r="B812" s="6" t="s">
        <v>2021</v>
      </c>
      <c r="C812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812" s="6">
        <v>205</v>
      </c>
      <c r="E812" s="6">
        <v>12</v>
      </c>
      <c r="F812" s="6">
        <v>50</v>
      </c>
      <c r="G812" s="6">
        <v>64</v>
      </c>
      <c r="H812" s="6"/>
      <c r="I812" s="6"/>
      <c r="J812" s="6" t="s">
        <v>2392</v>
      </c>
      <c r="K812" s="6" t="s">
        <v>2438</v>
      </c>
      <c r="L812" s="6">
        <v>70</v>
      </c>
      <c r="M812" s="6">
        <v>5200</v>
      </c>
      <c r="N812" s="6">
        <v>6.8</v>
      </c>
      <c r="O812" s="6">
        <v>899</v>
      </c>
      <c r="P812" s="6" t="s">
        <v>2368</v>
      </c>
      <c r="Q812" s="6">
        <f>Table2_1[[#This Row],[Specs Score]] / (Table2_1[[#This Row],[Launched Price (USA)]] ^ 0.85)</f>
        <v>0.19073051150123727</v>
      </c>
      <c r="R812" s="6">
        <f>IFERROR(Table2_1[[#This Row],[Launched Price (USA)]] / S812, "")</f>
        <v>14.542657643843077</v>
      </c>
      <c r="S81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61.818136823196788</v>
      </c>
      <c r="T812" s="6">
        <v>2024</v>
      </c>
    </row>
    <row r="813" spans="1:20" x14ac:dyDescent="0.25">
      <c r="A813" s="6" t="s">
        <v>1981</v>
      </c>
      <c r="B813" s="6" t="s">
        <v>2022</v>
      </c>
      <c r="C81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13" s="6">
        <v>198</v>
      </c>
      <c r="E813" s="6">
        <v>8</v>
      </c>
      <c r="F813" s="6">
        <v>32</v>
      </c>
      <c r="G813" s="6">
        <v>50</v>
      </c>
      <c r="H813" s="6"/>
      <c r="I813" s="6"/>
      <c r="J813" s="6" t="s">
        <v>2377</v>
      </c>
      <c r="K813" s="6" t="s">
        <v>2438</v>
      </c>
      <c r="L813" s="6">
        <v>25</v>
      </c>
      <c r="M813" s="6">
        <v>5000</v>
      </c>
      <c r="N813" s="6">
        <v>6.7</v>
      </c>
      <c r="O813" s="6">
        <v>499</v>
      </c>
      <c r="P813" s="6" t="s">
        <v>2368</v>
      </c>
      <c r="Q813" s="6">
        <f>Table2_1[[#This Row],[Specs Score]] / (Table2_1[[#This Row],[Launched Price (USA)]] ^ 0.85)</f>
        <v>0.17536435924001623</v>
      </c>
      <c r="R813" s="6">
        <f>IFERROR(Table2_1[[#This Row],[Launched Price (USA)]] / S813, "")</f>
        <v>14.480172952061077</v>
      </c>
      <c r="S81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34.460914358690268</v>
      </c>
      <c r="T813" s="6">
        <v>2024</v>
      </c>
    </row>
    <row r="814" spans="1:20" x14ac:dyDescent="0.25">
      <c r="A814" s="6" t="s">
        <v>1981</v>
      </c>
      <c r="B814" s="6" t="s">
        <v>2024</v>
      </c>
      <c r="C814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814" s="6">
        <v>230</v>
      </c>
      <c r="E814" s="6">
        <v>12</v>
      </c>
      <c r="F814" s="6">
        <v>32</v>
      </c>
      <c r="G814" s="6">
        <v>64</v>
      </c>
      <c r="H814" s="6"/>
      <c r="I814" s="6"/>
      <c r="J814" s="6" t="s">
        <v>1229</v>
      </c>
      <c r="K814" s="6" t="s">
        <v>2438</v>
      </c>
      <c r="L814" s="6">
        <v>65</v>
      </c>
      <c r="M814" s="6">
        <v>6000</v>
      </c>
      <c r="N814" s="6">
        <v>6.9</v>
      </c>
      <c r="O814" s="6">
        <v>1099</v>
      </c>
      <c r="P814" s="6" t="s">
        <v>2368</v>
      </c>
      <c r="Q814" s="6">
        <f>Table2_1[[#This Row],[Specs Score]] / (Table2_1[[#This Row],[Launched Price (USA)]] ^ 0.85)</f>
        <v>0.15310045271340772</v>
      </c>
      <c r="R814" s="6">
        <f>IFERROR(Table2_1[[#This Row],[Launched Price (USA)]] / S814, "")</f>
        <v>18.671240755167233</v>
      </c>
      <c r="S81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58.860576777462086</v>
      </c>
      <c r="T814" s="6">
        <v>2024</v>
      </c>
    </row>
    <row r="815" spans="1:20" x14ac:dyDescent="0.25">
      <c r="A815" s="6" t="s">
        <v>1981</v>
      </c>
      <c r="B815" s="6" t="s">
        <v>2032</v>
      </c>
      <c r="C81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15" s="6">
        <v>202</v>
      </c>
      <c r="E815" s="6">
        <v>12</v>
      </c>
      <c r="F815" s="6">
        <v>50</v>
      </c>
      <c r="G815" s="6">
        <v>108</v>
      </c>
      <c r="H815" s="6"/>
      <c r="I815" s="6"/>
      <c r="J815" s="6" t="s">
        <v>2377</v>
      </c>
      <c r="K815" s="6" t="s">
        <v>2438</v>
      </c>
      <c r="L815" s="6">
        <v>25</v>
      </c>
      <c r="M815" s="6">
        <v>5200</v>
      </c>
      <c r="N815" s="6">
        <v>6.9</v>
      </c>
      <c r="O815" s="6">
        <v>899</v>
      </c>
      <c r="P815" s="6" t="s">
        <v>2368</v>
      </c>
      <c r="Q815" s="6">
        <f>Table2_1[[#This Row],[Specs Score]] / (Table2_1[[#This Row],[Launched Price (USA)]] ^ 0.85)</f>
        <v>0.13906636225396021</v>
      </c>
      <c r="R815" s="6">
        <f>IFERROR(Table2_1[[#This Row],[Launched Price (USA)]] / S815, "")</f>
        <v>19.945359079230393</v>
      </c>
      <c r="S81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45.073141898766387</v>
      </c>
      <c r="T815" s="6">
        <v>2024</v>
      </c>
    </row>
    <row r="816" spans="1:20" x14ac:dyDescent="0.25">
      <c r="A816" s="6" t="s">
        <v>1981</v>
      </c>
      <c r="B816" s="6" t="s">
        <v>2034</v>
      </c>
      <c r="C816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816" s="6">
        <v>205</v>
      </c>
      <c r="E816" s="6">
        <v>12</v>
      </c>
      <c r="F816" s="6">
        <v>50</v>
      </c>
      <c r="G816" s="6">
        <v>108</v>
      </c>
      <c r="H816" s="6"/>
      <c r="I816" s="6"/>
      <c r="J816" s="6" t="s">
        <v>2392</v>
      </c>
      <c r="K816" s="6" t="s">
        <v>2438</v>
      </c>
      <c r="L816" s="6">
        <v>70</v>
      </c>
      <c r="M816" s="6">
        <v>5200</v>
      </c>
      <c r="N816" s="6">
        <v>6.8</v>
      </c>
      <c r="O816" s="6">
        <v>1049</v>
      </c>
      <c r="P816" s="6" t="s">
        <v>2368</v>
      </c>
      <c r="Q816" s="6">
        <f>Table2_1[[#This Row],[Specs Score]] / (Table2_1[[#This Row],[Launched Price (USA)]] ^ 0.85)</f>
        <v>0.17339093161244751</v>
      </c>
      <c r="R816" s="6">
        <f>IFERROR(Table2_1[[#This Row],[Launched Price (USA)]] / S816, "")</f>
        <v>16.371555443017158</v>
      </c>
      <c r="S81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64.074547079607058</v>
      </c>
      <c r="T816" s="6">
        <v>2024</v>
      </c>
    </row>
    <row r="817" spans="1:20" x14ac:dyDescent="0.25">
      <c r="A817" s="6" t="s">
        <v>1981</v>
      </c>
      <c r="B817" s="6" t="s">
        <v>2035</v>
      </c>
      <c r="C81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17" s="6">
        <v>200</v>
      </c>
      <c r="E817" s="6">
        <v>8</v>
      </c>
      <c r="F817" s="6">
        <v>32</v>
      </c>
      <c r="G817" s="6">
        <v>50</v>
      </c>
      <c r="H817" s="6"/>
      <c r="I817" s="6"/>
      <c r="J817" s="6" t="s">
        <v>2377</v>
      </c>
      <c r="K817" s="6" t="s">
        <v>2438</v>
      </c>
      <c r="L817" s="6">
        <v>25</v>
      </c>
      <c r="M817" s="6">
        <v>5000</v>
      </c>
      <c r="N817" s="6">
        <v>6.7</v>
      </c>
      <c r="O817" s="6">
        <v>499</v>
      </c>
      <c r="P817" s="6" t="s">
        <v>2368</v>
      </c>
      <c r="Q817" s="6">
        <f>Table2_1[[#This Row],[Specs Score]] / (Table2_1[[#This Row],[Launched Price (USA)]] ^ 0.85)</f>
        <v>0.17536435924001623</v>
      </c>
      <c r="R817" s="6">
        <f>IFERROR(Table2_1[[#This Row],[Launched Price (USA)]] / S817, "")</f>
        <v>14.480172952061077</v>
      </c>
      <c r="S81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34.460914358690268</v>
      </c>
      <c r="T817" s="6">
        <v>2024</v>
      </c>
    </row>
    <row r="818" spans="1:20" x14ac:dyDescent="0.25">
      <c r="A818" s="6" t="s">
        <v>1981</v>
      </c>
      <c r="B818" s="6" t="s">
        <v>2038</v>
      </c>
      <c r="C818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818" s="6">
        <v>240</v>
      </c>
      <c r="E818" s="6">
        <v>8</v>
      </c>
      <c r="F818" s="6">
        <v>32</v>
      </c>
      <c r="G818" s="6">
        <v>50</v>
      </c>
      <c r="H818" s="6"/>
      <c r="I818" s="6"/>
      <c r="J818" s="6" t="s">
        <v>915</v>
      </c>
      <c r="K818" s="6" t="s">
        <v>2438</v>
      </c>
      <c r="L818" s="6">
        <v>28</v>
      </c>
      <c r="M818" s="6">
        <v>6000</v>
      </c>
      <c r="N818" s="6">
        <v>6.9</v>
      </c>
      <c r="O818" s="6">
        <v>699</v>
      </c>
      <c r="P818" s="6" t="s">
        <v>2368</v>
      </c>
      <c r="Q818" s="6">
        <f>Table2_1[[#This Row],[Specs Score]] / (Table2_1[[#This Row],[Launched Price (USA)]] ^ 0.85)</f>
        <v>0.17118456294587456</v>
      </c>
      <c r="R818" s="6">
        <f>IFERROR(Table2_1[[#This Row],[Launched Price (USA)]] / S818, "")</f>
        <v>15.602959384269449</v>
      </c>
      <c r="S81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44.799193716079017</v>
      </c>
      <c r="T818" s="6">
        <v>2024</v>
      </c>
    </row>
    <row r="819" spans="1:20" x14ac:dyDescent="0.25">
      <c r="A819" s="6" t="s">
        <v>890</v>
      </c>
      <c r="B819" s="6" t="s">
        <v>923</v>
      </c>
      <c r="C819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819" s="6">
        <v>162</v>
      </c>
      <c r="E819" s="6">
        <v>6</v>
      </c>
      <c r="F819" s="6">
        <v>12</v>
      </c>
      <c r="G819" s="6">
        <v>16</v>
      </c>
      <c r="H819" s="6"/>
      <c r="I819" s="6"/>
      <c r="J819" s="6" t="s">
        <v>924</v>
      </c>
      <c r="K819" s="6" t="s">
        <v>2439</v>
      </c>
      <c r="L819" s="6">
        <v>28</v>
      </c>
      <c r="M819" s="6">
        <v>3315</v>
      </c>
      <c r="N819" s="6">
        <v>6.3</v>
      </c>
      <c r="O819" s="6">
        <v>249</v>
      </c>
      <c r="P819" s="6" t="s">
        <v>2368</v>
      </c>
      <c r="Q819" s="6">
        <f>Table2_1[[#This Row],[Specs Score]] / (Table2_1[[#This Row],[Launched Price (USA)]] ^ 0.85)</f>
        <v>0.17509244026428861</v>
      </c>
      <c r="R819" s="6">
        <f>IFERROR(Table2_1[[#This Row],[Launched Price (USA)]] / S819, "")</f>
        <v>13.066597293079045</v>
      </c>
      <c r="S81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19.056223622341776</v>
      </c>
      <c r="T819" s="6">
        <v>2018</v>
      </c>
    </row>
    <row r="820" spans="1:20" x14ac:dyDescent="0.25">
      <c r="A820" s="6" t="s">
        <v>890</v>
      </c>
      <c r="B820" s="6" t="s">
        <v>926</v>
      </c>
      <c r="C820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820" s="6">
        <v>150</v>
      </c>
      <c r="E820" s="6">
        <v>4</v>
      </c>
      <c r="F820" s="6">
        <v>24</v>
      </c>
      <c r="G820" s="6">
        <v>16</v>
      </c>
      <c r="H820" s="6"/>
      <c r="I820" s="6"/>
      <c r="J820" s="6" t="s">
        <v>929</v>
      </c>
      <c r="K820" s="6" t="s">
        <v>2439</v>
      </c>
      <c r="L820" s="6">
        <v>15</v>
      </c>
      <c r="M820" s="6">
        <v>3260</v>
      </c>
      <c r="N820" s="6">
        <v>6.3</v>
      </c>
      <c r="O820" s="6">
        <v>219</v>
      </c>
      <c r="P820" s="6" t="s">
        <v>2368</v>
      </c>
      <c r="Q820" s="6">
        <f>Table2_1[[#This Row],[Specs Score]] / (Table2_1[[#This Row],[Launched Price (USA)]] ^ 0.85)</f>
        <v>0.16142736012298892</v>
      </c>
      <c r="R820" s="6">
        <f>IFERROR(Table2_1[[#This Row],[Launched Price (USA)]] / S820, "")</f>
        <v>13.902390162551077</v>
      </c>
      <c r="S82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15.752686943711389</v>
      </c>
      <c r="T820" s="6">
        <v>2018</v>
      </c>
    </row>
    <row r="821" spans="1:20" x14ac:dyDescent="0.25">
      <c r="A821" s="6" t="s">
        <v>890</v>
      </c>
      <c r="B821" s="6" t="s">
        <v>933</v>
      </c>
      <c r="C82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21" s="6">
        <v>199</v>
      </c>
      <c r="E821" s="6">
        <v>6</v>
      </c>
      <c r="F821" s="6">
        <v>20</v>
      </c>
      <c r="G821" s="6">
        <v>16</v>
      </c>
      <c r="H821" s="6"/>
      <c r="I821" s="6"/>
      <c r="J821" s="6" t="s">
        <v>622</v>
      </c>
      <c r="K821" s="6" t="s">
        <v>2439</v>
      </c>
      <c r="L821" s="6">
        <v>18</v>
      </c>
      <c r="M821" s="6">
        <v>4000</v>
      </c>
      <c r="N821" s="6">
        <v>5.88</v>
      </c>
      <c r="O821" s="6">
        <v>299</v>
      </c>
      <c r="P821" s="6" t="s">
        <v>2368</v>
      </c>
      <c r="Q821" s="6">
        <f>Table2_1[[#This Row],[Specs Score]] / (Table2_1[[#This Row],[Launched Price (USA)]] ^ 0.85)</f>
        <v>0.16142286446836582</v>
      </c>
      <c r="R821" s="6">
        <f>IFERROR(Table2_1[[#This Row],[Launched Price (USA)]] / S821, "")</f>
        <v>14.567520187368977</v>
      </c>
      <c r="S82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20.52511313897153</v>
      </c>
      <c r="T821" s="6">
        <v>2017</v>
      </c>
    </row>
    <row r="822" spans="1:20" x14ac:dyDescent="0.25">
      <c r="A822" s="6" t="s">
        <v>890</v>
      </c>
      <c r="B822" s="6" t="s">
        <v>937</v>
      </c>
      <c r="C822" s="6">
        <f>IF(ISNUMBER(SEARCH("GB", Table2_1[[#This Row],[Model Name]])), IFERROR(VALUE(TRIM(RIGHT(SUBSTITUTE(LEFT(Table2_1[[#This Row],[Model Name]], SEARCH("GB", Table2_1[[#This Row],[Model Name]])-1), " ", REPT(" ", 100)), 100))), 128), 128)</f>
        <v>32</v>
      </c>
      <c r="D822" s="6">
        <v>146</v>
      </c>
      <c r="E822" s="6">
        <v>3</v>
      </c>
      <c r="F822" s="6">
        <v>5</v>
      </c>
      <c r="G822" s="6">
        <v>13</v>
      </c>
      <c r="H822" s="6"/>
      <c r="I822" s="6"/>
      <c r="J822" s="6" t="s">
        <v>1634</v>
      </c>
      <c r="K822" s="6" t="s">
        <v>2439</v>
      </c>
      <c r="L822" s="6">
        <v>4</v>
      </c>
      <c r="M822" s="6">
        <v>3260</v>
      </c>
      <c r="N822" s="6">
        <v>6.22</v>
      </c>
      <c r="O822" s="6">
        <v>149</v>
      </c>
      <c r="P822" s="6" t="s">
        <v>2368</v>
      </c>
      <c r="Q822" s="6">
        <f>Table2_1[[#This Row],[Specs Score]] / (Table2_1[[#This Row],[Launched Price (USA)]] ^ 0.85)</f>
        <v>0.10653998803134841</v>
      </c>
      <c r="R822" s="6">
        <f>IFERROR(Table2_1[[#This Row],[Launched Price (USA)]] / S822, "")</f>
        <v>19.882239299893161</v>
      </c>
      <c r="S82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7.4941256743047377</v>
      </c>
      <c r="T822" s="6">
        <v>2018</v>
      </c>
    </row>
    <row r="823" spans="1:20" x14ac:dyDescent="0.25">
      <c r="A823" s="6" t="s">
        <v>890</v>
      </c>
      <c r="B823" s="6" t="s">
        <v>943</v>
      </c>
      <c r="C823" s="6">
        <f>IF(ISNUMBER(SEARCH("GB", Table2_1[[#This Row],[Model Name]])), IFERROR(VALUE(TRIM(RIGHT(SUBSTITUTE(LEFT(Table2_1[[#This Row],[Model Name]], SEARCH("GB", Table2_1[[#This Row],[Model Name]])-1), " ", REPT(" ", 100)), 100))), 128), 128)</f>
        <v>16</v>
      </c>
      <c r="D823" s="6">
        <v>146</v>
      </c>
      <c r="E823" s="6">
        <v>2</v>
      </c>
      <c r="F823" s="6">
        <v>5</v>
      </c>
      <c r="G823" s="6">
        <v>13</v>
      </c>
      <c r="H823" s="6"/>
      <c r="I823" s="6"/>
      <c r="J823" s="6" t="s">
        <v>944</v>
      </c>
      <c r="K823" s="6" t="s">
        <v>2439</v>
      </c>
      <c r="L823" s="6">
        <v>8</v>
      </c>
      <c r="M823" s="6">
        <v>2300</v>
      </c>
      <c r="N823" s="6">
        <v>5.5</v>
      </c>
      <c r="O823" s="6">
        <v>199</v>
      </c>
      <c r="P823" s="6" t="s">
        <v>2368</v>
      </c>
      <c r="Q823" s="6">
        <f>Table2_1[[#This Row],[Specs Score]] / (Table2_1[[#This Row],[Launched Price (USA)]] ^ 0.85)</f>
        <v>5.2305490697846055E-2</v>
      </c>
      <c r="R823" s="6">
        <f>IFERROR(Table2_1[[#This Row],[Launched Price (USA)]] / S823, "")</f>
        <v>42.294186958849231</v>
      </c>
      <c r="S82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4.7051383253594654</v>
      </c>
      <c r="T823" s="6">
        <v>2014</v>
      </c>
    </row>
    <row r="824" spans="1:20" x14ac:dyDescent="0.25">
      <c r="A824" s="6" t="s">
        <v>890</v>
      </c>
      <c r="B824" s="6" t="s">
        <v>946</v>
      </c>
      <c r="C824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824" s="6">
        <v>158</v>
      </c>
      <c r="E824" s="6">
        <v>4</v>
      </c>
      <c r="F824" s="6">
        <v>20</v>
      </c>
      <c r="G824" s="6">
        <v>16</v>
      </c>
      <c r="H824" s="6"/>
      <c r="I824" s="6"/>
      <c r="J824" s="6" t="s">
        <v>628</v>
      </c>
      <c r="K824" s="6" t="s">
        <v>2439</v>
      </c>
      <c r="L824" s="6">
        <v>14</v>
      </c>
      <c r="M824" s="6">
        <v>3055</v>
      </c>
      <c r="N824" s="6">
        <v>5.5</v>
      </c>
      <c r="O824" s="6">
        <v>249</v>
      </c>
      <c r="P824" s="6" t="s">
        <v>2368</v>
      </c>
      <c r="Q824" s="6">
        <f>Table2_1[[#This Row],[Specs Score]] / (Table2_1[[#This Row],[Launched Price (USA)]] ^ 0.85)</f>
        <v>0.12535403988725369</v>
      </c>
      <c r="R824" s="6">
        <f>IFERROR(Table2_1[[#This Row],[Launched Price (USA)]] / S824, "")</f>
        <v>18.251206008627356</v>
      </c>
      <c r="S82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13.642934055004231</v>
      </c>
      <c r="T824" s="6">
        <v>2017</v>
      </c>
    </row>
    <row r="825" spans="1:20" x14ac:dyDescent="0.25">
      <c r="A825" s="6" t="s">
        <v>890</v>
      </c>
      <c r="B825" s="6" t="s">
        <v>949</v>
      </c>
      <c r="C825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825" s="6">
        <v>163</v>
      </c>
      <c r="E825" s="6">
        <v>4</v>
      </c>
      <c r="F825" s="6">
        <v>20</v>
      </c>
      <c r="G825" s="6">
        <v>20</v>
      </c>
      <c r="H825" s="6"/>
      <c r="I825" s="6"/>
      <c r="J825" s="6" t="s">
        <v>953</v>
      </c>
      <c r="K825" s="6" t="s">
        <v>2439</v>
      </c>
      <c r="L825" s="6">
        <v>12</v>
      </c>
      <c r="M825" s="6">
        <v>4030</v>
      </c>
      <c r="N825" s="6">
        <v>6.22</v>
      </c>
      <c r="O825" s="6">
        <v>199</v>
      </c>
      <c r="P825" s="6" t="s">
        <v>2368</v>
      </c>
      <c r="Q825" s="6">
        <f>Table2_1[[#This Row],[Specs Score]] / (Table2_1[[#This Row],[Launched Price (USA)]] ^ 0.85)</f>
        <v>0.17433931004965902</v>
      </c>
      <c r="R825" s="6">
        <f>IFERROR(Table2_1[[#This Row],[Launched Price (USA)]] / S825, "")</f>
        <v>12.68915313430413</v>
      </c>
      <c r="S82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15.68268566812541</v>
      </c>
      <c r="T825" s="6">
        <v>2018</v>
      </c>
    </row>
    <row r="826" spans="1:20" x14ac:dyDescent="0.25">
      <c r="A826" s="6" t="s">
        <v>890</v>
      </c>
      <c r="B826" s="6" t="s">
        <v>955</v>
      </c>
      <c r="C826" s="6">
        <f>IF(ISNUMBER(SEARCH("GB", Table2_1[[#This Row],[Model Name]])), IFERROR(VALUE(TRIM(RIGHT(SUBSTITUTE(LEFT(Table2_1[[#This Row],[Model Name]], SEARCH("GB", Table2_1[[#This Row],[Model Name]])-1), " ", REPT(" ", 100)), 100))), 128), 128)</f>
        <v>32</v>
      </c>
      <c r="D826" s="6">
        <v>168</v>
      </c>
      <c r="E826" s="6">
        <v>4</v>
      </c>
      <c r="F826" s="6">
        <v>8</v>
      </c>
      <c r="G826" s="6">
        <v>13</v>
      </c>
      <c r="H826" s="6"/>
      <c r="I826" s="6"/>
      <c r="J826" s="6" t="s">
        <v>956</v>
      </c>
      <c r="K826" s="6" t="s">
        <v>2439</v>
      </c>
      <c r="L826" s="6">
        <v>17</v>
      </c>
      <c r="M826" s="6">
        <v>3000</v>
      </c>
      <c r="N826" s="6">
        <v>5.5</v>
      </c>
      <c r="O826" s="6">
        <v>179</v>
      </c>
      <c r="P826" s="6" t="s">
        <v>2368</v>
      </c>
      <c r="Q826" s="6">
        <f>Table2_1[[#This Row],[Specs Score]] / (Table2_1[[#This Row],[Launched Price (USA)]] ^ 0.85)</f>
        <v>0.13526665041466443</v>
      </c>
      <c r="R826" s="6">
        <f>IFERROR(Table2_1[[#This Row],[Launched Price (USA)]] / S826, "")</f>
        <v>16.096713670051226</v>
      </c>
      <c r="S82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11.120282292965106</v>
      </c>
      <c r="T826" s="6">
        <v>2016</v>
      </c>
    </row>
    <row r="827" spans="1:20" x14ac:dyDescent="0.25">
      <c r="A827" s="6" t="s">
        <v>890</v>
      </c>
      <c r="B827" s="6" t="s">
        <v>960</v>
      </c>
      <c r="C827" s="6">
        <f>IF(ISNUMBER(SEARCH("GB", Table2_1[[#This Row],[Model Name]])), IFERROR(VALUE(TRIM(RIGHT(SUBSTITUTE(LEFT(Table2_1[[#This Row],[Model Name]], SEARCH("GB", Table2_1[[#This Row],[Model Name]])-1), " ", REPT(" ", 100)), 100))), 128), 128)</f>
        <v>16</v>
      </c>
      <c r="D827" s="6">
        <v>153</v>
      </c>
      <c r="E827" s="6">
        <v>1</v>
      </c>
      <c r="F827" s="6">
        <v>5</v>
      </c>
      <c r="G827" s="6">
        <v>13</v>
      </c>
      <c r="H827" s="6"/>
      <c r="I827" s="6"/>
      <c r="J827" s="6" t="s">
        <v>963</v>
      </c>
      <c r="K827" s="6" t="s">
        <v>2439</v>
      </c>
      <c r="L827" s="6">
        <v>10</v>
      </c>
      <c r="M827" s="6">
        <v>2000</v>
      </c>
      <c r="N827" s="6">
        <v>5</v>
      </c>
      <c r="O827" s="6">
        <v>139</v>
      </c>
      <c r="P827" s="6" t="s">
        <v>2368</v>
      </c>
      <c r="Q827" s="6">
        <f>Table2_1[[#This Row],[Specs Score]] / (Table2_1[[#This Row],[Launched Price (USA)]] ^ 0.85)</f>
        <v>4.8263403170196305E-2</v>
      </c>
      <c r="R827" s="6">
        <f>IFERROR(Table2_1[[#This Row],[Launched Price (USA)]] / S827, "")</f>
        <v>43.434445170040689</v>
      </c>
      <c r="S82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3.2002250622940278</v>
      </c>
      <c r="T827" s="6">
        <v>2014</v>
      </c>
    </row>
    <row r="828" spans="1:20" x14ac:dyDescent="0.25">
      <c r="A828" s="6" t="s">
        <v>890</v>
      </c>
      <c r="B828" s="6" t="s">
        <v>969</v>
      </c>
      <c r="C828" s="6">
        <f>IF(ISNUMBER(SEARCH("GB", Table2_1[[#This Row],[Model Name]])), IFERROR(VALUE(TRIM(RIGHT(SUBSTITUTE(LEFT(Table2_1[[#This Row],[Model Name]], SEARCH("GB", Table2_1[[#This Row],[Model Name]])-1), " ", REPT(" ", 100)), 100))), 128), 128)</f>
        <v>32</v>
      </c>
      <c r="D828" s="6">
        <v>155</v>
      </c>
      <c r="E828" s="6">
        <v>3</v>
      </c>
      <c r="F828" s="6">
        <v>16</v>
      </c>
      <c r="G828" s="6">
        <v>13</v>
      </c>
      <c r="H828" s="6"/>
      <c r="I828" s="6"/>
      <c r="J828" s="6" t="s">
        <v>970</v>
      </c>
      <c r="K828" s="6" t="s">
        <v>2439</v>
      </c>
      <c r="L828" s="6">
        <v>10</v>
      </c>
      <c r="M828" s="6">
        <v>3000</v>
      </c>
      <c r="N828" s="6">
        <v>5.5</v>
      </c>
      <c r="O828" s="6">
        <v>179</v>
      </c>
      <c r="P828" s="6" t="s">
        <v>2368</v>
      </c>
      <c r="Q828" s="6">
        <f>Table2_1[[#This Row],[Specs Score]] / (Table2_1[[#This Row],[Launched Price (USA)]] ^ 0.85)</f>
        <v>0.11837861910220358</v>
      </c>
      <c r="R828" s="6">
        <f>IFERROR(Table2_1[[#This Row],[Launched Price (USA)]] / S828, "")</f>
        <v>18.393089540535435</v>
      </c>
      <c r="S82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9.7319158701159232</v>
      </c>
      <c r="T828" s="6">
        <v>2017</v>
      </c>
    </row>
    <row r="829" spans="1:20" x14ac:dyDescent="0.25">
      <c r="A829" s="6" t="s">
        <v>890</v>
      </c>
      <c r="B829" s="6" t="s">
        <v>972</v>
      </c>
      <c r="C82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29" s="6">
        <v>176</v>
      </c>
      <c r="E829" s="6">
        <v>8</v>
      </c>
      <c r="F829" s="6">
        <v>32</v>
      </c>
      <c r="G829" s="6">
        <v>48</v>
      </c>
      <c r="H829" s="6"/>
      <c r="I829" s="6"/>
      <c r="J829" s="6" t="s">
        <v>2426</v>
      </c>
      <c r="K829" s="6" t="s">
        <v>2439</v>
      </c>
      <c r="L829" s="6">
        <v>30</v>
      </c>
      <c r="M829" s="6">
        <v>4500</v>
      </c>
      <c r="N829" s="6">
        <v>6.44</v>
      </c>
      <c r="O829" s="6">
        <v>399</v>
      </c>
      <c r="P829" s="6" t="s">
        <v>2368</v>
      </c>
      <c r="Q829" s="6">
        <f>Table2_1[[#This Row],[Specs Score]] / (Table2_1[[#This Row],[Launched Price (USA)]] ^ 0.85)</f>
        <v>0.1887127532196112</v>
      </c>
      <c r="R829" s="6">
        <f>IFERROR(Table2_1[[#This Row],[Launched Price (USA)]] / S829, "")</f>
        <v>13.012018843785347</v>
      </c>
      <c r="S82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30.663958052179265</v>
      </c>
      <c r="T829" s="6">
        <v>2020</v>
      </c>
    </row>
    <row r="830" spans="1:20" x14ac:dyDescent="0.25">
      <c r="A830" s="6" t="s">
        <v>890</v>
      </c>
      <c r="B830" s="6" t="s">
        <v>976</v>
      </c>
      <c r="C83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30" s="6">
        <v>176</v>
      </c>
      <c r="E830" s="6">
        <v>8</v>
      </c>
      <c r="F830" s="6">
        <v>32</v>
      </c>
      <c r="G830" s="6">
        <v>48</v>
      </c>
      <c r="H830" s="6"/>
      <c r="I830" s="6"/>
      <c r="J830" s="6" t="s">
        <v>2426</v>
      </c>
      <c r="K830" s="6" t="s">
        <v>2439</v>
      </c>
      <c r="L830" s="6">
        <v>30</v>
      </c>
      <c r="M830" s="6">
        <v>4500</v>
      </c>
      <c r="N830" s="6">
        <v>6.44</v>
      </c>
      <c r="O830" s="6">
        <v>429</v>
      </c>
      <c r="P830" s="6" t="s">
        <v>2368</v>
      </c>
      <c r="Q830" s="6">
        <f>Table2_1[[#This Row],[Specs Score]] / (Table2_1[[#This Row],[Launched Price (USA)]] ^ 0.85)</f>
        <v>0.19983420579100955</v>
      </c>
      <c r="R830" s="6">
        <f>IFERROR(Table2_1[[#This Row],[Launched Price (USA)]] / S830, "")</f>
        <v>12.422207088486283</v>
      </c>
      <c r="S83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34.534925794114748</v>
      </c>
      <c r="T830" s="6">
        <v>2020</v>
      </c>
    </row>
    <row r="831" spans="1:20" x14ac:dyDescent="0.25">
      <c r="A831" s="6" t="s">
        <v>890</v>
      </c>
      <c r="B831" s="6" t="s">
        <v>979</v>
      </c>
      <c r="C83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31" s="6">
        <v>201</v>
      </c>
      <c r="E831" s="6">
        <v>8</v>
      </c>
      <c r="F831" s="6">
        <v>32</v>
      </c>
      <c r="G831" s="6">
        <v>48</v>
      </c>
      <c r="H831" s="6"/>
      <c r="I831" s="6"/>
      <c r="J831" s="6" t="s">
        <v>2427</v>
      </c>
      <c r="K831" s="6" t="s">
        <v>2439</v>
      </c>
      <c r="L831" s="6">
        <v>25</v>
      </c>
      <c r="M831" s="6">
        <v>4100</v>
      </c>
      <c r="N831" s="6">
        <v>6.44</v>
      </c>
      <c r="O831" s="6">
        <v>399</v>
      </c>
      <c r="P831" s="6" t="s">
        <v>2368</v>
      </c>
      <c r="Q831" s="6">
        <f>Table2_1[[#This Row],[Specs Score]] / (Table2_1[[#This Row],[Launched Price (USA)]] ^ 0.85)</f>
        <v>0.17692865110203246</v>
      </c>
      <c r="R831" s="6">
        <f>IFERROR(Table2_1[[#This Row],[Launched Price (USA)]] / S831, "")</f>
        <v>13.878667393107069</v>
      </c>
      <c r="S83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28.749157876509525</v>
      </c>
      <c r="T831" s="6">
        <v>2019</v>
      </c>
    </row>
    <row r="832" spans="1:20" x14ac:dyDescent="0.25">
      <c r="A832" s="6" t="s">
        <v>890</v>
      </c>
      <c r="B832" s="6" t="s">
        <v>982</v>
      </c>
      <c r="C83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32" s="6">
        <v>201</v>
      </c>
      <c r="E832" s="6">
        <v>8</v>
      </c>
      <c r="F832" s="6">
        <v>32</v>
      </c>
      <c r="G832" s="6">
        <v>48</v>
      </c>
      <c r="H832" s="6"/>
      <c r="I832" s="6"/>
      <c r="J832" s="6" t="s">
        <v>2427</v>
      </c>
      <c r="K832" s="6" t="s">
        <v>2439</v>
      </c>
      <c r="L832" s="6">
        <v>25</v>
      </c>
      <c r="M832" s="6">
        <v>4100</v>
      </c>
      <c r="N832" s="6">
        <v>6.44</v>
      </c>
      <c r="O832" s="6">
        <v>429</v>
      </c>
      <c r="P832" s="6" t="s">
        <v>2368</v>
      </c>
      <c r="Q832" s="6">
        <f>Table2_1[[#This Row],[Specs Score]] / (Table2_1[[#This Row],[Launched Price (USA)]] ^ 0.85)</f>
        <v>0.18875433335593814</v>
      </c>
      <c r="R832" s="6">
        <f>IFERROR(Table2_1[[#This Row],[Launched Price (USA)]] / S832, "")</f>
        <v>13.151390188314373</v>
      </c>
      <c r="S83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32.620125618445009</v>
      </c>
      <c r="T832" s="6">
        <v>2019</v>
      </c>
    </row>
    <row r="833" spans="1:20" x14ac:dyDescent="0.25">
      <c r="A833" s="6" t="s">
        <v>890</v>
      </c>
      <c r="B833" s="6" t="s">
        <v>984</v>
      </c>
      <c r="C833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833" s="6">
        <v>191</v>
      </c>
      <c r="E833" s="6">
        <v>3</v>
      </c>
      <c r="F833" s="6">
        <v>8</v>
      </c>
      <c r="G833" s="6">
        <v>13</v>
      </c>
      <c r="H833" s="6"/>
      <c r="I833" s="6"/>
      <c r="J833" s="6" t="s">
        <v>2421</v>
      </c>
      <c r="K833" s="6" t="s">
        <v>2439</v>
      </c>
      <c r="L833" s="6">
        <v>5</v>
      </c>
      <c r="M833" s="6">
        <v>5000</v>
      </c>
      <c r="N833" s="6">
        <v>6.51</v>
      </c>
      <c r="O833" s="6">
        <v>159</v>
      </c>
      <c r="P833" s="6" t="s">
        <v>2368</v>
      </c>
      <c r="Q833" s="6">
        <f>Table2_1[[#This Row],[Specs Score]] / (Table2_1[[#This Row],[Launched Price (USA)]] ^ 0.85)</f>
        <v>0.16642011200412449</v>
      </c>
      <c r="R833" s="6">
        <f>IFERROR(Table2_1[[#This Row],[Launched Price (USA)]] / S833, "")</f>
        <v>12.852977837517974</v>
      </c>
      <c r="S83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12.370674096696671</v>
      </c>
      <c r="T833" s="6">
        <v>2020</v>
      </c>
    </row>
    <row r="834" spans="1:20" x14ac:dyDescent="0.25">
      <c r="A834" s="6" t="s">
        <v>890</v>
      </c>
      <c r="B834" s="6" t="s">
        <v>989</v>
      </c>
      <c r="C83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34" s="6">
        <v>191</v>
      </c>
      <c r="E834" s="6">
        <v>4</v>
      </c>
      <c r="F834" s="6">
        <v>8</v>
      </c>
      <c r="G834" s="6">
        <v>13</v>
      </c>
      <c r="H834" s="6"/>
      <c r="I834" s="6"/>
      <c r="J834" s="6" t="s">
        <v>2421</v>
      </c>
      <c r="K834" s="6" t="s">
        <v>2439</v>
      </c>
      <c r="L834" s="6">
        <v>5</v>
      </c>
      <c r="M834" s="6">
        <v>5000</v>
      </c>
      <c r="N834" s="6">
        <v>6.51</v>
      </c>
      <c r="O834" s="6">
        <v>179</v>
      </c>
      <c r="P834" s="6" t="s">
        <v>2368</v>
      </c>
      <c r="Q834" s="6">
        <f>Table2_1[[#This Row],[Specs Score]] / (Table2_1[[#This Row],[Launched Price (USA)]] ^ 0.85)</f>
        <v>0.18618346769069644</v>
      </c>
      <c r="R834" s="6">
        <f>IFERROR(Table2_1[[#This Row],[Launched Price (USA)]] / S834, "")</f>
        <v>11.694639528623254</v>
      </c>
      <c r="S83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15.306157967664412</v>
      </c>
      <c r="T834" s="6">
        <v>2020</v>
      </c>
    </row>
    <row r="835" spans="1:20" x14ac:dyDescent="0.25">
      <c r="A835" s="6" t="s">
        <v>890</v>
      </c>
      <c r="B835" s="6" t="s">
        <v>991</v>
      </c>
      <c r="C83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35" s="6">
        <v>185</v>
      </c>
      <c r="E835" s="6">
        <v>6</v>
      </c>
      <c r="F835" s="6">
        <v>32</v>
      </c>
      <c r="G835" s="6">
        <v>48</v>
      </c>
      <c r="H835" s="6"/>
      <c r="I835" s="6"/>
      <c r="J835" s="6" t="s">
        <v>2428</v>
      </c>
      <c r="K835" s="6" t="s">
        <v>2439</v>
      </c>
      <c r="L835" s="6">
        <v>6</v>
      </c>
      <c r="M835" s="6">
        <v>4500</v>
      </c>
      <c r="N835" s="6">
        <v>6.38</v>
      </c>
      <c r="O835" s="6">
        <v>249</v>
      </c>
      <c r="P835" s="6" t="s">
        <v>2368</v>
      </c>
      <c r="Q835" s="6">
        <f>Table2_1[[#This Row],[Specs Score]] / (Table2_1[[#This Row],[Launched Price (USA)]] ^ 0.85)</f>
        <v>0.20710991112706606</v>
      </c>
      <c r="R835" s="6">
        <f>IFERROR(Table2_1[[#This Row],[Launched Price (USA)]] / S835, "")</f>
        <v>11.046609954809497</v>
      </c>
      <c r="S83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22.540851991573202</v>
      </c>
      <c r="T835" s="6">
        <v>2019</v>
      </c>
    </row>
    <row r="836" spans="1:20" x14ac:dyDescent="0.25">
      <c r="A836" s="6" t="s">
        <v>890</v>
      </c>
      <c r="B836" s="6" t="s">
        <v>993</v>
      </c>
      <c r="C83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36" s="6">
        <v>185</v>
      </c>
      <c r="E836" s="6">
        <v>6</v>
      </c>
      <c r="F836" s="6">
        <v>32</v>
      </c>
      <c r="G836" s="6">
        <v>48</v>
      </c>
      <c r="H836" s="6"/>
      <c r="I836" s="6"/>
      <c r="J836" s="6" t="s">
        <v>2428</v>
      </c>
      <c r="K836" s="6" t="s">
        <v>2439</v>
      </c>
      <c r="L836" s="6">
        <v>6</v>
      </c>
      <c r="M836" s="6">
        <v>4500</v>
      </c>
      <c r="N836" s="6">
        <v>6.38</v>
      </c>
      <c r="O836" s="6">
        <v>269</v>
      </c>
      <c r="P836" s="6" t="s">
        <v>2368</v>
      </c>
      <c r="Q836" s="6">
        <f>Table2_1[[#This Row],[Specs Score]] / (Table2_1[[#This Row],[Launched Price (USA)]] ^ 0.85)</f>
        <v>0.22725261348051545</v>
      </c>
      <c r="R836" s="6">
        <f>IFERROR(Table2_1[[#This Row],[Launched Price (USA)]] / S836, "")</f>
        <v>10.184834014247024</v>
      </c>
      <c r="S83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26.411819733508686</v>
      </c>
      <c r="T836" s="6">
        <v>2019</v>
      </c>
    </row>
    <row r="837" spans="1:20" x14ac:dyDescent="0.25">
      <c r="A837" s="6" t="s">
        <v>890</v>
      </c>
      <c r="B837" s="6" t="s">
        <v>997</v>
      </c>
      <c r="C837" s="6">
        <f>IF(ISNUMBER(SEARCH("GB", Table2_1[[#This Row],[Model Name]])), IFERROR(VALUE(TRIM(RIGHT(SUBSTITUTE(LEFT(Table2_1[[#This Row],[Model Name]], SEARCH("GB", Table2_1[[#This Row],[Model Name]])-1), " ", REPT(" ", 100)), 100))), 128), 128)</f>
        <v>32</v>
      </c>
      <c r="D837" s="6">
        <v>190</v>
      </c>
      <c r="E837" s="6">
        <v>3</v>
      </c>
      <c r="F837" s="6">
        <v>8</v>
      </c>
      <c r="G837" s="6">
        <v>13</v>
      </c>
      <c r="H837" s="6"/>
      <c r="I837" s="6"/>
      <c r="J837" s="6" t="s">
        <v>953</v>
      </c>
      <c r="K837" s="6" t="s">
        <v>2439</v>
      </c>
      <c r="L837" s="6">
        <v>12</v>
      </c>
      <c r="M837" s="6">
        <v>5000</v>
      </c>
      <c r="N837" s="6">
        <v>6.35</v>
      </c>
      <c r="O837" s="6">
        <v>149</v>
      </c>
      <c r="P837" s="6" t="s">
        <v>2368</v>
      </c>
      <c r="Q837" s="6">
        <f>Table2_1[[#This Row],[Specs Score]] / (Table2_1[[#This Row],[Launched Price (USA)]] ^ 0.85)</f>
        <v>0.18487011203026121</v>
      </c>
      <c r="R837" s="6">
        <f>IFERROR(Table2_1[[#This Row],[Launched Price (USA)]] / S837, "")</f>
        <v>11.458063792920122</v>
      </c>
      <c r="S83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13.003942262222902</v>
      </c>
      <c r="T837" s="6">
        <v>2019</v>
      </c>
    </row>
    <row r="838" spans="1:20" x14ac:dyDescent="0.25">
      <c r="A838" s="6" t="s">
        <v>890</v>
      </c>
      <c r="B838" s="6" t="s">
        <v>1001</v>
      </c>
      <c r="C838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838" s="6">
        <v>190</v>
      </c>
      <c r="E838" s="6">
        <v>3</v>
      </c>
      <c r="F838" s="6">
        <v>8</v>
      </c>
      <c r="G838" s="6">
        <v>13</v>
      </c>
      <c r="H838" s="6"/>
      <c r="I838" s="6"/>
      <c r="J838" s="6" t="s">
        <v>953</v>
      </c>
      <c r="K838" s="6" t="s">
        <v>2439</v>
      </c>
      <c r="L838" s="6">
        <v>12</v>
      </c>
      <c r="M838" s="6">
        <v>5000</v>
      </c>
      <c r="N838" s="6">
        <v>6.35</v>
      </c>
      <c r="O838" s="6">
        <v>169</v>
      </c>
      <c r="P838" s="6" t="s">
        <v>2368</v>
      </c>
      <c r="Q838" s="6">
        <f>Table2_1[[#This Row],[Specs Score]] / (Table2_1[[#This Row],[Launched Price (USA)]] ^ 0.85)</f>
        <v>0.17846171483091106</v>
      </c>
      <c r="R838" s="6">
        <f>IFERROR(Table2_1[[#This Row],[Launched Price (USA)]] / S838, "")</f>
        <v>12.09589320861823</v>
      </c>
      <c r="S83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13.971684197706773</v>
      </c>
      <c r="T838" s="6">
        <v>2019</v>
      </c>
    </row>
    <row r="839" spans="1:20" x14ac:dyDescent="0.25">
      <c r="A839" s="6" t="s">
        <v>890</v>
      </c>
      <c r="B839" s="6" t="s">
        <v>1004</v>
      </c>
      <c r="C83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39" s="6">
        <v>190</v>
      </c>
      <c r="E839" s="6">
        <v>6</v>
      </c>
      <c r="F839" s="6">
        <v>32</v>
      </c>
      <c r="G839" s="6">
        <v>48</v>
      </c>
      <c r="H839" s="6"/>
      <c r="I839" s="6"/>
      <c r="J839" s="6" t="s">
        <v>2429</v>
      </c>
      <c r="K839" s="6" t="s">
        <v>2439</v>
      </c>
      <c r="L839" s="6">
        <v>8</v>
      </c>
      <c r="M839" s="6">
        <v>4000</v>
      </c>
      <c r="N839" s="6">
        <v>6.53</v>
      </c>
      <c r="O839" s="6">
        <v>299</v>
      </c>
      <c r="P839" s="6" t="s">
        <v>2368</v>
      </c>
      <c r="Q839" s="6">
        <f>Table2_1[[#This Row],[Specs Score]] / (Table2_1[[#This Row],[Launched Price (USA)]] ^ 0.85)</f>
        <v>0.17606544562750925</v>
      </c>
      <c r="R839" s="6">
        <f>IFERROR(Table2_1[[#This Row],[Launched Price (USA)]] / S839, "")</f>
        <v>13.356004231635737</v>
      </c>
      <c r="S83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22.38693510531936</v>
      </c>
      <c r="T839" s="6">
        <v>2019</v>
      </c>
    </row>
    <row r="840" spans="1:20" x14ac:dyDescent="0.25">
      <c r="A840" s="6" t="s">
        <v>890</v>
      </c>
      <c r="B840" s="6" t="s">
        <v>1007</v>
      </c>
      <c r="C84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40" s="6">
        <v>190</v>
      </c>
      <c r="E840" s="6">
        <v>6</v>
      </c>
      <c r="F840" s="6">
        <v>32</v>
      </c>
      <c r="G840" s="6">
        <v>48</v>
      </c>
      <c r="H840" s="6"/>
      <c r="I840" s="6"/>
      <c r="J840" s="6" t="s">
        <v>2429</v>
      </c>
      <c r="K840" s="6" t="s">
        <v>2439</v>
      </c>
      <c r="L840" s="6">
        <v>8</v>
      </c>
      <c r="M840" s="6">
        <v>4000</v>
      </c>
      <c r="N840" s="6">
        <v>6.53</v>
      </c>
      <c r="O840" s="6">
        <v>319</v>
      </c>
      <c r="P840" s="6" t="s">
        <v>2368</v>
      </c>
      <c r="Q840" s="6">
        <f>Table2_1[[#This Row],[Specs Score]] / (Table2_1[[#This Row],[Launched Price (USA)]] ^ 0.85)</f>
        <v>0.19545102688757074</v>
      </c>
      <c r="R840" s="6">
        <f>IFERROR(Table2_1[[#This Row],[Launched Price (USA)]] / S840, "")</f>
        <v>12.148723447400148</v>
      </c>
      <c r="S84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26.257902847254844</v>
      </c>
      <c r="T840" s="6">
        <v>2019</v>
      </c>
    </row>
    <row r="841" spans="1:20" x14ac:dyDescent="0.25">
      <c r="A841" s="6" t="s">
        <v>890</v>
      </c>
      <c r="B841" s="6" t="s">
        <v>1010</v>
      </c>
      <c r="C84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41" s="6">
        <v>190</v>
      </c>
      <c r="E841" s="6">
        <v>8</v>
      </c>
      <c r="F841" s="6">
        <v>32</v>
      </c>
      <c r="G841" s="6">
        <v>48</v>
      </c>
      <c r="H841" s="6"/>
      <c r="I841" s="6"/>
      <c r="J841" s="6" t="s">
        <v>924</v>
      </c>
      <c r="K841" s="6" t="s">
        <v>2439</v>
      </c>
      <c r="L841" s="6">
        <v>28</v>
      </c>
      <c r="M841" s="6">
        <v>4000</v>
      </c>
      <c r="N841" s="6">
        <v>6.39</v>
      </c>
      <c r="O841" s="6">
        <v>499</v>
      </c>
      <c r="P841" s="6" t="s">
        <v>2368</v>
      </c>
      <c r="Q841" s="6">
        <f>Table2_1[[#This Row],[Specs Score]] / (Table2_1[[#This Row],[Launched Price (USA)]] ^ 0.85)</f>
        <v>0.14905883831376848</v>
      </c>
      <c r="R841" s="6">
        <f>IFERROR(Table2_1[[#This Row],[Launched Price (USA)]] / S841, "")</f>
        <v>17.035596682147567</v>
      </c>
      <c r="S84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29.291606822491076</v>
      </c>
      <c r="T841" s="6">
        <v>2019</v>
      </c>
    </row>
    <row r="842" spans="1:20" x14ac:dyDescent="0.25">
      <c r="A842" s="6" t="s">
        <v>890</v>
      </c>
      <c r="B842" s="6" t="s">
        <v>1014</v>
      </c>
      <c r="C84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42" s="6">
        <v>190</v>
      </c>
      <c r="E842" s="6">
        <v>8</v>
      </c>
      <c r="F842" s="6">
        <v>32</v>
      </c>
      <c r="G842" s="6">
        <v>48</v>
      </c>
      <c r="H842" s="6"/>
      <c r="I842" s="6"/>
      <c r="J842" s="6" t="s">
        <v>924</v>
      </c>
      <c r="K842" s="6" t="s">
        <v>2439</v>
      </c>
      <c r="L842" s="6">
        <v>28</v>
      </c>
      <c r="M842" s="6">
        <v>4000</v>
      </c>
      <c r="N842" s="6">
        <v>6.39</v>
      </c>
      <c r="O842" s="6">
        <v>549</v>
      </c>
      <c r="P842" s="6" t="s">
        <v>2368</v>
      </c>
      <c r="Q842" s="6">
        <f>Table2_1[[#This Row],[Specs Score]] / (Table2_1[[#This Row],[Launched Price (USA)]] ^ 0.85)</f>
        <v>0.15560077175802972</v>
      </c>
      <c r="R842" s="6">
        <f>IFERROR(Table2_1[[#This Row],[Launched Price (USA)]] / S842, "")</f>
        <v>16.554806350557335</v>
      </c>
      <c r="S84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33.162574564426563</v>
      </c>
      <c r="T842" s="6">
        <v>2019</v>
      </c>
    </row>
    <row r="843" spans="1:20" x14ac:dyDescent="0.25">
      <c r="A843" s="6" t="s">
        <v>890</v>
      </c>
      <c r="B843" s="6" t="s">
        <v>1016</v>
      </c>
      <c r="C84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43" s="6">
        <v>193</v>
      </c>
      <c r="E843" s="6">
        <v>4</v>
      </c>
      <c r="F843" s="6">
        <v>8</v>
      </c>
      <c r="G843" s="6">
        <v>13</v>
      </c>
      <c r="H843" s="6"/>
      <c r="I843" s="6"/>
      <c r="J843" s="6" t="s">
        <v>2421</v>
      </c>
      <c r="K843" s="6" t="s">
        <v>2439</v>
      </c>
      <c r="L843" s="6">
        <v>5</v>
      </c>
      <c r="M843" s="6">
        <v>5000</v>
      </c>
      <c r="N843" s="6">
        <v>6.47</v>
      </c>
      <c r="O843" s="6">
        <v>199</v>
      </c>
      <c r="P843" s="6" t="s">
        <v>2368</v>
      </c>
      <c r="Q843" s="6">
        <f>Table2_1[[#This Row],[Specs Score]] / (Table2_1[[#This Row],[Launched Price (USA)]] ^ 0.85)</f>
        <v>0.16969037944079821</v>
      </c>
      <c r="R843" s="6">
        <f>IFERROR(Table2_1[[#This Row],[Launched Price (USA)]] / S843, "")</f>
        <v>13.036792125984087</v>
      </c>
      <c r="S84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15.264491300997745</v>
      </c>
      <c r="T843" s="6">
        <v>2020</v>
      </c>
    </row>
    <row r="844" spans="1:20" x14ac:dyDescent="0.25">
      <c r="A844" s="6" t="s">
        <v>890</v>
      </c>
      <c r="B844" s="6" t="s">
        <v>1021</v>
      </c>
      <c r="C844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844" s="6">
        <v>193</v>
      </c>
      <c r="E844" s="6">
        <v>3</v>
      </c>
      <c r="F844" s="6">
        <v>8</v>
      </c>
      <c r="G844" s="6">
        <v>13</v>
      </c>
      <c r="H844" s="6"/>
      <c r="I844" s="6"/>
      <c r="J844" s="6" t="s">
        <v>2421</v>
      </c>
      <c r="K844" s="6" t="s">
        <v>2439</v>
      </c>
      <c r="L844" s="6">
        <v>5</v>
      </c>
      <c r="M844" s="6">
        <v>5000</v>
      </c>
      <c r="N844" s="6">
        <v>6.47</v>
      </c>
      <c r="O844" s="6">
        <v>169</v>
      </c>
      <c r="P844" s="6" t="s">
        <v>2368</v>
      </c>
      <c r="Q844" s="6">
        <f>Table2_1[[#This Row],[Specs Score]] / (Table2_1[[#This Row],[Launched Price (USA)]] ^ 0.85)</f>
        <v>0.1574796407499201</v>
      </c>
      <c r="R844" s="6">
        <f>IFERROR(Table2_1[[#This Row],[Launched Price (USA)]] / S844, "")</f>
        <v>13.707510597192389</v>
      </c>
      <c r="S84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12.329007430030005</v>
      </c>
      <c r="T844" s="6">
        <v>2020</v>
      </c>
    </row>
    <row r="845" spans="1:20" x14ac:dyDescent="0.25">
      <c r="A845" s="6" t="s">
        <v>890</v>
      </c>
      <c r="B845" s="6" t="s">
        <v>1023</v>
      </c>
      <c r="C845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845" s="6">
        <v>159</v>
      </c>
      <c r="E845" s="6">
        <v>4</v>
      </c>
      <c r="F845" s="6">
        <v>16</v>
      </c>
      <c r="G845" s="6">
        <v>16</v>
      </c>
      <c r="H845" s="6"/>
      <c r="I845" s="6"/>
      <c r="J845" s="6" t="s">
        <v>2426</v>
      </c>
      <c r="K845" s="6" t="s">
        <v>2439</v>
      </c>
      <c r="L845" s="6">
        <v>30</v>
      </c>
      <c r="M845" s="6">
        <v>4500</v>
      </c>
      <c r="N845" s="6">
        <v>6.53</v>
      </c>
      <c r="O845" s="6">
        <v>249</v>
      </c>
      <c r="P845" s="6" t="s">
        <v>2368</v>
      </c>
      <c r="Q845" s="6">
        <f>Table2_1[[#This Row],[Specs Score]] / (Table2_1[[#This Row],[Launched Price (USA)]] ^ 0.85)</f>
        <v>0.18764677950905601</v>
      </c>
      <c r="R845" s="6">
        <f>IFERROR(Table2_1[[#This Row],[Launched Price (USA)]] / S845, "")</f>
        <v>12.1923883371819</v>
      </c>
      <c r="S84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20.422577850530708</v>
      </c>
      <c r="T845" s="6">
        <v>2019</v>
      </c>
    </row>
    <row r="846" spans="1:20" x14ac:dyDescent="0.25">
      <c r="A846" s="6" t="s">
        <v>890</v>
      </c>
      <c r="B846" s="6" t="s">
        <v>1025</v>
      </c>
      <c r="C84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46" s="6">
        <v>159</v>
      </c>
      <c r="E846" s="6">
        <v>6</v>
      </c>
      <c r="F846" s="6">
        <v>16</v>
      </c>
      <c r="G846" s="6">
        <v>16</v>
      </c>
      <c r="H846" s="6"/>
      <c r="I846" s="6"/>
      <c r="J846" s="6" t="s">
        <v>2426</v>
      </c>
      <c r="K846" s="6" t="s">
        <v>2439</v>
      </c>
      <c r="L846" s="6">
        <v>30</v>
      </c>
      <c r="M846" s="6">
        <v>4500</v>
      </c>
      <c r="N846" s="6">
        <v>6.53</v>
      </c>
      <c r="O846" s="6">
        <v>299</v>
      </c>
      <c r="P846" s="6" t="s">
        <v>2368</v>
      </c>
      <c r="Q846" s="6">
        <f>Table2_1[[#This Row],[Specs Score]] / (Table2_1[[#This Row],[Launched Price (USA)]] ^ 0.85)</f>
        <v>0.19156766977892309</v>
      </c>
      <c r="R846" s="6">
        <f>IFERROR(Table2_1[[#This Row],[Launched Price (USA)]] / S846, "")</f>
        <v>12.275196746714139</v>
      </c>
      <c r="S84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24.358061721498451</v>
      </c>
      <c r="T846" s="6">
        <v>2019</v>
      </c>
    </row>
    <row r="847" spans="1:20" x14ac:dyDescent="0.25">
      <c r="A847" s="6" t="s">
        <v>890</v>
      </c>
      <c r="B847" s="6" t="s">
        <v>1026</v>
      </c>
      <c r="C84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47" s="6">
        <v>156</v>
      </c>
      <c r="E847" s="6">
        <v>6</v>
      </c>
      <c r="F847" s="6">
        <v>12</v>
      </c>
      <c r="G847" s="6">
        <v>12</v>
      </c>
      <c r="H847" s="6"/>
      <c r="I847" s="6"/>
      <c r="J847" s="6" t="s">
        <v>2430</v>
      </c>
      <c r="K847" s="6" t="s">
        <v>2439</v>
      </c>
      <c r="L847" s="6">
        <v>22</v>
      </c>
      <c r="M847" s="6">
        <v>3200</v>
      </c>
      <c r="N847" s="6">
        <v>6.28</v>
      </c>
      <c r="O847" s="6">
        <v>349</v>
      </c>
      <c r="P847" s="6" t="s">
        <v>2368</v>
      </c>
      <c r="Q847" s="6">
        <f>Table2_1[[#This Row],[Specs Score]] / (Table2_1[[#This Row],[Launched Price (USA)]] ^ 0.85)</f>
        <v>0.13145944259472445</v>
      </c>
      <c r="R847" s="6">
        <f>IFERROR(Table2_1[[#This Row],[Launched Price (USA)]] / S847, "")</f>
        <v>18.307625821401381</v>
      </c>
      <c r="S84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19.06309443969646</v>
      </c>
      <c r="T847" s="6">
        <v>2018</v>
      </c>
    </row>
    <row r="848" spans="1:20" x14ac:dyDescent="0.25">
      <c r="A848" s="6" t="s">
        <v>890</v>
      </c>
      <c r="B848" s="6" t="s">
        <v>1030</v>
      </c>
      <c r="C848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848" s="6">
        <v>156</v>
      </c>
      <c r="E848" s="6">
        <v>4</v>
      </c>
      <c r="F848" s="6">
        <v>12</v>
      </c>
      <c r="G848" s="6">
        <v>12</v>
      </c>
      <c r="H848" s="6"/>
      <c r="I848" s="6"/>
      <c r="J848" s="6" t="s">
        <v>2430</v>
      </c>
      <c r="K848" s="6" t="s">
        <v>2439</v>
      </c>
      <c r="L848" s="6">
        <v>22</v>
      </c>
      <c r="M848" s="6">
        <v>3200</v>
      </c>
      <c r="N848" s="6">
        <v>6.28</v>
      </c>
      <c r="O848" s="6">
        <v>299</v>
      </c>
      <c r="P848" s="6" t="s">
        <v>2368</v>
      </c>
      <c r="Q848" s="6">
        <f>Table2_1[[#This Row],[Specs Score]] / (Table2_1[[#This Row],[Launched Price (USA)]] ^ 0.85)</f>
        <v>0.11897338709083846</v>
      </c>
      <c r="R848" s="6">
        <f>IFERROR(Table2_1[[#This Row],[Launched Price (USA)]] / S848, "")</f>
        <v>19.765183578831849</v>
      </c>
      <c r="S84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15.12761056872872</v>
      </c>
      <c r="T848" s="6">
        <v>2018</v>
      </c>
    </row>
    <row r="849" spans="1:20" x14ac:dyDescent="0.25">
      <c r="A849" s="6" t="s">
        <v>890</v>
      </c>
      <c r="B849" s="6" t="s">
        <v>1032</v>
      </c>
      <c r="C84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49" s="6">
        <v>172</v>
      </c>
      <c r="E849" s="6">
        <v>8</v>
      </c>
      <c r="F849" s="6">
        <v>50</v>
      </c>
      <c r="G849" s="6">
        <v>64</v>
      </c>
      <c r="H849" s="6"/>
      <c r="I849" s="6"/>
      <c r="J849" s="6" t="s">
        <v>2397</v>
      </c>
      <c r="K849" s="6" t="s">
        <v>2439</v>
      </c>
      <c r="L849" s="6">
        <v>20</v>
      </c>
      <c r="M849" s="6">
        <v>4050</v>
      </c>
      <c r="N849" s="6">
        <v>6.44</v>
      </c>
      <c r="O849" s="6">
        <v>299</v>
      </c>
      <c r="P849" s="6" t="s">
        <v>2368</v>
      </c>
      <c r="Q849" s="6">
        <f>Table2_1[[#This Row],[Specs Score]] / (Table2_1[[#This Row],[Launched Price (USA)]] ^ 0.85)</f>
        <v>0.24639144255938178</v>
      </c>
      <c r="R849" s="6">
        <f>IFERROR(Table2_1[[#This Row],[Launched Price (USA)]] / S849, "")</f>
        <v>9.5438819320160135</v>
      </c>
      <c r="S84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31.328970971127717</v>
      </c>
      <c r="T849" s="6">
        <v>2021</v>
      </c>
    </row>
    <row r="850" spans="1:20" x14ac:dyDescent="0.25">
      <c r="A850" s="6" t="s">
        <v>890</v>
      </c>
      <c r="B850" s="6" t="s">
        <v>1034</v>
      </c>
      <c r="C85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50" s="6">
        <v>172</v>
      </c>
      <c r="E850" s="6">
        <v>8</v>
      </c>
      <c r="F850" s="6">
        <v>50</v>
      </c>
      <c r="G850" s="6">
        <v>64</v>
      </c>
      <c r="H850" s="6"/>
      <c r="I850" s="6"/>
      <c r="J850" s="6" t="s">
        <v>2397</v>
      </c>
      <c r="K850" s="6" t="s">
        <v>2439</v>
      </c>
      <c r="L850" s="6">
        <v>20</v>
      </c>
      <c r="M850" s="6">
        <v>4050</v>
      </c>
      <c r="N850" s="6">
        <v>6.44</v>
      </c>
      <c r="O850" s="6">
        <v>349</v>
      </c>
      <c r="P850" s="6" t="s">
        <v>2368</v>
      </c>
      <c r="Q850" s="6">
        <f>Table2_1[[#This Row],[Specs Score]] / (Table2_1[[#This Row],[Launched Price (USA)]] ^ 0.85)</f>
        <v>0.24273941133879376</v>
      </c>
      <c r="R850" s="6">
        <f>IFERROR(Table2_1[[#This Row],[Launched Price (USA)]] / S850, "")</f>
        <v>9.9147899899746434</v>
      </c>
      <c r="S85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35.199938713063204</v>
      </c>
      <c r="T850" s="6">
        <v>2021</v>
      </c>
    </row>
    <row r="851" spans="1:20" x14ac:dyDescent="0.25">
      <c r="A851" s="6" t="s">
        <v>890</v>
      </c>
      <c r="B851" s="6" t="s">
        <v>1035</v>
      </c>
      <c r="C85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51" s="6">
        <v>182</v>
      </c>
      <c r="E851" s="6">
        <v>8</v>
      </c>
      <c r="F851" s="6">
        <v>16</v>
      </c>
      <c r="G851" s="6">
        <v>50</v>
      </c>
      <c r="H851" s="6"/>
      <c r="I851" s="6"/>
      <c r="J851" s="6" t="s">
        <v>2385</v>
      </c>
      <c r="K851" s="6" t="s">
        <v>2439</v>
      </c>
      <c r="L851" s="6">
        <v>10</v>
      </c>
      <c r="M851" s="6">
        <v>5000</v>
      </c>
      <c r="N851" s="6">
        <v>6.58</v>
      </c>
      <c r="O851" s="6">
        <v>239</v>
      </c>
      <c r="P851" s="6" t="s">
        <v>2368</v>
      </c>
      <c r="Q851" s="6">
        <f>Table2_1[[#This Row],[Specs Score]] / (Table2_1[[#This Row],[Launched Price (USA)]] ^ 0.85)</f>
        <v>0.22755939196142913</v>
      </c>
      <c r="R851" s="6">
        <f>IFERROR(Table2_1[[#This Row],[Launched Price (USA)]] / S851, "")</f>
        <v>9.9922874845873348</v>
      </c>
      <c r="S85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23.918447139220824</v>
      </c>
      <c r="T851" s="6">
        <v>2021</v>
      </c>
    </row>
    <row r="852" spans="1:20" x14ac:dyDescent="0.25">
      <c r="A852" s="6" t="s">
        <v>890</v>
      </c>
      <c r="B852" s="6" t="s">
        <v>1039</v>
      </c>
      <c r="C852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852" s="6">
        <v>182</v>
      </c>
      <c r="E852" s="6">
        <v>4</v>
      </c>
      <c r="F852" s="6">
        <v>16</v>
      </c>
      <c r="G852" s="6">
        <v>50</v>
      </c>
      <c r="H852" s="6"/>
      <c r="I852" s="6"/>
      <c r="J852" s="6" t="s">
        <v>2385</v>
      </c>
      <c r="K852" s="6" t="s">
        <v>2439</v>
      </c>
      <c r="L852" s="6">
        <v>10</v>
      </c>
      <c r="M852" s="6">
        <v>5000</v>
      </c>
      <c r="N852" s="6">
        <v>6.58</v>
      </c>
      <c r="O852" s="6">
        <v>179</v>
      </c>
      <c r="P852" s="6" t="s">
        <v>2368</v>
      </c>
      <c r="Q852" s="6">
        <f>Table2_1[[#This Row],[Specs Score]] / (Table2_1[[#This Row],[Launched Price (USA)]] ^ 0.85)</f>
        <v>0.21874401582101766</v>
      </c>
      <c r="R852" s="6">
        <f>IFERROR(Table2_1[[#This Row],[Launched Price (USA)]] / S852, "")</f>
        <v>9.9538656299212107</v>
      </c>
      <c r="S85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17.982963268253087</v>
      </c>
      <c r="T852" s="6">
        <v>2021</v>
      </c>
    </row>
    <row r="853" spans="1:20" x14ac:dyDescent="0.25">
      <c r="A853" s="6" t="s">
        <v>890</v>
      </c>
      <c r="B853" s="6" t="s">
        <v>1048</v>
      </c>
      <c r="C85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53" s="6">
        <v>179</v>
      </c>
      <c r="E853" s="6">
        <v>8</v>
      </c>
      <c r="F853" s="6">
        <v>16</v>
      </c>
      <c r="G853" s="6">
        <v>50</v>
      </c>
      <c r="H853" s="6"/>
      <c r="I853" s="6"/>
      <c r="J853" s="6" t="s">
        <v>2373</v>
      </c>
      <c r="K853" s="6" t="s">
        <v>2439</v>
      </c>
      <c r="L853" s="6">
        <v>18</v>
      </c>
      <c r="M853" s="6">
        <v>5000</v>
      </c>
      <c r="N853" s="6">
        <v>6.58</v>
      </c>
      <c r="O853" s="6">
        <v>349</v>
      </c>
      <c r="P853" s="6" t="s">
        <v>2368</v>
      </c>
      <c r="Q853" s="6">
        <f>Table2_1[[#This Row],[Specs Score]] / (Table2_1[[#This Row],[Launched Price (USA)]] ^ 0.85)</f>
        <v>0.17887339177511519</v>
      </c>
      <c r="R853" s="6">
        <f>IFERROR(Table2_1[[#This Row],[Launched Price (USA)]] / S853, "")</f>
        <v>13.454825571485756</v>
      </c>
      <c r="S85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25.938649159422845</v>
      </c>
      <c r="T853" s="6">
        <v>2021</v>
      </c>
    </row>
    <row r="854" spans="1:20" x14ac:dyDescent="0.25">
      <c r="A854" s="6" t="s">
        <v>890</v>
      </c>
      <c r="B854" s="6" t="s">
        <v>1050</v>
      </c>
      <c r="C85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54" s="6">
        <v>179</v>
      </c>
      <c r="E854" s="6">
        <v>8</v>
      </c>
      <c r="F854" s="6">
        <v>16</v>
      </c>
      <c r="G854" s="6">
        <v>50</v>
      </c>
      <c r="H854" s="6"/>
      <c r="I854" s="6"/>
      <c r="J854" s="6" t="s">
        <v>2373</v>
      </c>
      <c r="K854" s="6" t="s">
        <v>2439</v>
      </c>
      <c r="L854" s="6">
        <v>18</v>
      </c>
      <c r="M854" s="6">
        <v>5000</v>
      </c>
      <c r="N854" s="6">
        <v>6.58</v>
      </c>
      <c r="O854" s="6">
        <v>399</v>
      </c>
      <c r="P854" s="6" t="s">
        <v>2368</v>
      </c>
      <c r="Q854" s="6">
        <f>Table2_1[[#This Row],[Specs Score]] / (Table2_1[[#This Row],[Launched Price (USA)]] ^ 0.85)</f>
        <v>0.18345494956341385</v>
      </c>
      <c r="R854" s="6">
        <f>IFERROR(Table2_1[[#This Row],[Launched Price (USA)]] / S854, "")</f>
        <v>13.384942225870031</v>
      </c>
      <c r="S85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29.809616901358325</v>
      </c>
      <c r="T854" s="6">
        <v>2021</v>
      </c>
    </row>
    <row r="855" spans="1:20" x14ac:dyDescent="0.25">
      <c r="A855" s="6" t="s">
        <v>890</v>
      </c>
      <c r="B855" s="6" t="s">
        <v>1051</v>
      </c>
      <c r="C85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55" s="6">
        <v>190</v>
      </c>
      <c r="E855" s="6">
        <v>6</v>
      </c>
      <c r="F855" s="6">
        <v>16</v>
      </c>
      <c r="G855" s="6">
        <v>64</v>
      </c>
      <c r="H855" s="6"/>
      <c r="I855" s="6"/>
      <c r="J855" s="6" t="s">
        <v>2385</v>
      </c>
      <c r="K855" s="6" t="s">
        <v>2439</v>
      </c>
      <c r="L855" s="6">
        <v>10</v>
      </c>
      <c r="M855" s="6">
        <v>5000</v>
      </c>
      <c r="N855" s="6">
        <v>6.58</v>
      </c>
      <c r="O855" s="6">
        <v>229</v>
      </c>
      <c r="P855" s="6" t="s">
        <v>2368</v>
      </c>
      <c r="Q855" s="6">
        <f>Table2_1[[#This Row],[Specs Score]] / (Table2_1[[#This Row],[Launched Price (USA)]] ^ 0.85)</f>
        <v>0.2233300278722713</v>
      </c>
      <c r="R855" s="6">
        <f>IFERROR(Table2_1[[#This Row],[Launched Price (USA)]] / S855, "")</f>
        <v>10.116451463604781</v>
      </c>
      <c r="S85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22.636395857169539</v>
      </c>
      <c r="T855" s="6">
        <v>2021</v>
      </c>
    </row>
    <row r="856" spans="1:20" x14ac:dyDescent="0.25">
      <c r="A856" s="6" t="s">
        <v>890</v>
      </c>
      <c r="B856" s="6" t="s">
        <v>1052</v>
      </c>
      <c r="C856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856" s="6">
        <v>190</v>
      </c>
      <c r="E856" s="6">
        <v>6</v>
      </c>
      <c r="F856" s="6">
        <v>16</v>
      </c>
      <c r="G856" s="6">
        <v>64</v>
      </c>
      <c r="H856" s="6"/>
      <c r="I856" s="6"/>
      <c r="J856" s="6" t="s">
        <v>2385</v>
      </c>
      <c r="K856" s="6" t="s">
        <v>2439</v>
      </c>
      <c r="L856" s="6">
        <v>10</v>
      </c>
      <c r="M856" s="6">
        <v>5000</v>
      </c>
      <c r="N856" s="6">
        <v>6.58</v>
      </c>
      <c r="O856" s="6">
        <v>179</v>
      </c>
      <c r="P856" s="6" t="s">
        <v>2368</v>
      </c>
      <c r="Q856" s="6">
        <f>Table2_1[[#This Row],[Specs Score]] / (Table2_1[[#This Row],[Launched Price (USA)]] ^ 0.85)</f>
        <v>0.25180503076560545</v>
      </c>
      <c r="R856" s="6">
        <f>IFERROR(Table2_1[[#This Row],[Launched Price (USA)]] / S856, "")</f>
        <v>8.6469620333303432</v>
      </c>
      <c r="S85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20.700911986201803</v>
      </c>
      <c r="T856" s="6">
        <v>2021</v>
      </c>
    </row>
    <row r="857" spans="1:20" x14ac:dyDescent="0.25">
      <c r="A857" s="6" t="s">
        <v>890</v>
      </c>
      <c r="B857" s="6" t="s">
        <v>1053</v>
      </c>
      <c r="C85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57" s="6">
        <v>185</v>
      </c>
      <c r="E857" s="6">
        <v>6</v>
      </c>
      <c r="F857" s="6">
        <v>32</v>
      </c>
      <c r="G857" s="6">
        <v>48</v>
      </c>
      <c r="H857" s="6"/>
      <c r="I857" s="6"/>
      <c r="J857" s="6" t="s">
        <v>2427</v>
      </c>
      <c r="K857" s="6" t="s">
        <v>2439</v>
      </c>
      <c r="L857" s="6">
        <v>25</v>
      </c>
      <c r="M857" s="6">
        <v>3700</v>
      </c>
      <c r="N857" s="6">
        <v>6.39</v>
      </c>
      <c r="O857" s="6">
        <v>399</v>
      </c>
      <c r="P857" s="6" t="s">
        <v>2368</v>
      </c>
      <c r="Q857" s="6">
        <f>Table2_1[[#This Row],[Specs Score]] / (Table2_1[[#This Row],[Launched Price (USA)]] ^ 0.85)</f>
        <v>0.16028605625144421</v>
      </c>
      <c r="R857" s="6">
        <f>IFERROR(Table2_1[[#This Row],[Launched Price (USA)]] / S857, "")</f>
        <v>15.319697535661778</v>
      </c>
      <c r="S85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26.044900630132712</v>
      </c>
      <c r="T857" s="6">
        <v>2019</v>
      </c>
    </row>
    <row r="858" spans="1:20" x14ac:dyDescent="0.25">
      <c r="A858" s="6" t="s">
        <v>890</v>
      </c>
      <c r="B858" s="6" t="s">
        <v>1054</v>
      </c>
      <c r="C85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58" s="6">
        <v>185</v>
      </c>
      <c r="E858" s="6">
        <v>6</v>
      </c>
      <c r="F858" s="6">
        <v>32</v>
      </c>
      <c r="G858" s="6">
        <v>48</v>
      </c>
      <c r="H858" s="6"/>
      <c r="I858" s="6"/>
      <c r="J858" s="6" t="s">
        <v>2427</v>
      </c>
      <c r="K858" s="6" t="s">
        <v>2439</v>
      </c>
      <c r="L858" s="6">
        <v>25</v>
      </c>
      <c r="M858" s="6">
        <v>3700</v>
      </c>
      <c r="N858" s="6">
        <v>6.39</v>
      </c>
      <c r="O858" s="6">
        <v>449</v>
      </c>
      <c r="P858" s="6" t="s">
        <v>2368</v>
      </c>
      <c r="Q858" s="6">
        <f>Table2_1[[#This Row],[Specs Score]] / (Table2_1[[#This Row],[Launched Price (USA)]] ^ 0.85)</f>
        <v>0.16652990098683473</v>
      </c>
      <c r="R858" s="6">
        <f>IFERROR(Table2_1[[#This Row],[Launched Price (USA)]] / S858, "")</f>
        <v>15.00875703876347</v>
      </c>
      <c r="S85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29.915868372068196</v>
      </c>
      <c r="T858" s="6">
        <v>2019</v>
      </c>
    </row>
    <row r="859" spans="1:20" x14ac:dyDescent="0.25">
      <c r="A859" s="6" t="s">
        <v>890</v>
      </c>
      <c r="B859" s="6" t="s">
        <v>1091</v>
      </c>
      <c r="C85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59" s="6">
        <v>182</v>
      </c>
      <c r="E859" s="6">
        <v>4</v>
      </c>
      <c r="F859" s="6">
        <v>8</v>
      </c>
      <c r="G859" s="6">
        <v>13</v>
      </c>
      <c r="H859" s="6"/>
      <c r="I859" s="6"/>
      <c r="J859" s="6" t="s">
        <v>2421</v>
      </c>
      <c r="K859" s="6" t="s">
        <v>2439</v>
      </c>
      <c r="L859" s="6">
        <v>5</v>
      </c>
      <c r="M859" s="6">
        <v>5000</v>
      </c>
      <c r="N859" s="6">
        <v>6.51</v>
      </c>
      <c r="O859" s="6">
        <v>199</v>
      </c>
      <c r="P859" s="6" t="s">
        <v>2368</v>
      </c>
      <c r="Q859" s="6">
        <f>Table2_1[[#This Row],[Specs Score]] / (Table2_1[[#This Row],[Launched Price (USA)]] ^ 0.85)</f>
        <v>0.17015357420682606</v>
      </c>
      <c r="R859" s="6">
        <f>IFERROR(Table2_1[[#This Row],[Launched Price (USA)]] / S859, "")</f>
        <v>13.0013031631063</v>
      </c>
      <c r="S85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15.306157967664412</v>
      </c>
      <c r="T859" s="6">
        <v>2021</v>
      </c>
    </row>
    <row r="860" spans="1:20" x14ac:dyDescent="0.25">
      <c r="A860" s="6" t="s">
        <v>890</v>
      </c>
      <c r="B860" s="6" t="s">
        <v>1092</v>
      </c>
      <c r="C860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860" s="6">
        <v>182</v>
      </c>
      <c r="E860" s="6">
        <v>4</v>
      </c>
      <c r="F860" s="6">
        <v>8</v>
      </c>
      <c r="G860" s="6">
        <v>13</v>
      </c>
      <c r="H860" s="6"/>
      <c r="I860" s="6"/>
      <c r="J860" s="6" t="s">
        <v>2421</v>
      </c>
      <c r="K860" s="6" t="s">
        <v>2439</v>
      </c>
      <c r="L860" s="6">
        <v>5</v>
      </c>
      <c r="M860" s="6">
        <v>5000</v>
      </c>
      <c r="N860" s="6">
        <v>6.51</v>
      </c>
      <c r="O860" s="6">
        <v>179</v>
      </c>
      <c r="P860" s="6" t="s">
        <v>2368</v>
      </c>
      <c r="Q860" s="6">
        <f>Table2_1[[#This Row],[Specs Score]] / (Table2_1[[#This Row],[Launched Price (USA)]] ^ 0.85)</f>
        <v>0.16264032253843369</v>
      </c>
      <c r="R860" s="6">
        <f>IFERROR(Table2_1[[#This Row],[Launched Price (USA)]] / S860, "")</f>
        <v>13.387507518728867</v>
      </c>
      <c r="S86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13.370674096696671</v>
      </c>
      <c r="T860" s="6">
        <v>2021</v>
      </c>
    </row>
    <row r="861" spans="1:20" x14ac:dyDescent="0.25">
      <c r="A861" s="6" t="s">
        <v>890</v>
      </c>
      <c r="B861" s="6" t="s">
        <v>891</v>
      </c>
      <c r="C86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61" s="6">
        <v>223</v>
      </c>
      <c r="E861" s="6">
        <v>12</v>
      </c>
      <c r="F861" s="6">
        <v>32</v>
      </c>
      <c r="G861" s="6">
        <v>50</v>
      </c>
      <c r="H861" s="6"/>
      <c r="I861" s="6"/>
      <c r="J861" s="6" t="s">
        <v>893</v>
      </c>
      <c r="K861" s="6" t="s">
        <v>2437</v>
      </c>
      <c r="L861" s="6">
        <v>100</v>
      </c>
      <c r="M861" s="6">
        <v>6000</v>
      </c>
      <c r="N861" s="6">
        <v>6.78</v>
      </c>
      <c r="O861" s="6">
        <v>999</v>
      </c>
      <c r="P861" s="6" t="s">
        <v>2368</v>
      </c>
      <c r="Q861" s="6">
        <f>Table2_1[[#This Row],[Specs Score]] / (Table2_1[[#This Row],[Launched Price (USA)]] ^ 0.85)</f>
        <v>0.15582869888334835</v>
      </c>
      <c r="R861" s="6">
        <f>IFERROR(Table2_1[[#This Row],[Launched Price (USA)]] / S861, "")</f>
        <v>18.083703542641192</v>
      </c>
      <c r="S86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55.243108672090756</v>
      </c>
      <c r="T861" s="6">
        <v>2024</v>
      </c>
    </row>
    <row r="862" spans="1:20" x14ac:dyDescent="0.25">
      <c r="A862" s="6" t="s">
        <v>890</v>
      </c>
      <c r="B862" s="6" t="s">
        <v>894</v>
      </c>
      <c r="C86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62" s="6">
        <v>223</v>
      </c>
      <c r="E862" s="6">
        <v>12</v>
      </c>
      <c r="F862" s="6">
        <v>32</v>
      </c>
      <c r="G862" s="6">
        <v>50</v>
      </c>
      <c r="H862" s="6"/>
      <c r="I862" s="6"/>
      <c r="J862" s="6" t="s">
        <v>893</v>
      </c>
      <c r="K862" s="6" t="s">
        <v>2437</v>
      </c>
      <c r="L862" s="6">
        <v>100</v>
      </c>
      <c r="M862" s="6">
        <v>6000</v>
      </c>
      <c r="N862" s="6">
        <v>6.78</v>
      </c>
      <c r="O862" s="6">
        <v>1099</v>
      </c>
      <c r="P862" s="6" t="s">
        <v>2368</v>
      </c>
      <c r="Q862" s="6">
        <f>Table2_1[[#This Row],[Specs Score]] / (Table2_1[[#This Row],[Launched Price (USA)]] ^ 0.85)</f>
        <v>0.15375982289367945</v>
      </c>
      <c r="R862" s="6">
        <f>IFERROR(Table2_1[[#This Row],[Launched Price (USA)]] / S862, "")</f>
        <v>18.591172638861291</v>
      </c>
      <c r="S86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59.114076414026229</v>
      </c>
      <c r="T862" s="6">
        <v>2024</v>
      </c>
    </row>
    <row r="863" spans="1:20" x14ac:dyDescent="0.25">
      <c r="A863" s="6" t="s">
        <v>890</v>
      </c>
      <c r="B863" s="6" t="s">
        <v>896</v>
      </c>
      <c r="C86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63" s="6">
        <v>223</v>
      </c>
      <c r="E863" s="6">
        <v>16</v>
      </c>
      <c r="F863" s="6">
        <v>32</v>
      </c>
      <c r="G863" s="6">
        <v>200</v>
      </c>
      <c r="H863" s="6"/>
      <c r="I863" s="6"/>
      <c r="J863" s="6" t="s">
        <v>893</v>
      </c>
      <c r="K863" s="6" t="s">
        <v>2437</v>
      </c>
      <c r="L863" s="6">
        <v>100</v>
      </c>
      <c r="M863" s="6">
        <v>6000</v>
      </c>
      <c r="N863" s="6">
        <v>6.78</v>
      </c>
      <c r="O863" s="6">
        <v>1199</v>
      </c>
      <c r="P863" s="6" t="s">
        <v>2368</v>
      </c>
      <c r="Q863" s="6">
        <f>Table2_1[[#This Row],[Specs Score]] / (Table2_1[[#This Row],[Launched Price (USA)]] ^ 0.85)</f>
        <v>0.17103150252654256</v>
      </c>
      <c r="R863" s="6">
        <f>IFERROR(Table2_1[[#This Row],[Launched Price (USA)]] / S863, "")</f>
        <v>16.933501337949899</v>
      </c>
      <c r="S86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70.806384106333923</v>
      </c>
      <c r="T863" s="6">
        <v>2024</v>
      </c>
    </row>
    <row r="864" spans="1:20" x14ac:dyDescent="0.25">
      <c r="A864" s="6" t="s">
        <v>890</v>
      </c>
      <c r="B864" s="6" t="s">
        <v>899</v>
      </c>
      <c r="C864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864" s="6">
        <v>223</v>
      </c>
      <c r="E864" s="6">
        <v>16</v>
      </c>
      <c r="F864" s="6">
        <v>32</v>
      </c>
      <c r="G864" s="6">
        <v>200</v>
      </c>
      <c r="H864" s="6"/>
      <c r="I864" s="6"/>
      <c r="J864" s="6" t="s">
        <v>893</v>
      </c>
      <c r="K864" s="6" t="s">
        <v>2437</v>
      </c>
      <c r="L864" s="6">
        <v>100</v>
      </c>
      <c r="M864" s="6">
        <v>6000</v>
      </c>
      <c r="N864" s="6">
        <v>6.78</v>
      </c>
      <c r="O864" s="6">
        <v>1299</v>
      </c>
      <c r="P864" s="6" t="s">
        <v>2368</v>
      </c>
      <c r="Q864" s="6">
        <f>Table2_1[[#This Row],[Specs Score]] / (Table2_1[[#This Row],[Launched Price (USA)]] ^ 0.85)</f>
        <v>0.17724301134832901</v>
      </c>
      <c r="R864" s="6">
        <f>IFERROR(Table2_1[[#This Row],[Launched Price (USA)]] / S864, "")</f>
        <v>16.537591214898345</v>
      </c>
      <c r="S86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78.548319590204883</v>
      </c>
      <c r="T864" s="6">
        <v>2024</v>
      </c>
    </row>
    <row r="865" spans="1:20" x14ac:dyDescent="0.25">
      <c r="A865" s="6" t="s">
        <v>890</v>
      </c>
      <c r="B865" s="6" t="s">
        <v>902</v>
      </c>
      <c r="C86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65" s="6">
        <v>187</v>
      </c>
      <c r="E865" s="6">
        <v>16</v>
      </c>
      <c r="F865" s="6">
        <v>32</v>
      </c>
      <c r="G865" s="6">
        <v>50</v>
      </c>
      <c r="H865" s="6"/>
      <c r="I865" s="6"/>
      <c r="J865" s="6" t="s">
        <v>893</v>
      </c>
      <c r="K865" s="6" t="s">
        <v>2437</v>
      </c>
      <c r="L865" s="6">
        <v>100</v>
      </c>
      <c r="M865" s="6">
        <v>5700</v>
      </c>
      <c r="N865" s="6">
        <v>6.31</v>
      </c>
      <c r="O865" s="6">
        <v>949</v>
      </c>
      <c r="P865" s="6" t="s">
        <v>2368</v>
      </c>
      <c r="Q865" s="6">
        <f>Table2_1[[#This Row],[Specs Score]] / (Table2_1[[#This Row],[Launched Price (USA)]] ^ 0.85)</f>
        <v>0.18308912823723308</v>
      </c>
      <c r="R865" s="6">
        <f>IFERROR(Table2_1[[#This Row],[Launched Price (USA)]] / S865, "")</f>
        <v>15.273106321243343</v>
      </c>
      <c r="S86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62.135362645910291</v>
      </c>
      <c r="T865" s="6">
        <v>2024</v>
      </c>
    </row>
    <row r="866" spans="1:20" x14ac:dyDescent="0.25">
      <c r="A866" s="6" t="s">
        <v>890</v>
      </c>
      <c r="B866" s="6" t="s">
        <v>913</v>
      </c>
      <c r="C86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66" s="6">
        <v>180</v>
      </c>
      <c r="E866" s="6">
        <v>8</v>
      </c>
      <c r="F866" s="6">
        <v>16</v>
      </c>
      <c r="G866" s="6">
        <v>50</v>
      </c>
      <c r="H866" s="6"/>
      <c r="I866" s="6"/>
      <c r="J866" s="6" t="s">
        <v>804</v>
      </c>
      <c r="K866" s="6" t="s">
        <v>2437</v>
      </c>
      <c r="L866" s="6">
        <v>82</v>
      </c>
      <c r="M866" s="6">
        <v>5000</v>
      </c>
      <c r="N866" s="6">
        <v>6.67</v>
      </c>
      <c r="O866" s="6">
        <v>349</v>
      </c>
      <c r="P866" s="6" t="s">
        <v>2368</v>
      </c>
      <c r="Q866" s="6">
        <f>Table2_1[[#This Row],[Specs Score]] / (Table2_1[[#This Row],[Launched Price (USA)]] ^ 0.85)</f>
        <v>0.29097068959520783</v>
      </c>
      <c r="R866" s="6">
        <f>IFERROR(Table2_1[[#This Row],[Launched Price (USA)]] / S866, "")</f>
        <v>8.271315193507542</v>
      </c>
      <c r="S86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42.194015321039011</v>
      </c>
      <c r="T866" s="6">
        <v>2024</v>
      </c>
    </row>
    <row r="867" spans="1:20" x14ac:dyDescent="0.25">
      <c r="A867" s="6" t="s">
        <v>890</v>
      </c>
      <c r="B867" s="6" t="s">
        <v>918</v>
      </c>
      <c r="C86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67" s="6">
        <v>189</v>
      </c>
      <c r="E867" s="6">
        <v>12</v>
      </c>
      <c r="F867" s="6">
        <v>32</v>
      </c>
      <c r="G867" s="6">
        <v>108</v>
      </c>
      <c r="H867" s="6"/>
      <c r="I867" s="6"/>
      <c r="J867" s="6" t="s">
        <v>401</v>
      </c>
      <c r="K867" s="6" t="s">
        <v>2437</v>
      </c>
      <c r="L867" s="6">
        <v>95</v>
      </c>
      <c r="M867" s="6">
        <v>4700</v>
      </c>
      <c r="N867" s="6">
        <v>6.56</v>
      </c>
      <c r="O867" s="6">
        <v>599</v>
      </c>
      <c r="P867" s="6" t="s">
        <v>2368</v>
      </c>
      <c r="Q867" s="6">
        <f>Table2_1[[#This Row],[Specs Score]] / (Table2_1[[#This Row],[Launched Price (USA)]] ^ 0.85)</f>
        <v>0.25478441494961473</v>
      </c>
      <c r="R867" s="6">
        <f>IFERROR(Table2_1[[#This Row],[Launched Price (USA)]] / S867, "")</f>
        <v>10.243330006460088</v>
      </c>
      <c r="S86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58.477077241700982</v>
      </c>
      <c r="T867" s="6">
        <v>2024</v>
      </c>
    </row>
    <row r="868" spans="1:20" x14ac:dyDescent="0.25">
      <c r="A868" s="6" t="s">
        <v>890</v>
      </c>
      <c r="B868" s="6" t="s">
        <v>922</v>
      </c>
      <c r="C86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68" s="6">
        <v>210</v>
      </c>
      <c r="E868" s="6">
        <v>16</v>
      </c>
      <c r="F868" s="6">
        <v>16</v>
      </c>
      <c r="G868" s="6">
        <v>50</v>
      </c>
      <c r="H868" s="6"/>
      <c r="I868" s="6"/>
      <c r="J868" s="6" t="s">
        <v>737</v>
      </c>
      <c r="K868" s="6" t="s">
        <v>2437</v>
      </c>
      <c r="L868" s="6">
        <v>100</v>
      </c>
      <c r="M868" s="6">
        <v>5000</v>
      </c>
      <c r="N868" s="6">
        <v>6.78</v>
      </c>
      <c r="O868" s="6">
        <v>699</v>
      </c>
      <c r="P868" s="6" t="s">
        <v>2368</v>
      </c>
      <c r="Q868" s="6">
        <f>Table2_1[[#This Row],[Specs Score]] / (Table2_1[[#This Row],[Launched Price (USA)]] ^ 0.85)</f>
        <v>0.22439727615666513</v>
      </c>
      <c r="R868" s="6">
        <f>IFERROR(Table2_1[[#This Row],[Launched Price (USA)]] / S868, "")</f>
        <v>11.902933175506206</v>
      </c>
      <c r="S86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58.725020941762367</v>
      </c>
      <c r="T868" s="6">
        <v>2024</v>
      </c>
    </row>
    <row r="869" spans="1:20" x14ac:dyDescent="0.25">
      <c r="A869" s="6" t="s">
        <v>890</v>
      </c>
      <c r="B869" s="6" t="s">
        <v>1040</v>
      </c>
      <c r="C86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69" s="6">
        <v>190</v>
      </c>
      <c r="E869" s="6">
        <v>12</v>
      </c>
      <c r="F869" s="6">
        <v>32</v>
      </c>
      <c r="G869" s="6">
        <v>48</v>
      </c>
      <c r="H869" s="6"/>
      <c r="I869" s="6"/>
      <c r="J869" s="6" t="s">
        <v>804</v>
      </c>
      <c r="K869" s="6" t="s">
        <v>2437</v>
      </c>
      <c r="L869" s="6">
        <v>82</v>
      </c>
      <c r="M869" s="6">
        <v>4200</v>
      </c>
      <c r="N869" s="6">
        <v>6.56</v>
      </c>
      <c r="O869" s="6">
        <v>899</v>
      </c>
      <c r="P869" s="6" t="s">
        <v>2368</v>
      </c>
      <c r="Q869" s="6">
        <f>Table2_1[[#This Row],[Specs Score]] / (Table2_1[[#This Row],[Launched Price (USA)]] ^ 0.85)</f>
        <v>0.15828489657490033</v>
      </c>
      <c r="R869" s="6">
        <f>IFERROR(Table2_1[[#This Row],[Launched Price (USA)]] / S869, "")</f>
        <v>17.52364622915896</v>
      </c>
      <c r="S86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51.302108490645281</v>
      </c>
      <c r="T869" s="6">
        <v>2021</v>
      </c>
    </row>
    <row r="870" spans="1:20" x14ac:dyDescent="0.25">
      <c r="A870" s="6" t="s">
        <v>890</v>
      </c>
      <c r="B870" s="6" t="s">
        <v>1043</v>
      </c>
      <c r="C870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870" s="6">
        <v>190</v>
      </c>
      <c r="E870" s="6">
        <v>12</v>
      </c>
      <c r="F870" s="6">
        <v>32</v>
      </c>
      <c r="G870" s="6">
        <v>48</v>
      </c>
      <c r="H870" s="6"/>
      <c r="I870" s="6"/>
      <c r="J870" s="6" t="s">
        <v>804</v>
      </c>
      <c r="K870" s="6" t="s">
        <v>2437</v>
      </c>
      <c r="L870" s="6">
        <v>82</v>
      </c>
      <c r="M870" s="6">
        <v>4200</v>
      </c>
      <c r="N870" s="6">
        <v>6.56</v>
      </c>
      <c r="O870" s="6">
        <v>999</v>
      </c>
      <c r="P870" s="6" t="s">
        <v>2368</v>
      </c>
      <c r="Q870" s="6">
        <f>Table2_1[[#This Row],[Specs Score]] / (Table2_1[[#This Row],[Launched Price (USA)]] ^ 0.85)</f>
        <v>0.16655030411075261</v>
      </c>
      <c r="R870" s="6">
        <f>IFERROR(Table2_1[[#This Row],[Launched Price (USA)]] / S870, "")</f>
        <v>16.919572792662613</v>
      </c>
      <c r="S87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59.044043974516242</v>
      </c>
      <c r="T870" s="6">
        <v>2021</v>
      </c>
    </row>
    <row r="871" spans="1:20" x14ac:dyDescent="0.25">
      <c r="A871" s="6" t="s">
        <v>890</v>
      </c>
      <c r="B871" s="6" t="s">
        <v>1061</v>
      </c>
      <c r="C87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71" s="6">
        <v>199</v>
      </c>
      <c r="E871" s="6">
        <v>8</v>
      </c>
      <c r="F871" s="6">
        <v>32</v>
      </c>
      <c r="G871" s="6">
        <v>64</v>
      </c>
      <c r="H871" s="6"/>
      <c r="I871" s="6"/>
      <c r="J871" s="6" t="s">
        <v>834</v>
      </c>
      <c r="K871" s="6" t="s">
        <v>2437</v>
      </c>
      <c r="L871" s="6">
        <v>75</v>
      </c>
      <c r="M871" s="6">
        <v>4200</v>
      </c>
      <c r="N871" s="6">
        <v>6.44</v>
      </c>
      <c r="O871" s="6">
        <v>899</v>
      </c>
      <c r="P871" s="6" t="s">
        <v>2368</v>
      </c>
      <c r="Q871" s="6">
        <f>Table2_1[[#This Row],[Specs Score]] / (Table2_1[[#This Row],[Launched Price (USA)]] ^ 0.85)</f>
        <v>0.1306922163496238</v>
      </c>
      <c r="R871" s="6">
        <f>IFERROR(Table2_1[[#This Row],[Launched Price (USA)]] / S871, "")</f>
        <v>21.223364393617558</v>
      </c>
      <c r="S87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42.358976801545836</v>
      </c>
      <c r="T871" s="6">
        <v>2019</v>
      </c>
    </row>
    <row r="872" spans="1:20" x14ac:dyDescent="0.25">
      <c r="A872" s="6" t="s">
        <v>890</v>
      </c>
      <c r="B872" s="6" t="s">
        <v>1065</v>
      </c>
      <c r="C87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72" s="6">
        <v>199</v>
      </c>
      <c r="E872" s="6">
        <v>8</v>
      </c>
      <c r="F872" s="6">
        <v>32</v>
      </c>
      <c r="G872" s="6">
        <v>64</v>
      </c>
      <c r="H872" s="6"/>
      <c r="I872" s="6"/>
      <c r="J872" s="6" t="s">
        <v>834</v>
      </c>
      <c r="K872" s="6" t="s">
        <v>2437</v>
      </c>
      <c r="L872" s="6">
        <v>75</v>
      </c>
      <c r="M872" s="6">
        <v>4200</v>
      </c>
      <c r="N872" s="6">
        <v>6.44</v>
      </c>
      <c r="O872" s="6">
        <v>949</v>
      </c>
      <c r="P872" s="6" t="s">
        <v>2368</v>
      </c>
      <c r="Q872" s="6">
        <f>Table2_1[[#This Row],[Specs Score]] / (Table2_1[[#This Row],[Launched Price (USA)]] ^ 0.85)</f>
        <v>0.13622194969966483</v>
      </c>
      <c r="R872" s="6">
        <f>IFERROR(Table2_1[[#This Row],[Launched Price (USA)]] / S872, "")</f>
        <v>20.52782042832483</v>
      </c>
      <c r="S87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46.229944543481324</v>
      </c>
      <c r="T872" s="6">
        <v>2019</v>
      </c>
    </row>
    <row r="873" spans="1:20" x14ac:dyDescent="0.25">
      <c r="A873" s="6" t="s">
        <v>890</v>
      </c>
      <c r="B873" s="6" t="s">
        <v>1077</v>
      </c>
      <c r="C87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73" s="6">
        <v>221</v>
      </c>
      <c r="E873" s="6">
        <v>12</v>
      </c>
      <c r="F873" s="6">
        <v>32</v>
      </c>
      <c r="G873" s="6">
        <v>50</v>
      </c>
      <c r="H873" s="6"/>
      <c r="I873" s="6"/>
      <c r="J873" s="6" t="s">
        <v>1203</v>
      </c>
      <c r="K873" s="6" t="s">
        <v>2437</v>
      </c>
      <c r="L873" s="6">
        <v>95</v>
      </c>
      <c r="M873" s="6">
        <v>4870</v>
      </c>
      <c r="N873" s="6">
        <v>6.78</v>
      </c>
      <c r="O873" s="6">
        <v>1099</v>
      </c>
      <c r="P873" s="6" t="s">
        <v>2368</v>
      </c>
      <c r="Q873" s="6">
        <f>Table2_1[[#This Row],[Specs Score]] / (Table2_1[[#This Row],[Launched Price (USA)]] ^ 0.85)</f>
        <v>0.14568345631330915</v>
      </c>
      <c r="R873" s="6">
        <f>IFERROR(Table2_1[[#This Row],[Launched Price (USA)]] / S873, "")</f>
        <v>19.621825872866676</v>
      </c>
      <c r="S87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56.009058847052145</v>
      </c>
      <c r="T873" s="6">
        <v>2022</v>
      </c>
    </row>
    <row r="874" spans="1:20" x14ac:dyDescent="0.25">
      <c r="A874" s="6" t="s">
        <v>890</v>
      </c>
      <c r="B874" s="6" t="s">
        <v>1080</v>
      </c>
      <c r="C874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874" s="6">
        <v>221</v>
      </c>
      <c r="E874" s="6">
        <v>12</v>
      </c>
      <c r="F874" s="6">
        <v>32</v>
      </c>
      <c r="G874" s="6">
        <v>50</v>
      </c>
      <c r="H874" s="6"/>
      <c r="I874" s="6"/>
      <c r="J874" s="6" t="s">
        <v>1203</v>
      </c>
      <c r="K874" s="6" t="s">
        <v>2437</v>
      </c>
      <c r="L874" s="6">
        <v>95</v>
      </c>
      <c r="M874" s="6">
        <v>4870</v>
      </c>
      <c r="N874" s="6">
        <v>6.78</v>
      </c>
      <c r="O874" s="6">
        <v>1199</v>
      </c>
      <c r="P874" s="6" t="s">
        <v>2368</v>
      </c>
      <c r="Q874" s="6">
        <f>Table2_1[[#This Row],[Specs Score]] / (Table2_1[[#This Row],[Launched Price (USA)]] ^ 0.85)</f>
        <v>0.1539893398821861</v>
      </c>
      <c r="R874" s="6">
        <f>IFERROR(Table2_1[[#This Row],[Launched Price (USA)]] / S874, "")</f>
        <v>18.807549789359317</v>
      </c>
      <c r="S87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63.750994330923106</v>
      </c>
      <c r="T874" s="6">
        <v>2022</v>
      </c>
    </row>
    <row r="875" spans="1:20" x14ac:dyDescent="0.25">
      <c r="A875" s="6" t="s">
        <v>890</v>
      </c>
      <c r="B875" s="6" t="s">
        <v>1089</v>
      </c>
      <c r="C87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75" s="6">
        <v>206</v>
      </c>
      <c r="E875" s="6">
        <v>12</v>
      </c>
      <c r="F875" s="6">
        <v>32</v>
      </c>
      <c r="G875" s="6">
        <v>50</v>
      </c>
      <c r="H875" s="6"/>
      <c r="I875" s="6"/>
      <c r="J875" s="6" t="s">
        <v>2379</v>
      </c>
      <c r="K875" s="6" t="s">
        <v>2437</v>
      </c>
      <c r="L875" s="6">
        <v>90</v>
      </c>
      <c r="M875" s="6">
        <v>4700</v>
      </c>
      <c r="N875" s="6">
        <v>6.78</v>
      </c>
      <c r="O875" s="6">
        <v>899</v>
      </c>
      <c r="P875" s="6" t="s">
        <v>2368</v>
      </c>
      <c r="Q875" s="6">
        <f>Table2_1[[#This Row],[Specs Score]] / (Table2_1[[#This Row],[Launched Price (USA)]] ^ 0.85)</f>
        <v>0.16805665944282544</v>
      </c>
      <c r="R875" s="6">
        <f>IFERROR(Table2_1[[#This Row],[Launched Price (USA)]] / S875, "")</f>
        <v>16.504722515570521</v>
      </c>
      <c r="S87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54.469258671382406</v>
      </c>
      <c r="T875" s="6">
        <v>2022</v>
      </c>
    </row>
    <row r="876" spans="1:20" x14ac:dyDescent="0.25">
      <c r="A876" s="6" t="s">
        <v>890</v>
      </c>
      <c r="B876" s="6" t="s">
        <v>1090</v>
      </c>
      <c r="C876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876" s="6">
        <v>206</v>
      </c>
      <c r="E876" s="6">
        <v>12</v>
      </c>
      <c r="F876" s="6">
        <v>32</v>
      </c>
      <c r="G876" s="6">
        <v>50</v>
      </c>
      <c r="H876" s="6"/>
      <c r="I876" s="6"/>
      <c r="J876" s="6" t="s">
        <v>2379</v>
      </c>
      <c r="K876" s="6" t="s">
        <v>2437</v>
      </c>
      <c r="L876" s="6">
        <v>90</v>
      </c>
      <c r="M876" s="6">
        <v>4700</v>
      </c>
      <c r="N876" s="6">
        <v>6.78</v>
      </c>
      <c r="O876" s="6">
        <v>999</v>
      </c>
      <c r="P876" s="6" t="s">
        <v>2368</v>
      </c>
      <c r="Q876" s="6">
        <f>Table2_1[[#This Row],[Specs Score]] / (Table2_1[[#This Row],[Launched Price (USA)]] ^ 0.85)</f>
        <v>0.1754841404515334</v>
      </c>
      <c r="R876" s="6">
        <f>IFERROR(Table2_1[[#This Row],[Launched Price (USA)]] / S876, "")</f>
        <v>16.058203247263023</v>
      </c>
      <c r="S87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62.211194155253366</v>
      </c>
      <c r="T876" s="6">
        <v>2022</v>
      </c>
    </row>
    <row r="877" spans="1:20" x14ac:dyDescent="0.25">
      <c r="A877" s="6" t="s">
        <v>890</v>
      </c>
      <c r="B877" s="6" t="s">
        <v>1094</v>
      </c>
      <c r="C87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77" s="6">
        <v>498</v>
      </c>
      <c r="E877" s="6">
        <v>6</v>
      </c>
      <c r="F877" s="6">
        <v>8</v>
      </c>
      <c r="G877" s="6">
        <v>13</v>
      </c>
      <c r="H877" s="6"/>
      <c r="I877" s="6"/>
      <c r="J877" s="6" t="s">
        <v>804</v>
      </c>
      <c r="K877" s="6" t="s">
        <v>2437</v>
      </c>
      <c r="L877" s="6">
        <v>82</v>
      </c>
      <c r="M877" s="6">
        <v>8040</v>
      </c>
      <c r="N877" s="6">
        <v>11</v>
      </c>
      <c r="O877" s="6">
        <v>329</v>
      </c>
      <c r="P877" s="6" t="s">
        <v>2369</v>
      </c>
      <c r="Q877" s="6">
        <f>Table2_1[[#This Row],[Specs Score]] / (Table2_1[[#This Row],[Launched Price (USA)]] ^ 0.85)</f>
        <v>0.33632072258598861</v>
      </c>
      <c r="R877" s="6">
        <f>IFERROR(Table2_1[[#This Row],[Launched Price (USA)]] / S877, "")</f>
        <v>7.0929313626717736</v>
      </c>
      <c r="S87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46.384207484572627</v>
      </c>
      <c r="T877" s="6">
        <v>2022</v>
      </c>
    </row>
    <row r="878" spans="1:20" x14ac:dyDescent="0.25">
      <c r="A878" s="6" t="s">
        <v>890</v>
      </c>
      <c r="B878" s="6" t="s">
        <v>1098</v>
      </c>
      <c r="C87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78" s="6">
        <v>510</v>
      </c>
      <c r="E878" s="6">
        <v>6</v>
      </c>
      <c r="F878" s="6">
        <v>8</v>
      </c>
      <c r="G878" s="6">
        <v>13</v>
      </c>
      <c r="H878" s="6"/>
      <c r="I878" s="6"/>
      <c r="J878" s="6" t="s">
        <v>804</v>
      </c>
      <c r="K878" s="6" t="s">
        <v>2437</v>
      </c>
      <c r="L878" s="6">
        <v>82</v>
      </c>
      <c r="M878" s="6">
        <v>8040</v>
      </c>
      <c r="N878" s="6">
        <v>10.4</v>
      </c>
      <c r="O878" s="6">
        <v>279</v>
      </c>
      <c r="P878" s="6" t="s">
        <v>2369</v>
      </c>
      <c r="Q878" s="6">
        <f>Table2_1[[#This Row],[Specs Score]] / (Table2_1[[#This Row],[Launched Price (USA)]] ^ 0.85)</f>
        <v>0.3816936381248901</v>
      </c>
      <c r="R878" s="6">
        <f>IFERROR(Table2_1[[#This Row],[Launched Price (USA)]] / S878, "")</f>
        <v>6.097133568016071</v>
      </c>
      <c r="S87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45.759207484572627</v>
      </c>
      <c r="T878" s="6">
        <v>2023</v>
      </c>
    </row>
    <row r="879" spans="1:20" x14ac:dyDescent="0.25">
      <c r="A879" s="6" t="s">
        <v>890</v>
      </c>
      <c r="B879" s="6" t="s">
        <v>1107</v>
      </c>
      <c r="C87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79" s="6">
        <v>550</v>
      </c>
      <c r="E879" s="6">
        <v>8</v>
      </c>
      <c r="F879" s="6">
        <v>8</v>
      </c>
      <c r="G879" s="6">
        <v>50</v>
      </c>
      <c r="H879" s="6"/>
      <c r="I879" s="6"/>
      <c r="J879" s="6" t="s">
        <v>639</v>
      </c>
      <c r="K879" s="6" t="s">
        <v>2437</v>
      </c>
      <c r="L879" s="6">
        <v>85</v>
      </c>
      <c r="M879" s="6">
        <v>8040</v>
      </c>
      <c r="N879" s="6">
        <v>12.3</v>
      </c>
      <c r="O879" s="6">
        <v>449</v>
      </c>
      <c r="P879" s="6" t="s">
        <v>2369</v>
      </c>
      <c r="Q879" s="6">
        <f>Table2_1[[#This Row],[Specs Score]] / (Table2_1[[#This Row],[Launched Price (USA)]] ^ 0.85)</f>
        <v>0.3132015794739903</v>
      </c>
      <c r="R879" s="6">
        <f>IFERROR(Table2_1[[#This Row],[Launched Price (USA)]] / S879, "")</f>
        <v>7.9801858847531832</v>
      </c>
      <c r="S87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56.264353548186428</v>
      </c>
      <c r="T879" s="6">
        <v>2023</v>
      </c>
    </row>
    <row r="880" spans="1:20" x14ac:dyDescent="0.25">
      <c r="A880" s="6" t="s">
        <v>890</v>
      </c>
      <c r="B880" s="6" t="s">
        <v>1110</v>
      </c>
      <c r="C88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80" s="6">
        <v>560</v>
      </c>
      <c r="E880" s="6">
        <v>8</v>
      </c>
      <c r="F880" s="6">
        <v>8</v>
      </c>
      <c r="G880" s="6">
        <v>50</v>
      </c>
      <c r="H880" s="6"/>
      <c r="I880" s="6"/>
      <c r="J880" s="6" t="s">
        <v>2379</v>
      </c>
      <c r="K880" s="6" t="s">
        <v>2437</v>
      </c>
      <c r="L880" s="6">
        <v>90</v>
      </c>
      <c r="M880" s="6">
        <v>8040</v>
      </c>
      <c r="N880" s="6">
        <v>12.9</v>
      </c>
      <c r="O880" s="6">
        <v>499</v>
      </c>
      <c r="P880" s="6" t="s">
        <v>2369</v>
      </c>
      <c r="Q880" s="6">
        <f>Table2_1[[#This Row],[Specs Score]] / (Table2_1[[#This Row],[Launched Price (USA)]] ^ 0.85)</f>
        <v>0.29592321816875639</v>
      </c>
      <c r="R880" s="6">
        <f>IFERROR(Table2_1[[#This Row],[Launched Price (USA)]] / S880, "")</f>
        <v>8.5809632212593492</v>
      </c>
      <c r="S88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58.151979810812698</v>
      </c>
      <c r="T880" s="6">
        <v>2024</v>
      </c>
    </row>
    <row r="881" spans="1:20" x14ac:dyDescent="0.25">
      <c r="A881" s="6" t="s">
        <v>890</v>
      </c>
      <c r="B881" s="6" t="s">
        <v>905</v>
      </c>
      <c r="C88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81" s="6">
        <v>179</v>
      </c>
      <c r="E881" s="6">
        <v>8</v>
      </c>
      <c r="F881" s="6">
        <v>44</v>
      </c>
      <c r="G881" s="6">
        <v>64</v>
      </c>
      <c r="H881" s="6"/>
      <c r="I881" s="6"/>
      <c r="J881" s="6" t="s">
        <v>708</v>
      </c>
      <c r="K881" s="6" t="s">
        <v>2438</v>
      </c>
      <c r="L881" s="6">
        <v>60</v>
      </c>
      <c r="M881" s="6">
        <v>4100</v>
      </c>
      <c r="N881" s="6">
        <v>6.44</v>
      </c>
      <c r="O881" s="6">
        <v>449</v>
      </c>
      <c r="P881" s="6" t="s">
        <v>2368</v>
      </c>
      <c r="Q881" s="6">
        <f>Table2_1[[#This Row],[Specs Score]] / (Table2_1[[#This Row],[Launched Price (USA)]] ^ 0.85)</f>
        <v>0.22531968846015876</v>
      </c>
      <c r="R881" s="6">
        <f>IFERROR(Table2_1[[#This Row],[Launched Price (USA)]] / S881, "")</f>
        <v>11.092713826660058</v>
      </c>
      <c r="S88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40.477020052647561</v>
      </c>
      <c r="T881" s="6">
        <v>2024</v>
      </c>
    </row>
    <row r="882" spans="1:20" x14ac:dyDescent="0.25">
      <c r="A882" s="6" t="s">
        <v>890</v>
      </c>
      <c r="B882" s="6" t="s">
        <v>910</v>
      </c>
      <c r="C882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82" s="6">
        <v>190</v>
      </c>
      <c r="E882" s="6">
        <v>12</v>
      </c>
      <c r="F882" s="6">
        <v>16</v>
      </c>
      <c r="G882" s="6">
        <v>64</v>
      </c>
      <c r="H882" s="6"/>
      <c r="I882" s="6"/>
      <c r="J882" s="6" t="s">
        <v>911</v>
      </c>
      <c r="K882" s="6" t="s">
        <v>2438</v>
      </c>
      <c r="L882" s="6">
        <v>38</v>
      </c>
      <c r="M882" s="6">
        <v>5000</v>
      </c>
      <c r="N882" s="6">
        <v>6.58</v>
      </c>
      <c r="O882" s="6">
        <v>399</v>
      </c>
      <c r="P882" s="6" t="s">
        <v>2368</v>
      </c>
      <c r="Q882" s="6">
        <f>Table2_1[[#This Row],[Specs Score]] / (Table2_1[[#This Row],[Launched Price (USA)]] ^ 0.85)</f>
        <v>0.21974937780534642</v>
      </c>
      <c r="R882" s="6">
        <f>IFERROR(Table2_1[[#This Row],[Launched Price (USA)]] / S882, "")</f>
        <v>11.174247342494422</v>
      </c>
      <c r="S88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35.707102927876612</v>
      </c>
      <c r="T882" s="6">
        <v>2024</v>
      </c>
    </row>
    <row r="883" spans="1:20" x14ac:dyDescent="0.25">
      <c r="A883" s="6" t="s">
        <v>890</v>
      </c>
      <c r="B883" s="6" t="s">
        <v>914</v>
      </c>
      <c r="C88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83" s="6">
        <v>181</v>
      </c>
      <c r="E883" s="6">
        <v>8</v>
      </c>
      <c r="F883" s="6">
        <v>16</v>
      </c>
      <c r="G883" s="6">
        <v>64</v>
      </c>
      <c r="H883" s="6"/>
      <c r="I883" s="6"/>
      <c r="J883" s="6" t="s">
        <v>915</v>
      </c>
      <c r="K883" s="6" t="s">
        <v>2438</v>
      </c>
      <c r="L883" s="6">
        <v>28</v>
      </c>
      <c r="M883" s="6">
        <v>4500</v>
      </c>
      <c r="N883" s="6">
        <v>6.38</v>
      </c>
      <c r="O883" s="6">
        <v>299</v>
      </c>
      <c r="P883" s="6" t="s">
        <v>2368</v>
      </c>
      <c r="Q883" s="6">
        <f>Table2_1[[#This Row],[Specs Score]] / (Table2_1[[#This Row],[Launched Price (USA)]] ^ 0.85)</f>
        <v>0.22145521741114202</v>
      </c>
      <c r="R883" s="6">
        <f>IFERROR(Table2_1[[#This Row],[Launched Price (USA)]] / S883, "")</f>
        <v>10.618538882649657</v>
      </c>
      <c r="S88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28.158299677986406</v>
      </c>
      <c r="T883" s="6">
        <v>2024</v>
      </c>
    </row>
    <row r="884" spans="1:20" x14ac:dyDescent="0.25">
      <c r="A884" s="6" t="s">
        <v>890</v>
      </c>
      <c r="B884" s="6" t="s">
        <v>920</v>
      </c>
      <c r="C88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84" s="6">
        <v>192</v>
      </c>
      <c r="E884" s="6">
        <v>12</v>
      </c>
      <c r="F884" s="6">
        <v>32</v>
      </c>
      <c r="G884" s="6">
        <v>64</v>
      </c>
      <c r="H884" s="6"/>
      <c r="I884" s="6"/>
      <c r="J884" s="6" t="s">
        <v>921</v>
      </c>
      <c r="K884" s="6" t="s">
        <v>2438</v>
      </c>
      <c r="L884" s="6">
        <v>35</v>
      </c>
      <c r="M884" s="6">
        <v>4500</v>
      </c>
      <c r="N884" s="6">
        <v>6.44</v>
      </c>
      <c r="O884" s="6">
        <v>549</v>
      </c>
      <c r="P884" s="6" t="s">
        <v>2368</v>
      </c>
      <c r="Q884" s="6">
        <f>Table2_1[[#This Row],[Specs Score]] / (Table2_1[[#This Row],[Launched Price (USA)]] ^ 0.85)</f>
        <v>0.17241956480231704</v>
      </c>
      <c r="R884" s="6">
        <f>IFERROR(Table2_1[[#This Row],[Launched Price (USA)]] / S884, "")</f>
        <v>14.93995561005404</v>
      </c>
      <c r="S88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36.747097135318342</v>
      </c>
      <c r="T884" s="6">
        <v>2024</v>
      </c>
    </row>
    <row r="885" spans="1:20" x14ac:dyDescent="0.25">
      <c r="A885" s="6" t="s">
        <v>890</v>
      </c>
      <c r="B885" s="6" t="s">
        <v>1044</v>
      </c>
      <c r="C88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85" s="6">
        <v>173</v>
      </c>
      <c r="E885" s="6">
        <v>8</v>
      </c>
      <c r="F885" s="6">
        <v>44</v>
      </c>
      <c r="G885" s="6">
        <v>64</v>
      </c>
      <c r="H885" s="6"/>
      <c r="I885" s="6"/>
      <c r="J885" s="6" t="s">
        <v>821</v>
      </c>
      <c r="K885" s="6" t="s">
        <v>2438</v>
      </c>
      <c r="L885" s="6">
        <v>52</v>
      </c>
      <c r="M885" s="6">
        <v>4000</v>
      </c>
      <c r="N885" s="6">
        <v>6.44</v>
      </c>
      <c r="O885" s="6">
        <v>499</v>
      </c>
      <c r="P885" s="6" t="s">
        <v>2368</v>
      </c>
      <c r="Q885" s="6">
        <f>Table2_1[[#This Row],[Specs Score]] / (Table2_1[[#This Row],[Launched Price (USA)]] ^ 0.85)</f>
        <v>0.19486898019241819</v>
      </c>
      <c r="R885" s="6">
        <f>IFERROR(Table2_1[[#This Row],[Launched Price (USA)]] / S885, "")</f>
        <v>13.030838714891589</v>
      </c>
      <c r="S88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38.293774554184672</v>
      </c>
      <c r="T885" s="6">
        <v>2020</v>
      </c>
    </row>
    <row r="886" spans="1:20" x14ac:dyDescent="0.25">
      <c r="A886" s="6" t="s">
        <v>890</v>
      </c>
      <c r="B886" s="6" t="s">
        <v>1047</v>
      </c>
      <c r="C88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86" s="6">
        <v>173</v>
      </c>
      <c r="E886" s="6">
        <v>8</v>
      </c>
      <c r="F886" s="6">
        <v>44</v>
      </c>
      <c r="G886" s="6">
        <v>64</v>
      </c>
      <c r="H886" s="6"/>
      <c r="I886" s="6"/>
      <c r="J886" s="6" t="s">
        <v>821</v>
      </c>
      <c r="K886" s="6" t="s">
        <v>2438</v>
      </c>
      <c r="L886" s="6">
        <v>52</v>
      </c>
      <c r="M886" s="6">
        <v>4000</v>
      </c>
      <c r="N886" s="6">
        <v>6.44</v>
      </c>
      <c r="O886" s="6">
        <v>549</v>
      </c>
      <c r="P886" s="6" t="s">
        <v>2368</v>
      </c>
      <c r="Q886" s="6">
        <f>Table2_1[[#This Row],[Specs Score]] / (Table2_1[[#This Row],[Launched Price (USA)]] ^ 0.85)</f>
        <v>0.19783947803897481</v>
      </c>
      <c r="R886" s="6">
        <f>IFERROR(Table2_1[[#This Row],[Launched Price (USA)]] / S886, "")</f>
        <v>13.020357059090029</v>
      </c>
      <c r="S88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42.164742296120153</v>
      </c>
      <c r="T886" s="6">
        <v>2020</v>
      </c>
    </row>
    <row r="887" spans="1:20" x14ac:dyDescent="0.25">
      <c r="A887" s="6" t="s">
        <v>890</v>
      </c>
      <c r="B887" s="6" t="s">
        <v>1055</v>
      </c>
      <c r="C88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87" s="6">
        <v>185</v>
      </c>
      <c r="E887" s="6">
        <v>8</v>
      </c>
      <c r="F887" s="6">
        <v>32</v>
      </c>
      <c r="G887" s="6">
        <v>50</v>
      </c>
      <c r="H887" s="6"/>
      <c r="I887" s="6"/>
      <c r="J887" s="6" t="s">
        <v>911</v>
      </c>
      <c r="K887" s="6" t="s">
        <v>2438</v>
      </c>
      <c r="L887" s="6">
        <v>38</v>
      </c>
      <c r="M887" s="6">
        <v>4450</v>
      </c>
      <c r="N887" s="6">
        <v>6.56</v>
      </c>
      <c r="O887" s="6">
        <v>749</v>
      </c>
      <c r="P887" s="6" t="s">
        <v>2368</v>
      </c>
      <c r="Q887" s="6">
        <f>Table2_1[[#This Row],[Specs Score]] / (Table2_1[[#This Row],[Launched Price (USA)]] ^ 0.85)</f>
        <v>0.11829435363866228</v>
      </c>
      <c r="R887" s="6">
        <f>IFERROR(Table2_1[[#This Row],[Launched Price (USA)]] / S887, "")</f>
        <v>22.814358256375076</v>
      </c>
      <c r="S88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32.830202435814954</v>
      </c>
      <c r="T887" s="6">
        <v>2021</v>
      </c>
    </row>
    <row r="888" spans="1:20" x14ac:dyDescent="0.25">
      <c r="A888" s="6" t="s">
        <v>890</v>
      </c>
      <c r="B888" s="6" t="s">
        <v>1057</v>
      </c>
      <c r="C88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88" s="6">
        <v>185</v>
      </c>
      <c r="E888" s="6">
        <v>8</v>
      </c>
      <c r="F888" s="6">
        <v>32</v>
      </c>
      <c r="G888" s="6">
        <v>50</v>
      </c>
      <c r="H888" s="6"/>
      <c r="I888" s="6"/>
      <c r="J888" s="6" t="s">
        <v>911</v>
      </c>
      <c r="K888" s="6" t="s">
        <v>2438</v>
      </c>
      <c r="L888" s="6">
        <v>38</v>
      </c>
      <c r="M888" s="6">
        <v>4450</v>
      </c>
      <c r="N888" s="6">
        <v>6.56</v>
      </c>
      <c r="O888" s="6">
        <v>799</v>
      </c>
      <c r="P888" s="6" t="s">
        <v>2368</v>
      </c>
      <c r="Q888" s="6">
        <f>Table2_1[[#This Row],[Specs Score]] / (Table2_1[[#This Row],[Launched Price (USA)]] ^ 0.85)</f>
        <v>0.12517429356052476</v>
      </c>
      <c r="R888" s="6">
        <f>IFERROR(Table2_1[[#This Row],[Launched Price (USA)]] / S888, "")</f>
        <v>21.770423017312464</v>
      </c>
      <c r="S88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36.701170177750441</v>
      </c>
      <c r="T888" s="6">
        <v>2021</v>
      </c>
    </row>
    <row r="889" spans="1:20" x14ac:dyDescent="0.25">
      <c r="A889" s="6" t="s">
        <v>890</v>
      </c>
      <c r="B889" s="6" t="s">
        <v>1058</v>
      </c>
      <c r="C88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89" s="6">
        <v>181</v>
      </c>
      <c r="E889" s="6">
        <v>6</v>
      </c>
      <c r="F889" s="6">
        <v>16</v>
      </c>
      <c r="G889" s="6">
        <v>50</v>
      </c>
      <c r="H889" s="6"/>
      <c r="I889" s="6"/>
      <c r="J889" s="6" t="s">
        <v>680</v>
      </c>
      <c r="K889" s="6" t="s">
        <v>2438</v>
      </c>
      <c r="L889" s="6">
        <v>40</v>
      </c>
      <c r="M889" s="6">
        <v>5000</v>
      </c>
      <c r="N889" s="6">
        <v>6.58</v>
      </c>
      <c r="O889" s="6">
        <v>269</v>
      </c>
      <c r="P889" s="6" t="s">
        <v>2368</v>
      </c>
      <c r="Q889" s="6">
        <f>Table2_1[[#This Row],[Specs Score]] / (Table2_1[[#This Row],[Launched Price (USA)]] ^ 0.85)</f>
        <v>0.25377407432114746</v>
      </c>
      <c r="R889" s="6">
        <f>IFERROR(Table2_1[[#This Row],[Launched Price (USA)]] / S889, "")</f>
        <v>9.1204357805040424</v>
      </c>
      <c r="S88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29.494204714978395</v>
      </c>
      <c r="T889" s="6">
        <v>2022</v>
      </c>
    </row>
    <row r="890" spans="1:20" x14ac:dyDescent="0.25">
      <c r="A890" s="6" t="s">
        <v>890</v>
      </c>
      <c r="B890" s="6" t="s">
        <v>1060</v>
      </c>
      <c r="C89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90" s="6">
        <v>181</v>
      </c>
      <c r="E890" s="6">
        <v>8</v>
      </c>
      <c r="F890" s="6">
        <v>16</v>
      </c>
      <c r="G890" s="6">
        <v>50</v>
      </c>
      <c r="H890" s="6"/>
      <c r="I890" s="6"/>
      <c r="J890" s="6" t="s">
        <v>680</v>
      </c>
      <c r="K890" s="6" t="s">
        <v>2438</v>
      </c>
      <c r="L890" s="6">
        <v>40</v>
      </c>
      <c r="M890" s="6">
        <v>5000</v>
      </c>
      <c r="N890" s="6">
        <v>6.58</v>
      </c>
      <c r="O890" s="6">
        <v>319</v>
      </c>
      <c r="P890" s="6" t="s">
        <v>2368</v>
      </c>
      <c r="Q890" s="6">
        <f>Table2_1[[#This Row],[Specs Score]] / (Table2_1[[#This Row],[Launched Price (USA)]] ^ 0.85)</f>
        <v>0.2632411016587522</v>
      </c>
      <c r="R890" s="6">
        <f>IFERROR(Table2_1[[#This Row],[Launched Price (USA)]] / S890, "")</f>
        <v>9.0201737426459392</v>
      </c>
      <c r="S89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35.365172456913882</v>
      </c>
      <c r="T890" s="6">
        <v>2022</v>
      </c>
    </row>
    <row r="891" spans="1:20" x14ac:dyDescent="0.25">
      <c r="A891" s="6" t="s">
        <v>890</v>
      </c>
      <c r="B891" s="6" t="s">
        <v>1066</v>
      </c>
      <c r="C89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91" s="6">
        <v>182</v>
      </c>
      <c r="E891" s="6">
        <v>8</v>
      </c>
      <c r="F891" s="6">
        <v>50</v>
      </c>
      <c r="G891" s="6">
        <v>50</v>
      </c>
      <c r="H891" s="6"/>
      <c r="I891" s="6"/>
      <c r="J891" s="6" t="s">
        <v>2392</v>
      </c>
      <c r="K891" s="6" t="s">
        <v>2438</v>
      </c>
      <c r="L891" s="6">
        <v>70</v>
      </c>
      <c r="M891" s="6">
        <v>4600</v>
      </c>
      <c r="N891" s="6">
        <v>6.78</v>
      </c>
      <c r="O891" s="6">
        <v>599</v>
      </c>
      <c r="P891" s="6" t="s">
        <v>2368</v>
      </c>
      <c r="Q891" s="6">
        <f>Table2_1[[#This Row],[Specs Score]] / (Table2_1[[#This Row],[Launched Price (USA)]] ^ 0.85)</f>
        <v>0.19383488656315445</v>
      </c>
      <c r="R891" s="6">
        <f>IFERROR(Table2_1[[#This Row],[Launched Price (USA)]] / S891, "")</f>
        <v>13.464247273059588</v>
      </c>
      <c r="S89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44.48819067654307</v>
      </c>
      <c r="T891" s="6">
        <v>2023</v>
      </c>
    </row>
    <row r="892" spans="1:20" x14ac:dyDescent="0.25">
      <c r="A892" s="6" t="s">
        <v>890</v>
      </c>
      <c r="B892" s="6" t="s">
        <v>1069</v>
      </c>
      <c r="C89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92" s="6">
        <v>182</v>
      </c>
      <c r="E892" s="6">
        <v>8</v>
      </c>
      <c r="F892" s="6">
        <v>50</v>
      </c>
      <c r="G892" s="6">
        <v>50</v>
      </c>
      <c r="H892" s="6"/>
      <c r="I892" s="6"/>
      <c r="J892" s="6" t="s">
        <v>2392</v>
      </c>
      <c r="K892" s="6" t="s">
        <v>2438</v>
      </c>
      <c r="L892" s="6">
        <v>70</v>
      </c>
      <c r="M892" s="6">
        <v>4600</v>
      </c>
      <c r="N892" s="6">
        <v>6.78</v>
      </c>
      <c r="O892" s="6">
        <v>649</v>
      </c>
      <c r="P892" s="6" t="s">
        <v>2368</v>
      </c>
      <c r="Q892" s="6">
        <f>Table2_1[[#This Row],[Specs Score]] / (Table2_1[[#This Row],[Launched Price (USA)]] ^ 0.85)</f>
        <v>0.19682068640658754</v>
      </c>
      <c r="R892" s="6">
        <f>IFERROR(Table2_1[[#This Row],[Launched Price (USA)]] / S892, "")</f>
        <v>13.420415516412506</v>
      </c>
      <c r="S89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48.35915841847855</v>
      </c>
      <c r="T892" s="6">
        <v>2023</v>
      </c>
    </row>
    <row r="893" spans="1:20" x14ac:dyDescent="0.25">
      <c r="A893" s="6" t="s">
        <v>890</v>
      </c>
      <c r="B893" s="6" t="s">
        <v>1071</v>
      </c>
      <c r="C893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93" s="6">
        <v>182</v>
      </c>
      <c r="E893" s="6">
        <v>8</v>
      </c>
      <c r="F893" s="6">
        <v>50</v>
      </c>
      <c r="G893" s="6">
        <v>50</v>
      </c>
      <c r="H893" s="6"/>
      <c r="I893" s="6"/>
      <c r="J893" s="6" t="s">
        <v>2392</v>
      </c>
      <c r="K893" s="6" t="s">
        <v>2438</v>
      </c>
      <c r="L893" s="6">
        <v>70</v>
      </c>
      <c r="M893" s="6">
        <v>4600</v>
      </c>
      <c r="N893" s="6">
        <v>6.78</v>
      </c>
      <c r="O893" s="6">
        <v>699</v>
      </c>
      <c r="P893" s="6" t="s">
        <v>2368</v>
      </c>
      <c r="Q893" s="6">
        <f>Table2_1[[#This Row],[Specs Score]] / (Table2_1[[#This Row],[Launched Price (USA)]] ^ 0.85)</f>
        <v>0.16999617282137347</v>
      </c>
      <c r="R893" s="6">
        <f>IFERROR(Table2_1[[#This Row],[Launched Price (USA)]] / S893, "")</f>
        <v>15.712034797777381</v>
      </c>
      <c r="S89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44.48819067654307</v>
      </c>
      <c r="T893" s="6">
        <v>2023</v>
      </c>
    </row>
    <row r="894" spans="1:20" x14ac:dyDescent="0.25">
      <c r="A894" s="6" t="s">
        <v>890</v>
      </c>
      <c r="B894" s="6" t="s">
        <v>1072</v>
      </c>
      <c r="C894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94" s="6">
        <v>182</v>
      </c>
      <c r="E894" s="6">
        <v>8</v>
      </c>
      <c r="F894" s="6">
        <v>50</v>
      </c>
      <c r="G894" s="6">
        <v>50</v>
      </c>
      <c r="H894" s="6"/>
      <c r="I894" s="6"/>
      <c r="J894" s="6" t="s">
        <v>2392</v>
      </c>
      <c r="K894" s="6" t="s">
        <v>2438</v>
      </c>
      <c r="L894" s="6">
        <v>70</v>
      </c>
      <c r="M894" s="6">
        <v>4600</v>
      </c>
      <c r="N894" s="6">
        <v>6.78</v>
      </c>
      <c r="O894" s="6">
        <v>749</v>
      </c>
      <c r="P894" s="6" t="s">
        <v>2368</v>
      </c>
      <c r="Q894" s="6">
        <f>Table2_1[[#This Row],[Specs Score]] / (Table2_1[[#This Row],[Launched Price (USA)]] ^ 0.85)</f>
        <v>0.17424855660904756</v>
      </c>
      <c r="R894" s="6">
        <f>IFERROR(Table2_1[[#This Row],[Launched Price (USA)]] / S894, "")</f>
        <v>15.488276150682537</v>
      </c>
      <c r="S89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48.35915841847855</v>
      </c>
      <c r="T894" s="6">
        <v>2023</v>
      </c>
    </row>
    <row r="895" spans="1:20" x14ac:dyDescent="0.25">
      <c r="A895" s="6" t="s">
        <v>890</v>
      </c>
      <c r="B895" s="6" t="s">
        <v>1073</v>
      </c>
      <c r="C895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95" s="6">
        <v>190</v>
      </c>
      <c r="E895" s="6">
        <v>8</v>
      </c>
      <c r="F895" s="6">
        <v>32</v>
      </c>
      <c r="G895" s="6">
        <v>64</v>
      </c>
      <c r="H895" s="6"/>
      <c r="I895" s="6"/>
      <c r="J895" s="6" t="s">
        <v>1233</v>
      </c>
      <c r="K895" s="6" t="s">
        <v>2438</v>
      </c>
      <c r="L895" s="6">
        <v>40</v>
      </c>
      <c r="M895" s="6">
        <v>4830</v>
      </c>
      <c r="N895" s="6">
        <v>6.56</v>
      </c>
      <c r="O895" s="6">
        <v>599</v>
      </c>
      <c r="P895" s="6" t="s">
        <v>2368</v>
      </c>
      <c r="Q895" s="6">
        <f>Table2_1[[#This Row],[Specs Score]] / (Table2_1[[#This Row],[Launched Price (USA)]] ^ 0.85)</f>
        <v>0.15106912041319778</v>
      </c>
      <c r="R895" s="6">
        <f>IFERROR(Table2_1[[#This Row],[Launched Price (USA)]] / S895, "")</f>
        <v>17.275806171992276</v>
      </c>
      <c r="S89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34.672766876205479</v>
      </c>
      <c r="T895" s="6">
        <v>2022</v>
      </c>
    </row>
    <row r="896" spans="1:20" x14ac:dyDescent="0.25">
      <c r="A896" s="6" t="s">
        <v>890</v>
      </c>
      <c r="B896" s="6" t="s">
        <v>1075</v>
      </c>
      <c r="C896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96" s="6">
        <v>190</v>
      </c>
      <c r="E896" s="6">
        <v>8</v>
      </c>
      <c r="F896" s="6">
        <v>32</v>
      </c>
      <c r="G896" s="6">
        <v>64</v>
      </c>
      <c r="H896" s="6"/>
      <c r="I896" s="6"/>
      <c r="J896" s="6" t="s">
        <v>1233</v>
      </c>
      <c r="K896" s="6" t="s">
        <v>2438</v>
      </c>
      <c r="L896" s="6">
        <v>40</v>
      </c>
      <c r="M896" s="6">
        <v>4830</v>
      </c>
      <c r="N896" s="6">
        <v>6.56</v>
      </c>
      <c r="O896" s="6">
        <v>649</v>
      </c>
      <c r="P896" s="6" t="s">
        <v>2368</v>
      </c>
      <c r="Q896" s="6">
        <f>Table2_1[[#This Row],[Specs Score]] / (Table2_1[[#This Row],[Launched Price (USA)]] ^ 0.85)</f>
        <v>0.1568721324421784</v>
      </c>
      <c r="R896" s="6">
        <f>IFERROR(Table2_1[[#This Row],[Launched Price (USA)]] / S896, "")</f>
        <v>16.838015475919718</v>
      </c>
      <c r="S89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38.543734618140959</v>
      </c>
      <c r="T896" s="6">
        <v>2022</v>
      </c>
    </row>
    <row r="897" spans="1:20" x14ac:dyDescent="0.25">
      <c r="A897" s="6" t="s">
        <v>890</v>
      </c>
      <c r="B897" s="6" t="s">
        <v>1081</v>
      </c>
      <c r="C897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97" s="6">
        <v>190</v>
      </c>
      <c r="E897" s="6">
        <v>8</v>
      </c>
      <c r="F897" s="6">
        <v>16</v>
      </c>
      <c r="G897" s="6">
        <v>64</v>
      </c>
      <c r="H897" s="6"/>
      <c r="I897" s="6"/>
      <c r="J897" s="6" t="s">
        <v>915</v>
      </c>
      <c r="K897" s="6" t="s">
        <v>2438</v>
      </c>
      <c r="L897" s="6">
        <v>28</v>
      </c>
      <c r="M897" s="6">
        <v>4500</v>
      </c>
      <c r="N897" s="6">
        <v>6.44</v>
      </c>
      <c r="O897" s="6">
        <v>399</v>
      </c>
      <c r="P897" s="6" t="s">
        <v>2368</v>
      </c>
      <c r="Q897" s="6">
        <f>Table2_1[[#This Row],[Specs Score]] / (Table2_1[[#This Row],[Launched Price (USA)]] ^ 0.85)</f>
        <v>0.1736770183493466</v>
      </c>
      <c r="R897" s="6">
        <f>IFERROR(Table2_1[[#This Row],[Launched Price (USA)]] / S897, "")</f>
        <v>14.13850792864808</v>
      </c>
      <c r="S89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28.220799677986406</v>
      </c>
      <c r="T897" s="6">
        <v>2023</v>
      </c>
    </row>
    <row r="898" spans="1:20" x14ac:dyDescent="0.25">
      <c r="A898" s="6" t="s">
        <v>890</v>
      </c>
      <c r="B898" s="6" t="s">
        <v>1082</v>
      </c>
      <c r="C898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898" s="6">
        <v>190</v>
      </c>
      <c r="E898" s="6">
        <v>8</v>
      </c>
      <c r="F898" s="6">
        <v>16</v>
      </c>
      <c r="G898" s="6">
        <v>64</v>
      </c>
      <c r="H898" s="6"/>
      <c r="I898" s="6"/>
      <c r="J898" s="6" t="s">
        <v>915</v>
      </c>
      <c r="K898" s="6" t="s">
        <v>2438</v>
      </c>
      <c r="L898" s="6">
        <v>28</v>
      </c>
      <c r="M898" s="6">
        <v>4500</v>
      </c>
      <c r="N898" s="6">
        <v>6.44</v>
      </c>
      <c r="O898" s="6">
        <v>449</v>
      </c>
      <c r="P898" s="6" t="s">
        <v>2368</v>
      </c>
      <c r="Q898" s="6">
        <f>Table2_1[[#This Row],[Specs Score]] / (Table2_1[[#This Row],[Launched Price (USA)]] ^ 0.85)</f>
        <v>0.17864227721772977</v>
      </c>
      <c r="R898" s="6">
        <f>IFERROR(Table2_1[[#This Row],[Launched Price (USA)]] / S898, "")</f>
        <v>13.99112719859955</v>
      </c>
      <c r="S89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32.091767419921887</v>
      </c>
      <c r="T898" s="6">
        <v>2023</v>
      </c>
    </row>
    <row r="899" spans="1:20" x14ac:dyDescent="0.25">
      <c r="A899" s="6" t="s">
        <v>890</v>
      </c>
      <c r="B899" s="6" t="s">
        <v>1083</v>
      </c>
      <c r="C89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899" s="6">
        <v>190</v>
      </c>
      <c r="E899" s="6">
        <v>8</v>
      </c>
      <c r="F899" s="6">
        <v>16</v>
      </c>
      <c r="G899" s="6">
        <v>64</v>
      </c>
      <c r="H899" s="6"/>
      <c r="I899" s="6"/>
      <c r="J899" s="6" t="s">
        <v>680</v>
      </c>
      <c r="K899" s="6" t="s">
        <v>2438</v>
      </c>
      <c r="L899" s="6">
        <v>40</v>
      </c>
      <c r="M899" s="6">
        <v>4500</v>
      </c>
      <c r="N899" s="6">
        <v>6.44</v>
      </c>
      <c r="O899" s="6">
        <v>299</v>
      </c>
      <c r="P899" s="6" t="s">
        <v>2368</v>
      </c>
      <c r="Q899" s="6">
        <f>Table2_1[[#This Row],[Specs Score]] / (Table2_1[[#This Row],[Launched Price (USA)]] ^ 0.85)</f>
        <v>0.24577903579926194</v>
      </c>
      <c r="R899" s="6">
        <f>IFERROR(Table2_1[[#This Row],[Launched Price (USA)]] / S899, "")</f>
        <v>9.5676623890999366</v>
      </c>
      <c r="S89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31.251102708289437</v>
      </c>
      <c r="T899" s="6">
        <v>2023</v>
      </c>
    </row>
    <row r="900" spans="1:20" x14ac:dyDescent="0.25">
      <c r="A900" s="6" t="s">
        <v>890</v>
      </c>
      <c r="B900" s="6" t="s">
        <v>1084</v>
      </c>
      <c r="C90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900" s="6">
        <v>190</v>
      </c>
      <c r="E900" s="6">
        <v>8</v>
      </c>
      <c r="F900" s="6">
        <v>16</v>
      </c>
      <c r="G900" s="6">
        <v>64</v>
      </c>
      <c r="H900" s="6"/>
      <c r="I900" s="6"/>
      <c r="J900" s="6" t="s">
        <v>680</v>
      </c>
      <c r="K900" s="6" t="s">
        <v>2438</v>
      </c>
      <c r="L900" s="6">
        <v>40</v>
      </c>
      <c r="M900" s="6">
        <v>4500</v>
      </c>
      <c r="N900" s="6">
        <v>6.44</v>
      </c>
      <c r="O900" s="6">
        <v>349</v>
      </c>
      <c r="P900" s="6" t="s">
        <v>2368</v>
      </c>
      <c r="Q900" s="6">
        <f>Table2_1[[#This Row],[Specs Score]] / (Table2_1[[#This Row],[Launched Price (USA)]] ^ 0.85)</f>
        <v>0.2422024303958035</v>
      </c>
      <c r="R900" s="6">
        <f>IFERROR(Table2_1[[#This Row],[Launched Price (USA)]] / S900, "")</f>
        <v>9.9367718225667705</v>
      </c>
      <c r="S90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35.122070450224918</v>
      </c>
      <c r="T900" s="6">
        <v>2023</v>
      </c>
    </row>
    <row r="901" spans="1:20" x14ac:dyDescent="0.25">
      <c r="A901" s="6" t="s">
        <v>890</v>
      </c>
      <c r="B901" s="6" t="s">
        <v>1085</v>
      </c>
      <c r="C90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901" s="6">
        <v>179</v>
      </c>
      <c r="E901" s="6">
        <v>8</v>
      </c>
      <c r="F901" s="6">
        <v>50</v>
      </c>
      <c r="G901" s="6">
        <v>64</v>
      </c>
      <c r="H901" s="6"/>
      <c r="I901" s="6"/>
      <c r="J901" s="6" t="s">
        <v>2431</v>
      </c>
      <c r="K901" s="6" t="s">
        <v>2438</v>
      </c>
      <c r="L901" s="6">
        <v>30</v>
      </c>
      <c r="M901" s="6">
        <v>4200</v>
      </c>
      <c r="N901" s="6">
        <v>6.44</v>
      </c>
      <c r="O901" s="6">
        <v>499</v>
      </c>
      <c r="P901" s="6" t="s">
        <v>2368</v>
      </c>
      <c r="Q901" s="6">
        <f>Table2_1[[#This Row],[Specs Score]] / (Table2_1[[#This Row],[Launched Price (USA)]] ^ 0.85)</f>
        <v>0.17352157784934966</v>
      </c>
      <c r="R901" s="6">
        <f>IFERROR(Table2_1[[#This Row],[Launched Price (USA)]] / S901, "")</f>
        <v>14.633950906252217</v>
      </c>
      <c r="S90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34.098788713771548</v>
      </c>
      <c r="T901" s="6">
        <v>2022</v>
      </c>
    </row>
    <row r="902" spans="1:20" x14ac:dyDescent="0.25">
      <c r="A902" s="6" t="s">
        <v>890</v>
      </c>
      <c r="B902" s="6" t="s">
        <v>1087</v>
      </c>
      <c r="C90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902" s="6">
        <v>179</v>
      </c>
      <c r="E902" s="6">
        <v>8</v>
      </c>
      <c r="F902" s="6">
        <v>50</v>
      </c>
      <c r="G902" s="6">
        <v>64</v>
      </c>
      <c r="H902" s="6"/>
      <c r="I902" s="6"/>
      <c r="J902" s="6" t="s">
        <v>2431</v>
      </c>
      <c r="K902" s="6" t="s">
        <v>2438</v>
      </c>
      <c r="L902" s="6">
        <v>30</v>
      </c>
      <c r="M902" s="6">
        <v>4200</v>
      </c>
      <c r="N902" s="6">
        <v>6.44</v>
      </c>
      <c r="O902" s="6">
        <v>549</v>
      </c>
      <c r="P902" s="6" t="s">
        <v>2368</v>
      </c>
      <c r="Q902" s="6">
        <f>Table2_1[[#This Row],[Specs Score]] / (Table2_1[[#This Row],[Launched Price (USA)]] ^ 0.85)</f>
        <v>0.17815635503493382</v>
      </c>
      <c r="R902" s="6">
        <f>IFERROR(Table2_1[[#This Row],[Launched Price (USA)]] / S902, "")</f>
        <v>14.458875990959452</v>
      </c>
      <c r="S90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37.969756455707028</v>
      </c>
      <c r="T902" s="6">
        <v>2022</v>
      </c>
    </row>
    <row r="903" spans="1:20" x14ac:dyDescent="0.25">
      <c r="A903" s="6" t="s">
        <v>890</v>
      </c>
      <c r="B903" s="6" t="s">
        <v>1096</v>
      </c>
      <c r="C903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903" s="6">
        <v>535</v>
      </c>
      <c r="E903" s="6">
        <v>8</v>
      </c>
      <c r="F903" s="6">
        <v>8</v>
      </c>
      <c r="G903" s="6">
        <v>50</v>
      </c>
      <c r="H903" s="6"/>
      <c r="I903" s="6"/>
      <c r="J903" s="6" t="s">
        <v>911</v>
      </c>
      <c r="K903" s="6" t="s">
        <v>2438</v>
      </c>
      <c r="L903" s="6">
        <v>38</v>
      </c>
      <c r="M903" s="6">
        <v>8040</v>
      </c>
      <c r="N903" s="6">
        <v>11</v>
      </c>
      <c r="O903" s="6">
        <v>399</v>
      </c>
      <c r="P903" s="6" t="s">
        <v>2369</v>
      </c>
      <c r="Q903" s="6">
        <f>Table2_1[[#This Row],[Specs Score]] / (Table2_1[[#This Row],[Launched Price (USA)]] ^ 0.85)</f>
        <v>0.26488687325693655</v>
      </c>
      <c r="R903" s="6">
        <f>IFERROR(Table2_1[[#This Row],[Launched Price (USA)]] / S903, "")</f>
        <v>9.2701230180415983</v>
      </c>
      <c r="S90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43.041500012832898</v>
      </c>
      <c r="T903" s="6">
        <v>2023</v>
      </c>
    </row>
    <row r="904" spans="1:20" x14ac:dyDescent="0.25">
      <c r="A904" s="6" t="s">
        <v>890</v>
      </c>
      <c r="B904" s="6" t="s">
        <v>1104</v>
      </c>
      <c r="C90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904" s="6">
        <v>500</v>
      </c>
      <c r="E904" s="6">
        <v>6</v>
      </c>
      <c r="F904" s="6">
        <v>8</v>
      </c>
      <c r="G904" s="6">
        <v>13</v>
      </c>
      <c r="H904" s="6"/>
      <c r="I904" s="6"/>
      <c r="J904" s="6" t="s">
        <v>826</v>
      </c>
      <c r="K904" s="6" t="s">
        <v>2438</v>
      </c>
      <c r="L904" s="6">
        <v>50</v>
      </c>
      <c r="M904" s="6">
        <v>8040</v>
      </c>
      <c r="N904" s="6">
        <v>11</v>
      </c>
      <c r="O904" s="6">
        <v>349</v>
      </c>
      <c r="P904" s="6" t="s">
        <v>2369</v>
      </c>
      <c r="Q904" s="6">
        <f>Table2_1[[#This Row],[Specs Score]] / (Table2_1[[#This Row],[Launched Price (USA)]] ^ 0.85)</f>
        <v>0.26414093215719098</v>
      </c>
      <c r="R904" s="6">
        <f>IFERROR(Table2_1[[#This Row],[Launched Price (USA)]] / S904, "")</f>
        <v>9.1114628318263442</v>
      </c>
      <c r="S90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38.303399403764544</v>
      </c>
      <c r="T904" s="6">
        <v>2023</v>
      </c>
    </row>
    <row r="905" spans="1:20" x14ac:dyDescent="0.25">
      <c r="A905" s="6" t="s">
        <v>1549</v>
      </c>
      <c r="B905" s="6" t="s">
        <v>1609</v>
      </c>
      <c r="C905" s="6">
        <f>IF(ISNUMBER(SEARCH("GB", Table2_1[[#This Row],[Model Name]])), IFERROR(VALUE(TRIM(RIGHT(SUBSTITUTE(LEFT(Table2_1[[#This Row],[Model Name]], SEARCH("GB", Table2_1[[#This Row],[Model Name]])-1), " ", REPT(" ", 100)), 100))), 128), 128)</f>
        <v>64</v>
      </c>
      <c r="D905" s="6">
        <v>195</v>
      </c>
      <c r="E905" s="6">
        <v>4</v>
      </c>
      <c r="F905" s="6">
        <v>8</v>
      </c>
      <c r="G905" s="6">
        <v>50</v>
      </c>
      <c r="H905" s="6">
        <v>2</v>
      </c>
      <c r="I905" s="6"/>
      <c r="J905" s="6" t="s">
        <v>2373</v>
      </c>
      <c r="K905" s="6" t="s">
        <v>2439</v>
      </c>
      <c r="L905" s="6">
        <v>18</v>
      </c>
      <c r="M905" s="6">
        <v>5000</v>
      </c>
      <c r="N905" s="6">
        <v>6.5</v>
      </c>
      <c r="O905" s="6">
        <v>199</v>
      </c>
      <c r="P905" s="6" t="s">
        <v>2368</v>
      </c>
      <c r="Q905" s="6">
        <f>Table2_1[[#This Row],[Specs Score]] / (Table2_1[[#This Row],[Launched Price (USA)]] ^ 0.85)</f>
        <v>0.20610894166355184</v>
      </c>
      <c r="R905" s="6">
        <f>IFERROR(Table2_1[[#This Row],[Launched Price (USA)]] / S905, "")</f>
        <v>10.733247110454002</v>
      </c>
      <c r="S90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18.540521610294181</v>
      </c>
      <c r="T905" s="6">
        <v>2024</v>
      </c>
    </row>
    <row r="906" spans="1:20" x14ac:dyDescent="0.25">
      <c r="A906" s="6" t="s">
        <v>1549</v>
      </c>
      <c r="B906" s="6" t="s">
        <v>1612</v>
      </c>
      <c r="C90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906" s="6">
        <v>195</v>
      </c>
      <c r="E906" s="6">
        <v>6</v>
      </c>
      <c r="F906" s="6">
        <v>8</v>
      </c>
      <c r="G906" s="6">
        <v>50</v>
      </c>
      <c r="H906" s="6">
        <v>2</v>
      </c>
      <c r="I906" s="6"/>
      <c r="J906" s="6" t="s">
        <v>2373</v>
      </c>
      <c r="K906" s="6" t="s">
        <v>2439</v>
      </c>
      <c r="L906" s="6">
        <v>18</v>
      </c>
      <c r="M906" s="6">
        <v>5000</v>
      </c>
      <c r="N906" s="6">
        <v>6.5</v>
      </c>
      <c r="O906" s="6">
        <v>229</v>
      </c>
      <c r="P906" s="6" t="s">
        <v>2368</v>
      </c>
      <c r="Q906" s="6">
        <f>Table2_1[[#This Row],[Specs Score]] / (Table2_1[[#This Row],[Launched Price (USA)]] ^ 0.85)</f>
        <v>0.22174762105504175</v>
      </c>
      <c r="R906" s="6">
        <f>IFERROR(Table2_1[[#This Row],[Launched Price (USA)]] / S906, "")</f>
        <v>10.188643181766242</v>
      </c>
      <c r="S90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22.476005481261925</v>
      </c>
      <c r="T906" s="6">
        <v>2024</v>
      </c>
    </row>
    <row r="907" spans="1:20" x14ac:dyDescent="0.25">
      <c r="A907" s="6" t="s">
        <v>1549</v>
      </c>
      <c r="B907" s="6" t="s">
        <v>1550</v>
      </c>
      <c r="C90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907" s="6">
        <v>210</v>
      </c>
      <c r="E907" s="6">
        <v>12</v>
      </c>
      <c r="F907" s="6">
        <v>32</v>
      </c>
      <c r="G907" s="6">
        <v>50</v>
      </c>
      <c r="H907" s="6">
        <v>50</v>
      </c>
      <c r="I907" s="6">
        <v>50</v>
      </c>
      <c r="J907" s="6" t="s">
        <v>1552</v>
      </c>
      <c r="K907" s="6" t="s">
        <v>2437</v>
      </c>
      <c r="L907" s="6">
        <v>100</v>
      </c>
      <c r="M907" s="6">
        <v>6100</v>
      </c>
      <c r="N907" s="6">
        <v>6.73</v>
      </c>
      <c r="O907" s="6">
        <v>799</v>
      </c>
      <c r="P907" s="6" t="s">
        <v>2368</v>
      </c>
      <c r="Q907" s="6">
        <f>Table2_1[[#This Row],[Specs Score]] / (Table2_1[[#This Row],[Launched Price (USA)]] ^ 0.85)</f>
        <v>0.20199497935511579</v>
      </c>
      <c r="R907" s="6">
        <f>IFERROR(Table2_1[[#This Row],[Launched Price (USA)]] / S907, "")</f>
        <v>13.490916112895254</v>
      </c>
      <c r="S90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59.225036558953775</v>
      </c>
      <c r="T907" s="6">
        <v>2024</v>
      </c>
    </row>
    <row r="908" spans="1:20" x14ac:dyDescent="0.25">
      <c r="A908" s="6" t="s">
        <v>1549</v>
      </c>
      <c r="B908" s="6" t="s">
        <v>1555</v>
      </c>
      <c r="C908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908" s="6">
        <v>210</v>
      </c>
      <c r="E908" s="6">
        <v>16</v>
      </c>
      <c r="F908" s="6">
        <v>32</v>
      </c>
      <c r="G908" s="6">
        <v>50</v>
      </c>
      <c r="H908" s="6">
        <v>50</v>
      </c>
      <c r="I908" s="6">
        <v>50</v>
      </c>
      <c r="J908" s="6" t="s">
        <v>1552</v>
      </c>
      <c r="K908" s="6" t="s">
        <v>2437</v>
      </c>
      <c r="L908" s="6">
        <v>100</v>
      </c>
      <c r="M908" s="6">
        <v>6100</v>
      </c>
      <c r="N908" s="6">
        <v>6.73</v>
      </c>
      <c r="O908" s="6">
        <v>899</v>
      </c>
      <c r="P908" s="6" t="s">
        <v>2368</v>
      </c>
      <c r="Q908" s="6">
        <f>Table2_1[[#This Row],[Specs Score]] / (Table2_1[[#This Row],[Launched Price (USA)]] ^ 0.85)</f>
        <v>0.21895785885838684</v>
      </c>
      <c r="R908" s="6">
        <f>IFERROR(Table2_1[[#This Row],[Launched Price (USA)]] / S908, "")</f>
        <v>12.667864699898734</v>
      </c>
      <c r="S90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70.96697204282475</v>
      </c>
      <c r="T908" s="6">
        <v>2024</v>
      </c>
    </row>
    <row r="909" spans="1:20" x14ac:dyDescent="0.25">
      <c r="A909" s="6" t="s">
        <v>1549</v>
      </c>
      <c r="B909" s="6" t="s">
        <v>1556</v>
      </c>
      <c r="C909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909" s="6">
        <v>210</v>
      </c>
      <c r="E909" s="6">
        <v>16</v>
      </c>
      <c r="F909" s="6">
        <v>32</v>
      </c>
      <c r="G909" s="6">
        <v>50</v>
      </c>
      <c r="H909" s="6">
        <v>50</v>
      </c>
      <c r="I909" s="6">
        <v>50</v>
      </c>
      <c r="J909" s="6" t="s">
        <v>1552</v>
      </c>
      <c r="K909" s="6" t="s">
        <v>2437</v>
      </c>
      <c r="L909" s="6">
        <v>100</v>
      </c>
      <c r="M909" s="6">
        <v>6100</v>
      </c>
      <c r="N909" s="6">
        <v>6.73</v>
      </c>
      <c r="O909" s="6">
        <v>999</v>
      </c>
      <c r="P909" s="6" t="s">
        <v>2368</v>
      </c>
      <c r="Q909" s="6">
        <f>Table2_1[[#This Row],[Specs Score]] / (Table2_1[[#This Row],[Launched Price (USA)]] ^ 0.85)</f>
        <v>0.16742481622619801</v>
      </c>
      <c r="R909" s="6">
        <f>IFERROR(Table2_1[[#This Row],[Launched Price (USA)]] / S909, "")</f>
        <v>16.83119657861706</v>
      </c>
      <c r="S90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59.354068817018302</v>
      </c>
      <c r="T909" s="6">
        <v>2024</v>
      </c>
    </row>
    <row r="910" spans="1:20" x14ac:dyDescent="0.25">
      <c r="A910" s="6" t="s">
        <v>1549</v>
      </c>
      <c r="B910" s="6" t="s">
        <v>1557</v>
      </c>
      <c r="C910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910" s="6">
        <v>190</v>
      </c>
      <c r="E910" s="6">
        <v>12</v>
      </c>
      <c r="F910" s="6">
        <v>32</v>
      </c>
      <c r="G910" s="6">
        <v>50</v>
      </c>
      <c r="H910" s="6">
        <v>50</v>
      </c>
      <c r="I910" s="6"/>
      <c r="J910" s="6" t="s">
        <v>1552</v>
      </c>
      <c r="K910" s="6" t="s">
        <v>2437</v>
      </c>
      <c r="L910" s="6">
        <v>100</v>
      </c>
      <c r="M910" s="6">
        <v>5400</v>
      </c>
      <c r="N910" s="6">
        <v>6.36</v>
      </c>
      <c r="O910" s="6">
        <v>699</v>
      </c>
      <c r="P910" s="6" t="s">
        <v>2368</v>
      </c>
      <c r="Q910" s="6">
        <f>Table2_1[[#This Row],[Specs Score]] / (Table2_1[[#This Row],[Launched Price (USA)]] ^ 0.85)</f>
        <v>0.22047407798874538</v>
      </c>
      <c r="R910" s="6">
        <f>IFERROR(Table2_1[[#This Row],[Launched Price (USA)]] / S910, "")</f>
        <v>12.114738418340245</v>
      </c>
      <c r="S91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57.698315544461011</v>
      </c>
      <c r="T910" s="6">
        <v>2024</v>
      </c>
    </row>
    <row r="911" spans="1:20" x14ac:dyDescent="0.25">
      <c r="A911" s="6" t="s">
        <v>1549</v>
      </c>
      <c r="B911" s="6" t="s">
        <v>1561</v>
      </c>
      <c r="C911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911" s="6">
        <v>190</v>
      </c>
      <c r="E911" s="6">
        <v>16</v>
      </c>
      <c r="F911" s="6">
        <v>32</v>
      </c>
      <c r="G911" s="6">
        <v>50</v>
      </c>
      <c r="H911" s="6">
        <v>50</v>
      </c>
      <c r="I911" s="6"/>
      <c r="J911" s="6" t="s">
        <v>1552</v>
      </c>
      <c r="K911" s="6" t="s">
        <v>2437</v>
      </c>
      <c r="L911" s="6">
        <v>100</v>
      </c>
      <c r="M911" s="6">
        <v>5400</v>
      </c>
      <c r="N911" s="6">
        <v>6.36</v>
      </c>
      <c r="O911" s="6">
        <v>799</v>
      </c>
      <c r="P911" s="6" t="s">
        <v>2368</v>
      </c>
      <c r="Q911" s="6">
        <f>Table2_1[[#This Row],[Specs Score]] / (Table2_1[[#This Row],[Launched Price (USA)]] ^ 0.85)</f>
        <v>0.23683534680336818</v>
      </c>
      <c r="R911" s="6">
        <f>IFERROR(Table2_1[[#This Row],[Launched Price (USA)]] / S911, "")</f>
        <v>11.506294809821522</v>
      </c>
      <c r="S91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69.440251028331986</v>
      </c>
      <c r="T911" s="6">
        <v>2024</v>
      </c>
    </row>
    <row r="912" spans="1:20" x14ac:dyDescent="0.25">
      <c r="A912" s="6" t="s">
        <v>1549</v>
      </c>
      <c r="B912" s="6" t="s">
        <v>1563</v>
      </c>
      <c r="C91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912" s="6">
        <v>209</v>
      </c>
      <c r="E912" s="6">
        <v>12</v>
      </c>
      <c r="F912" s="6">
        <v>32</v>
      </c>
      <c r="G912" s="6">
        <v>50</v>
      </c>
      <c r="H912" s="6">
        <v>50</v>
      </c>
      <c r="I912" s="6">
        <v>50</v>
      </c>
      <c r="J912" s="6" t="s">
        <v>1565</v>
      </c>
      <c r="K912" s="6" t="s">
        <v>2437</v>
      </c>
      <c r="L912" s="6">
        <v>100</v>
      </c>
      <c r="M912" s="6">
        <v>5000</v>
      </c>
      <c r="N912" s="6">
        <v>6.67</v>
      </c>
      <c r="O912" s="6">
        <v>635</v>
      </c>
      <c r="P912" s="6" t="s">
        <v>2368</v>
      </c>
      <c r="Q912" s="6">
        <f>Table2_1[[#This Row],[Specs Score]] / (Table2_1[[#This Row],[Launched Price (USA)]] ^ 0.85)</f>
        <v>0.23785925515864678</v>
      </c>
      <c r="R912" s="6">
        <f>IFERROR(Table2_1[[#This Row],[Launched Price (USA)]] / S912, "")</f>
        <v>11.068684389076076</v>
      </c>
      <c r="S91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57.369058298084212</v>
      </c>
      <c r="T912" s="6">
        <v>2024</v>
      </c>
    </row>
    <row r="913" spans="1:20" x14ac:dyDescent="0.25">
      <c r="A913" s="6" t="s">
        <v>1549</v>
      </c>
      <c r="B913" s="6" t="s">
        <v>1567</v>
      </c>
      <c r="C913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913" s="6">
        <v>209</v>
      </c>
      <c r="E913" s="6">
        <v>12</v>
      </c>
      <c r="F913" s="6">
        <v>32</v>
      </c>
      <c r="G913" s="6">
        <v>50</v>
      </c>
      <c r="H913" s="6">
        <v>50</v>
      </c>
      <c r="I913" s="6">
        <v>50</v>
      </c>
      <c r="J913" s="6" t="s">
        <v>1565</v>
      </c>
      <c r="K913" s="6" t="s">
        <v>2437</v>
      </c>
      <c r="L913" s="6">
        <v>100</v>
      </c>
      <c r="M913" s="6">
        <v>5000</v>
      </c>
      <c r="N913" s="6">
        <v>6.67</v>
      </c>
      <c r="O913" s="6">
        <v>791</v>
      </c>
      <c r="P913" s="6" t="s">
        <v>2368</v>
      </c>
      <c r="Q913" s="6">
        <f>Table2_1[[#This Row],[Specs Score]] / (Table2_1[[#This Row],[Launched Price (USA)]] ^ 0.85)</f>
        <v>0.22397745884498674</v>
      </c>
      <c r="R913" s="6">
        <f>IFERROR(Table2_1[[#This Row],[Launched Price (USA)]] / S913, "")</f>
        <v>12.148486055195448</v>
      </c>
      <c r="S91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65.110993781955173</v>
      </c>
      <c r="T913" s="6">
        <v>2024</v>
      </c>
    </row>
    <row r="914" spans="1:20" x14ac:dyDescent="0.25">
      <c r="A914" s="6" t="s">
        <v>1549</v>
      </c>
      <c r="B914" s="6" t="s">
        <v>1569</v>
      </c>
      <c r="C91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914" s="6">
        <v>209</v>
      </c>
      <c r="E914" s="6">
        <v>12</v>
      </c>
      <c r="F914" s="6">
        <v>32</v>
      </c>
      <c r="G914" s="6">
        <v>50</v>
      </c>
      <c r="H914" s="6">
        <v>50</v>
      </c>
      <c r="I914" s="6">
        <v>50</v>
      </c>
      <c r="J914" s="6" t="s">
        <v>1565</v>
      </c>
      <c r="K914" s="6" t="s">
        <v>2437</v>
      </c>
      <c r="L914" s="6">
        <v>100</v>
      </c>
      <c r="M914" s="6">
        <v>5000</v>
      </c>
      <c r="N914" s="6">
        <v>6.67</v>
      </c>
      <c r="O914" s="6">
        <v>899</v>
      </c>
      <c r="P914" s="6" t="s">
        <v>2368</v>
      </c>
      <c r="Q914" s="6">
        <f>Table2_1[[#This Row],[Specs Score]] / (Table2_1[[#This Row],[Launched Price (USA)]] ^ 0.85)</f>
        <v>0.16506026710732066</v>
      </c>
      <c r="R914" s="6">
        <f>IFERROR(Table2_1[[#This Row],[Launched Price (USA)]] / S914, "")</f>
        <v>16.804338073645038</v>
      </c>
      <c r="S91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53.498090556148725</v>
      </c>
      <c r="T914" s="6">
        <v>2024</v>
      </c>
    </row>
    <row r="915" spans="1:20" x14ac:dyDescent="0.25">
      <c r="A915" s="6" t="s">
        <v>1549</v>
      </c>
      <c r="B915" s="6" t="s">
        <v>1574</v>
      </c>
      <c r="C91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915" s="6">
        <v>206</v>
      </c>
      <c r="E915" s="6">
        <v>12</v>
      </c>
      <c r="F915" s="6">
        <v>32</v>
      </c>
      <c r="G915" s="6">
        <v>50</v>
      </c>
      <c r="H915" s="6">
        <v>50</v>
      </c>
      <c r="I915" s="6">
        <v>50</v>
      </c>
      <c r="J915" s="6" t="s">
        <v>737</v>
      </c>
      <c r="K915" s="6" t="s">
        <v>2437</v>
      </c>
      <c r="L915" s="6">
        <v>100</v>
      </c>
      <c r="M915" s="6">
        <v>5000</v>
      </c>
      <c r="N915" s="6">
        <v>6.73</v>
      </c>
      <c r="O915" s="6">
        <v>799</v>
      </c>
      <c r="P915" s="6" t="s">
        <v>2368</v>
      </c>
      <c r="Q915" s="6">
        <f>Table2_1[[#This Row],[Specs Score]] / (Table2_1[[#This Row],[Launched Price (USA)]] ^ 0.85)</f>
        <v>0.19587807972403523</v>
      </c>
      <c r="R915" s="6">
        <f>IFERROR(Table2_1[[#This Row],[Launched Price (USA)]] / S915, "")</f>
        <v>13.912211746945632</v>
      </c>
      <c r="S91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57.431558298084212</v>
      </c>
      <c r="T915" s="6">
        <v>2023</v>
      </c>
    </row>
    <row r="916" spans="1:20" x14ac:dyDescent="0.25">
      <c r="A916" s="6" t="s">
        <v>1549</v>
      </c>
      <c r="B916" s="6" t="s">
        <v>1575</v>
      </c>
      <c r="C916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916" s="6">
        <v>206</v>
      </c>
      <c r="E916" s="6">
        <v>12</v>
      </c>
      <c r="F916" s="6">
        <v>32</v>
      </c>
      <c r="G916" s="6">
        <v>50</v>
      </c>
      <c r="H916" s="6">
        <v>50</v>
      </c>
      <c r="I916" s="6">
        <v>50</v>
      </c>
      <c r="J916" s="6" t="s">
        <v>737</v>
      </c>
      <c r="K916" s="6" t="s">
        <v>2437</v>
      </c>
      <c r="L916" s="6">
        <v>100</v>
      </c>
      <c r="M916" s="6">
        <v>5000</v>
      </c>
      <c r="N916" s="6">
        <v>6.73</v>
      </c>
      <c r="O916" s="6">
        <v>899</v>
      </c>
      <c r="P916" s="6" t="s">
        <v>2368</v>
      </c>
      <c r="Q916" s="6">
        <f>Table2_1[[#This Row],[Specs Score]] / (Table2_1[[#This Row],[Launched Price (USA)]] ^ 0.85)</f>
        <v>0.20108295791746569</v>
      </c>
      <c r="R916" s="6">
        <f>IFERROR(Table2_1[[#This Row],[Launched Price (USA)]] / S916, "")</f>
        <v>13.793951311060594</v>
      </c>
      <c r="S91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65.173493781955173</v>
      </c>
      <c r="T916" s="6">
        <v>2023</v>
      </c>
    </row>
    <row r="917" spans="1:20" x14ac:dyDescent="0.25">
      <c r="A917" s="6" t="s">
        <v>1549</v>
      </c>
      <c r="B917" s="6" t="s">
        <v>1576</v>
      </c>
      <c r="C91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917" s="6">
        <v>189</v>
      </c>
      <c r="E917" s="6">
        <v>12</v>
      </c>
      <c r="F917" s="6">
        <v>32</v>
      </c>
      <c r="G917" s="6">
        <v>50</v>
      </c>
      <c r="H917" s="6">
        <v>50</v>
      </c>
      <c r="I917" s="6"/>
      <c r="J917" s="6" t="s">
        <v>737</v>
      </c>
      <c r="K917" s="6" t="s">
        <v>2437</v>
      </c>
      <c r="L917" s="6">
        <v>100</v>
      </c>
      <c r="M917" s="6">
        <v>4610</v>
      </c>
      <c r="N917" s="6">
        <v>6.36</v>
      </c>
      <c r="O917" s="6">
        <v>699</v>
      </c>
      <c r="P917" s="6" t="s">
        <v>2368</v>
      </c>
      <c r="Q917" s="6">
        <f>Table2_1[[#This Row],[Specs Score]] / (Table2_1[[#This Row],[Launched Price (USA)]] ^ 0.85)</f>
        <v>0.21555226709012132</v>
      </c>
      <c r="R917" s="6">
        <f>IFERROR(Table2_1[[#This Row],[Launched Price (USA)]] / S917, "")</f>
        <v>12.391360197300415</v>
      </c>
      <c r="S91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56.41027206620015</v>
      </c>
      <c r="T917" s="6">
        <v>2023</v>
      </c>
    </row>
    <row r="918" spans="1:20" x14ac:dyDescent="0.25">
      <c r="A918" s="6" t="s">
        <v>1549</v>
      </c>
      <c r="B918" s="6" t="s">
        <v>1578</v>
      </c>
      <c r="C918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918" s="6">
        <v>189</v>
      </c>
      <c r="E918" s="6">
        <v>12</v>
      </c>
      <c r="F918" s="6">
        <v>32</v>
      </c>
      <c r="G918" s="6">
        <v>50</v>
      </c>
      <c r="H918" s="6">
        <v>50</v>
      </c>
      <c r="I918" s="6"/>
      <c r="J918" s="6" t="s">
        <v>737</v>
      </c>
      <c r="K918" s="6" t="s">
        <v>2437</v>
      </c>
      <c r="L918" s="6">
        <v>100</v>
      </c>
      <c r="M918" s="6">
        <v>4610</v>
      </c>
      <c r="N918" s="6">
        <v>6.36</v>
      </c>
      <c r="O918" s="6">
        <v>799</v>
      </c>
      <c r="P918" s="6" t="s">
        <v>2368</v>
      </c>
      <c r="Q918" s="6">
        <f>Table2_1[[#This Row],[Specs Score]] / (Table2_1[[#This Row],[Launched Price (USA)]] ^ 0.85)</f>
        <v>0.21879976092142459</v>
      </c>
      <c r="R918" s="6">
        <f>IFERROR(Table2_1[[#This Row],[Launched Price (USA)]] / S918, "")</f>
        <v>12.454754567508477</v>
      </c>
      <c r="S91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64.152207550071111</v>
      </c>
      <c r="T918" s="6">
        <v>2023</v>
      </c>
    </row>
    <row r="919" spans="1:20" x14ac:dyDescent="0.25">
      <c r="A919" s="6" t="s">
        <v>1549</v>
      </c>
      <c r="B919" s="6" t="s">
        <v>1571</v>
      </c>
      <c r="C91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919" s="6">
        <v>195</v>
      </c>
      <c r="E919" s="6">
        <v>12</v>
      </c>
      <c r="F919" s="6">
        <v>32</v>
      </c>
      <c r="G919" s="6">
        <v>50</v>
      </c>
      <c r="H919" s="6">
        <v>50</v>
      </c>
      <c r="I919" s="6"/>
      <c r="J919" s="6" t="s">
        <v>1572</v>
      </c>
      <c r="K919" s="6" t="s">
        <v>2438</v>
      </c>
      <c r="L919" s="6">
        <v>77</v>
      </c>
      <c r="M919" s="6">
        <v>5000</v>
      </c>
      <c r="N919" s="6">
        <v>6.67</v>
      </c>
      <c r="O919" s="6">
        <v>599</v>
      </c>
      <c r="P919" s="6" t="s">
        <v>2368</v>
      </c>
      <c r="Q919" s="6">
        <f>Table2_1[[#This Row],[Specs Score]] / (Table2_1[[#This Row],[Launched Price (USA)]] ^ 0.85)</f>
        <v>0.22465099323829754</v>
      </c>
      <c r="R919" s="6">
        <f>IFERROR(Table2_1[[#This Row],[Launched Price (USA)]] / S919, "")</f>
        <v>11.617312726783227</v>
      </c>
      <c r="S91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51.560977490003395</v>
      </c>
      <c r="T919" s="6">
        <v>2024</v>
      </c>
    </row>
    <row r="920" spans="1:20" x14ac:dyDescent="0.25">
      <c r="A920" s="6" t="s">
        <v>1549</v>
      </c>
      <c r="B920" s="6" t="s">
        <v>1573</v>
      </c>
      <c r="C920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920" s="6">
        <v>195</v>
      </c>
      <c r="E920" s="6">
        <v>12</v>
      </c>
      <c r="F920" s="6">
        <v>32</v>
      </c>
      <c r="G920" s="6">
        <v>50</v>
      </c>
      <c r="H920" s="6">
        <v>50</v>
      </c>
      <c r="I920" s="6"/>
      <c r="J920" s="6" t="s">
        <v>1572</v>
      </c>
      <c r="K920" s="6" t="s">
        <v>2438</v>
      </c>
      <c r="L920" s="6">
        <v>77</v>
      </c>
      <c r="M920" s="6">
        <v>5000</v>
      </c>
      <c r="N920" s="6">
        <v>6.67</v>
      </c>
      <c r="O920" s="6">
        <v>699</v>
      </c>
      <c r="P920" s="6" t="s">
        <v>2368</v>
      </c>
      <c r="Q920" s="6">
        <f>Table2_1[[#This Row],[Specs Score]] / (Table2_1[[#This Row],[Launched Price (USA)]] ^ 0.85)</f>
        <v>0.22660548989314341</v>
      </c>
      <c r="R920" s="6">
        <f>IFERROR(Table2_1[[#This Row],[Launched Price (USA)]] / S920, "")</f>
        <v>11.786942073282999</v>
      </c>
      <c r="S92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59.302912973874371</v>
      </c>
      <c r="T920" s="6">
        <v>2024</v>
      </c>
    </row>
    <row r="921" spans="1:20" x14ac:dyDescent="0.25">
      <c r="A921" s="6" t="s">
        <v>1549</v>
      </c>
      <c r="B921" s="6" t="s">
        <v>1579</v>
      </c>
      <c r="C921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921" s="6">
        <v>205</v>
      </c>
      <c r="E921" s="6">
        <v>8</v>
      </c>
      <c r="F921" s="6">
        <v>16</v>
      </c>
      <c r="G921" s="6">
        <v>200</v>
      </c>
      <c r="H921" s="6">
        <v>8</v>
      </c>
      <c r="I921" s="6">
        <v>2</v>
      </c>
      <c r="J921" s="6" t="s">
        <v>1581</v>
      </c>
      <c r="K921" s="6" t="s">
        <v>2438</v>
      </c>
      <c r="L921" s="6">
        <v>58</v>
      </c>
      <c r="M921" s="6">
        <v>5110</v>
      </c>
      <c r="N921" s="6">
        <v>6.67</v>
      </c>
      <c r="O921" s="6">
        <v>375</v>
      </c>
      <c r="P921" s="6" t="s">
        <v>2368</v>
      </c>
      <c r="Q921" s="6">
        <f>Table2_1[[#This Row],[Specs Score]] / (Table2_1[[#This Row],[Launched Price (USA)]] ^ 0.85)</f>
        <v>0.28548026227285539</v>
      </c>
      <c r="R921" s="6">
        <f>IFERROR(Table2_1[[#This Row],[Launched Price (USA)]] / S921, "")</f>
        <v>8.5217463463529732</v>
      </c>
      <c r="S92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44.005064778827595</v>
      </c>
      <c r="T921" s="6">
        <v>2024</v>
      </c>
    </row>
    <row r="922" spans="1:20" x14ac:dyDescent="0.25">
      <c r="A922" s="6" t="s">
        <v>1549</v>
      </c>
      <c r="B922" s="6" t="s">
        <v>1584</v>
      </c>
      <c r="C922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922" s="6">
        <v>205</v>
      </c>
      <c r="E922" s="6">
        <v>12</v>
      </c>
      <c r="F922" s="6">
        <v>16</v>
      </c>
      <c r="G922" s="6">
        <v>200</v>
      </c>
      <c r="H922" s="6">
        <v>8</v>
      </c>
      <c r="I922" s="6">
        <v>2</v>
      </c>
      <c r="J922" s="6" t="s">
        <v>1581</v>
      </c>
      <c r="K922" s="6" t="s">
        <v>2438</v>
      </c>
      <c r="L922" s="6">
        <v>58</v>
      </c>
      <c r="M922" s="6">
        <v>5110</v>
      </c>
      <c r="N922" s="6">
        <v>6.67</v>
      </c>
      <c r="O922" s="6">
        <v>399</v>
      </c>
      <c r="P922" s="6" t="s">
        <v>2368</v>
      </c>
      <c r="Q922" s="6">
        <f>Table2_1[[#This Row],[Specs Score]] / (Table2_1[[#This Row],[Launched Price (USA)]] ^ 0.85)</f>
        <v>0.31925653258606473</v>
      </c>
      <c r="R922" s="6">
        <f>IFERROR(Table2_1[[#This Row],[Launched Price (USA)]] / S922, "")</f>
        <v>7.6914131750592629</v>
      </c>
      <c r="S922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51.87603252076309</v>
      </c>
      <c r="T922" s="6">
        <v>2024</v>
      </c>
    </row>
    <row r="923" spans="1:20" x14ac:dyDescent="0.25">
      <c r="A923" s="6" t="s">
        <v>1549</v>
      </c>
      <c r="B923" s="6" t="s">
        <v>1586</v>
      </c>
      <c r="C923" s="6">
        <f>IF(ISNUMBER(SEARCH("GB", Table2_1[[#This Row],[Model Name]])), IFERROR(VALUE(TRIM(RIGHT(SUBSTITUTE(LEFT(Table2_1[[#This Row],[Model Name]], SEARCH("GB", Table2_1[[#This Row],[Model Name]])-1), " ", REPT(" ", 100)), 100))), 128), 128)</f>
        <v>512</v>
      </c>
      <c r="D923" s="6">
        <v>205</v>
      </c>
      <c r="E923" s="6">
        <v>16</v>
      </c>
      <c r="F923" s="6">
        <v>16</v>
      </c>
      <c r="G923" s="6">
        <v>200</v>
      </c>
      <c r="H923" s="6">
        <v>8</v>
      </c>
      <c r="I923" s="6">
        <v>2</v>
      </c>
      <c r="J923" s="6" t="s">
        <v>1581</v>
      </c>
      <c r="K923" s="6" t="s">
        <v>2438</v>
      </c>
      <c r="L923" s="6">
        <v>58</v>
      </c>
      <c r="M923" s="6">
        <v>5110</v>
      </c>
      <c r="N923" s="6">
        <v>6.67</v>
      </c>
      <c r="O923" s="6">
        <v>429</v>
      </c>
      <c r="P923" s="6" t="s">
        <v>2368</v>
      </c>
      <c r="Q923" s="6">
        <f>Table2_1[[#This Row],[Specs Score]] / (Table2_1[[#This Row],[Launched Price (USA)]] ^ 0.85)</f>
        <v>0.36812142542406706</v>
      </c>
      <c r="R923" s="6">
        <f>IFERROR(Table2_1[[#This Row],[Launched Price (USA)]] / S923, "")</f>
        <v>6.7433779080895961</v>
      </c>
      <c r="S923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63.617968004634051</v>
      </c>
      <c r="T923" s="6">
        <v>2024</v>
      </c>
    </row>
    <row r="924" spans="1:20" x14ac:dyDescent="0.25">
      <c r="A924" s="6" t="s">
        <v>1549</v>
      </c>
      <c r="B924" s="6" t="s">
        <v>1589</v>
      </c>
      <c r="C924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924" s="6">
        <v>195</v>
      </c>
      <c r="E924" s="6">
        <v>8</v>
      </c>
      <c r="F924" s="6">
        <v>16</v>
      </c>
      <c r="G924" s="6">
        <v>108</v>
      </c>
      <c r="H924" s="6">
        <v>8</v>
      </c>
      <c r="I924" s="6">
        <v>2</v>
      </c>
      <c r="J924" s="6" t="s">
        <v>2432</v>
      </c>
      <c r="K924" s="6" t="s">
        <v>2438</v>
      </c>
      <c r="L924" s="6">
        <v>57</v>
      </c>
      <c r="M924" s="6">
        <v>5500</v>
      </c>
      <c r="N924" s="6">
        <v>6.67</v>
      </c>
      <c r="O924" s="6">
        <v>349</v>
      </c>
      <c r="P924" s="6" t="s">
        <v>2368</v>
      </c>
      <c r="Q924" s="6">
        <f>Table2_1[[#This Row],[Specs Score]] / (Table2_1[[#This Row],[Launched Price (USA)]] ^ 0.85)</f>
        <v>0.27356820922662273</v>
      </c>
      <c r="R924" s="6">
        <f>IFERROR(Table2_1[[#This Row],[Launched Price (USA)]] / S924, "")</f>
        <v>8.7974779398453471</v>
      </c>
      <c r="S924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39.670460373571011</v>
      </c>
      <c r="T924" s="6">
        <v>2024</v>
      </c>
    </row>
    <row r="925" spans="1:20" x14ac:dyDescent="0.25">
      <c r="A925" s="6" t="s">
        <v>1549</v>
      </c>
      <c r="B925" s="6" t="s">
        <v>1593</v>
      </c>
      <c r="C925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925" s="6">
        <v>195</v>
      </c>
      <c r="E925" s="6">
        <v>12</v>
      </c>
      <c r="F925" s="6">
        <v>16</v>
      </c>
      <c r="G925" s="6">
        <v>108</v>
      </c>
      <c r="H925" s="6">
        <v>8</v>
      </c>
      <c r="I925" s="6">
        <v>2</v>
      </c>
      <c r="J925" s="6" t="s">
        <v>2432</v>
      </c>
      <c r="K925" s="6" t="s">
        <v>2438</v>
      </c>
      <c r="L925" s="6">
        <v>57</v>
      </c>
      <c r="M925" s="6">
        <v>5500</v>
      </c>
      <c r="N925" s="6">
        <v>6.67</v>
      </c>
      <c r="O925" s="6">
        <v>379</v>
      </c>
      <c r="P925" s="6" t="s">
        <v>2368</v>
      </c>
      <c r="Q925" s="6">
        <f>Table2_1[[#This Row],[Specs Score]] / (Table2_1[[#This Row],[Launched Price (USA)]] ^ 0.85)</f>
        <v>0.305653163481862</v>
      </c>
      <c r="R925" s="6">
        <f>IFERROR(Table2_1[[#This Row],[Launched Price (USA)]] / S925, "")</f>
        <v>7.9719944272431782</v>
      </c>
      <c r="S925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47.541428115506505</v>
      </c>
      <c r="T925" s="6">
        <v>2024</v>
      </c>
    </row>
    <row r="926" spans="1:20" x14ac:dyDescent="0.25">
      <c r="A926" s="6" t="s">
        <v>1549</v>
      </c>
      <c r="B926" s="6" t="s">
        <v>1595</v>
      </c>
      <c r="C926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926" s="6">
        <v>190</v>
      </c>
      <c r="E926" s="6">
        <v>6</v>
      </c>
      <c r="F926" s="6">
        <v>16</v>
      </c>
      <c r="G926" s="6">
        <v>108</v>
      </c>
      <c r="H926" s="6">
        <v>8</v>
      </c>
      <c r="I926" s="6">
        <v>2</v>
      </c>
      <c r="J926" s="6" t="s">
        <v>2296</v>
      </c>
      <c r="K926" s="6" t="s">
        <v>2438</v>
      </c>
      <c r="L926" s="6">
        <v>48</v>
      </c>
      <c r="M926" s="6">
        <v>5000</v>
      </c>
      <c r="N926" s="6">
        <v>6.67</v>
      </c>
      <c r="O926" s="6">
        <v>299</v>
      </c>
      <c r="P926" s="6" t="s">
        <v>2368</v>
      </c>
      <c r="Q926" s="6">
        <f>Table2_1[[#This Row],[Specs Score]] / (Table2_1[[#This Row],[Launched Price (USA)]] ^ 0.85)</f>
        <v>0.27197943848390554</v>
      </c>
      <c r="R926" s="6">
        <f>IFERROR(Table2_1[[#This Row],[Launched Price (USA)]] / S926, "")</f>
        <v>8.6459875421244305</v>
      </c>
      <c r="S926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34.582515709539393</v>
      </c>
      <c r="T926" s="6">
        <v>2024</v>
      </c>
    </row>
    <row r="927" spans="1:20" x14ac:dyDescent="0.25">
      <c r="A927" s="6" t="s">
        <v>1549</v>
      </c>
      <c r="B927" s="6" t="s">
        <v>1598</v>
      </c>
      <c r="C927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927" s="6">
        <v>190</v>
      </c>
      <c r="E927" s="6">
        <v>8</v>
      </c>
      <c r="F927" s="6">
        <v>16</v>
      </c>
      <c r="G927" s="6">
        <v>108</v>
      </c>
      <c r="H927" s="6">
        <v>8</v>
      </c>
      <c r="I927" s="6">
        <v>2</v>
      </c>
      <c r="J927" s="6" t="s">
        <v>2296</v>
      </c>
      <c r="K927" s="6" t="s">
        <v>2438</v>
      </c>
      <c r="L927" s="6">
        <v>48</v>
      </c>
      <c r="M927" s="6">
        <v>5000</v>
      </c>
      <c r="N927" s="6">
        <v>6.67</v>
      </c>
      <c r="O927" s="6">
        <v>329</v>
      </c>
      <c r="P927" s="6" t="s">
        <v>2368</v>
      </c>
      <c r="Q927" s="6">
        <f>Table2_1[[#This Row],[Specs Score]] / (Table2_1[[#This Row],[Launched Price (USA)]] ^ 0.85)</f>
        <v>0.29331847030145974</v>
      </c>
      <c r="R927" s="6">
        <f>IFERROR(Table2_1[[#This Row],[Launched Price (USA)]] / S927, "")</f>
        <v>8.1327977699286382</v>
      </c>
      <c r="S927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40.453483451474881</v>
      </c>
      <c r="T927" s="6">
        <v>2024</v>
      </c>
    </row>
    <row r="928" spans="1:20" x14ac:dyDescent="0.25">
      <c r="A928" s="6" t="s">
        <v>1549</v>
      </c>
      <c r="B928" s="6" t="s">
        <v>1600</v>
      </c>
      <c r="C928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928" s="6">
        <v>185</v>
      </c>
      <c r="E928" s="6">
        <v>6</v>
      </c>
      <c r="F928" s="6">
        <v>16</v>
      </c>
      <c r="G928" s="6">
        <v>50</v>
      </c>
      <c r="H928" s="6">
        <v>8</v>
      </c>
      <c r="I928" s="6">
        <v>2</v>
      </c>
      <c r="J928" s="6" t="s">
        <v>2433</v>
      </c>
      <c r="K928" s="6" t="s">
        <v>2438</v>
      </c>
      <c r="L928" s="6">
        <v>47</v>
      </c>
      <c r="M928" s="6">
        <v>5000</v>
      </c>
      <c r="N928" s="6">
        <v>6.67</v>
      </c>
      <c r="O928" s="6">
        <v>279</v>
      </c>
      <c r="P928" s="6" t="s">
        <v>2368</v>
      </c>
      <c r="Q928" s="6">
        <f>Table2_1[[#This Row],[Specs Score]] / (Table2_1[[#This Row],[Launched Price (USA)]] ^ 0.85)</f>
        <v>0.26154834653447601</v>
      </c>
      <c r="R928" s="6">
        <f>IFERROR(Table2_1[[#This Row],[Launched Price (USA)]] / S928, "")</f>
        <v>8.8979231738430471</v>
      </c>
      <c r="S928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31.355631482655163</v>
      </c>
      <c r="T928" s="6">
        <v>2024</v>
      </c>
    </row>
    <row r="929" spans="1:20" x14ac:dyDescent="0.25">
      <c r="A929" s="6" t="s">
        <v>1549</v>
      </c>
      <c r="B929" s="6" t="s">
        <v>1604</v>
      </c>
      <c r="C929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929" s="6">
        <v>185</v>
      </c>
      <c r="E929" s="6">
        <v>8</v>
      </c>
      <c r="F929" s="6">
        <v>16</v>
      </c>
      <c r="G929" s="6">
        <v>50</v>
      </c>
      <c r="H929" s="6">
        <v>8</v>
      </c>
      <c r="I929" s="6">
        <v>2</v>
      </c>
      <c r="J929" s="6" t="s">
        <v>2433</v>
      </c>
      <c r="K929" s="6" t="s">
        <v>2438</v>
      </c>
      <c r="L929" s="6">
        <v>47</v>
      </c>
      <c r="M929" s="6">
        <v>5000</v>
      </c>
      <c r="N929" s="6">
        <v>6.67</v>
      </c>
      <c r="O929" s="6">
        <v>309</v>
      </c>
      <c r="P929" s="6" t="s">
        <v>2368</v>
      </c>
      <c r="Q929" s="6">
        <f>Table2_1[[#This Row],[Specs Score]] / (Table2_1[[#This Row],[Launched Price (USA)]] ^ 0.85)</f>
        <v>0.28470077951508271</v>
      </c>
      <c r="R929" s="6">
        <f>IFERROR(Table2_1[[#This Row],[Launched Price (USA)]] / S929, "")</f>
        <v>8.3005164703813428</v>
      </c>
      <c r="S929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37.22659922459065</v>
      </c>
      <c r="T929" s="6">
        <v>2024</v>
      </c>
    </row>
    <row r="930" spans="1:20" x14ac:dyDescent="0.25">
      <c r="A930" s="6" t="s">
        <v>1549</v>
      </c>
      <c r="B930" s="6" t="s">
        <v>1606</v>
      </c>
      <c r="C930" s="6">
        <f>IF(ISNUMBER(SEARCH("GB", Table2_1[[#This Row],[Model Name]])), IFERROR(VALUE(TRIM(RIGHT(SUBSTITUTE(LEFT(Table2_1[[#This Row],[Model Name]], SEARCH("GB", Table2_1[[#This Row],[Model Name]])-1), " ", REPT(" ", 100)), 100))), 128), 128)</f>
        <v>128</v>
      </c>
      <c r="D930" s="6">
        <v>180</v>
      </c>
      <c r="E930" s="6">
        <v>4</v>
      </c>
      <c r="F930" s="6">
        <v>16</v>
      </c>
      <c r="G930" s="6">
        <v>50</v>
      </c>
      <c r="H930" s="6">
        <v>8</v>
      </c>
      <c r="I930" s="6">
        <v>2</v>
      </c>
      <c r="J930" s="6" t="s">
        <v>2387</v>
      </c>
      <c r="K930" s="6" t="s">
        <v>2438</v>
      </c>
      <c r="L930" s="6">
        <v>32</v>
      </c>
      <c r="M930" s="6">
        <v>5000</v>
      </c>
      <c r="N930" s="6">
        <v>6.67</v>
      </c>
      <c r="O930" s="6">
        <v>249</v>
      </c>
      <c r="P930" s="6" t="s">
        <v>2368</v>
      </c>
      <c r="Q930" s="6">
        <f>Table2_1[[#This Row],[Specs Score]] / (Table2_1[[#This Row],[Launched Price (USA)]] ^ 0.85)</f>
        <v>0.23492168753486237</v>
      </c>
      <c r="R930" s="6">
        <f>IFERROR(Table2_1[[#This Row],[Launched Price (USA)]] / S930, "")</f>
        <v>9.73883011825564</v>
      </c>
      <c r="S930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25.567752694776381</v>
      </c>
      <c r="T930" s="6">
        <v>2024</v>
      </c>
    </row>
    <row r="931" spans="1:20" x14ac:dyDescent="0.25">
      <c r="A931" s="6" t="s">
        <v>1549</v>
      </c>
      <c r="B931" s="6" t="s">
        <v>1608</v>
      </c>
      <c r="C931" s="6">
        <f>IF(ISNUMBER(SEARCH("GB", Table2_1[[#This Row],[Model Name]])), IFERROR(VALUE(TRIM(RIGHT(SUBSTITUTE(LEFT(Table2_1[[#This Row],[Model Name]], SEARCH("GB", Table2_1[[#This Row],[Model Name]])-1), " ", REPT(" ", 100)), 100))), 128), 128)</f>
        <v>256</v>
      </c>
      <c r="D931" s="6">
        <v>180</v>
      </c>
      <c r="E931" s="6">
        <v>6</v>
      </c>
      <c r="F931" s="6">
        <v>16</v>
      </c>
      <c r="G931" s="6">
        <v>50</v>
      </c>
      <c r="H931" s="6">
        <v>8</v>
      </c>
      <c r="I931" s="6">
        <v>2</v>
      </c>
      <c r="J931" s="6" t="s">
        <v>2387</v>
      </c>
      <c r="K931" s="6" t="s">
        <v>2438</v>
      </c>
      <c r="L931" s="6">
        <v>32</v>
      </c>
      <c r="M931" s="6">
        <v>5000</v>
      </c>
      <c r="N931" s="6">
        <v>6.67</v>
      </c>
      <c r="O931" s="6">
        <v>279</v>
      </c>
      <c r="P931" s="6" t="s">
        <v>2368</v>
      </c>
      <c r="Q931" s="6">
        <f>Table2_1[[#This Row],[Specs Score]] / (Table2_1[[#This Row],[Launched Price (USA)]] ^ 0.85)</f>
        <v>0.2622414207135379</v>
      </c>
      <c r="R931" s="6">
        <f>IFERROR(Table2_1[[#This Row],[Launched Price (USA)]] / S931, "")</f>
        <v>8.8744069772701053</v>
      </c>
      <c r="S931" s="6">
        <f>(
  ((Table2_1[[#This Row],[Tier Score]]-MIN(Table2_1[Tier Score])) / (MAX(Table2_1[Tier Score])-MIN(Table2_1[Tier Score]))) * 25 +
  ((Table2_1[[#This Row],[RAM]]-MIN(Table2_1[RAM])) / (MAX(Table2_1[RAM])-MIN(Table2_1[RAM]))) * 15 +
  ((Table2_1[[#This Row],[Storage]]-MIN(Table2_1[Storage])) / (MAX(Table2_1[Storage])-MIN(Table2_1[Storage]))) * 15 +
  ((Table2_1[[#This Row],[Battery Capacity]]-MIN(Table2_1[Battery Capacity])) / (MAX(Table2_1[Battery Capacity])-MIN(Table2_1[Battery Capacity]))) * 15 +
  ((Table2_1[[#This Row],[Screen Size]]-MIN(Table2_1[Screen Size])) / (MAX(Table2_1[Screen Size])-MIN(Table2_1[Screen Size]))) * 10 +
  ((Table2_1[[#This Row],[Back Camera main]]-MIN(Table2_1[Back Camera main])) / (MAX(Table2_1[Back Camera main])-MIN(Table2_1[Back Camera main]))) * 10 +
  ((Table2_1[[#This Row],[Front Camera]]-MIN(Table2_1[Front Camera])) / (MAX(Table2_1[Front Camera])-MIN(Table2_1[Front Camera]))) * 10
)</f>
        <v>31.438720436711861</v>
      </c>
      <c r="T931" s="6">
        <v>2024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0AEF-49AA-48F8-BAA4-BA79F2BE61A1}">
  <sheetPr codeName="Sheet3">
    <tabColor rgb="FFFF0000"/>
  </sheetPr>
  <dimension ref="A1:V931"/>
  <sheetViews>
    <sheetView topLeftCell="J1" zoomScaleNormal="100" workbookViewId="0">
      <selection activeCell="F208" sqref="F208"/>
    </sheetView>
  </sheetViews>
  <sheetFormatPr defaultRowHeight="15" x14ac:dyDescent="0.25"/>
  <cols>
    <col min="1" max="1" width="17.42578125" bestFit="1" customWidth="1"/>
    <col min="2" max="2" width="38.85546875" bestFit="1" customWidth="1"/>
    <col min="3" max="3" width="16.28515625" style="2" bestFit="1" customWidth="1"/>
    <col min="4" max="4" width="10.5703125" bestFit="1" customWidth="1"/>
    <col min="5" max="5" width="33.42578125" bestFit="1" customWidth="1"/>
    <col min="6" max="6" width="57.42578125" bestFit="1" customWidth="1"/>
    <col min="7" max="7" width="23" bestFit="1" customWidth="1"/>
    <col min="8" max="8" width="17" style="5" bestFit="1" customWidth="1"/>
    <col min="9" max="9" width="12" style="7" bestFit="1" customWidth="1"/>
    <col min="10" max="10" width="17.7109375" bestFit="1" customWidth="1"/>
    <col min="11" max="11" width="13.28515625" style="4" bestFit="1" customWidth="1"/>
    <col min="12" max="12" width="26.28515625" bestFit="1" customWidth="1"/>
    <col min="13" max="13" width="23.140625" style="4" bestFit="1" customWidth="1"/>
    <col min="14" max="14" width="23.85546875" style="4" bestFit="1" customWidth="1"/>
    <col min="15" max="15" width="22.42578125" style="4" bestFit="1" customWidth="1"/>
    <col min="16" max="16" width="24" style="4" bestFit="1" customWidth="1"/>
    <col min="17" max="17" width="15.140625" style="4" bestFit="1" customWidth="1"/>
    <col min="18" max="18" width="16.28515625" style="2" bestFit="1" customWidth="1"/>
    <col min="19" max="19" width="16.28515625" customWidth="1"/>
    <col min="20" max="20" width="22.85546875" bestFit="1" customWidth="1"/>
    <col min="21" max="21" width="10.28515625" bestFit="1" customWidth="1"/>
    <col min="22" max="22" width="23.7109375" bestFit="1" customWidth="1"/>
    <col min="23" max="23" width="10.5703125" bestFit="1" customWidth="1"/>
  </cols>
  <sheetData>
    <row r="1" spans="1:22" x14ac:dyDescent="0.25">
      <c r="A1" t="s">
        <v>0</v>
      </c>
      <c r="B1" t="s">
        <v>1</v>
      </c>
      <c r="C1" s="2" t="s">
        <v>2367</v>
      </c>
      <c r="D1" t="s">
        <v>3</v>
      </c>
      <c r="E1" t="s">
        <v>4</v>
      </c>
      <c r="F1" t="s">
        <v>5</v>
      </c>
      <c r="G1" s="5" t="s">
        <v>6</v>
      </c>
      <c r="H1" t="s">
        <v>2441</v>
      </c>
      <c r="I1" s="6" t="s">
        <v>2443</v>
      </c>
      <c r="J1" s="3" t="s">
        <v>7</v>
      </c>
      <c r="K1" t="s">
        <v>8</v>
      </c>
      <c r="L1" s="4" t="s">
        <v>9</v>
      </c>
      <c r="M1" s="3" t="s">
        <v>10</v>
      </c>
      <c r="N1" s="4" t="s">
        <v>11</v>
      </c>
      <c r="O1" s="3" t="s">
        <v>12</v>
      </c>
      <c r="P1" s="4" t="s">
        <v>13</v>
      </c>
      <c r="Q1" s="2" t="s">
        <v>2370</v>
      </c>
      <c r="R1" t="s">
        <v>14</v>
      </c>
      <c r="T1" t="s">
        <v>2434</v>
      </c>
      <c r="U1" t="s">
        <v>2436</v>
      </c>
      <c r="V1" t="s">
        <v>2435</v>
      </c>
    </row>
    <row r="2" spans="1:22" x14ac:dyDescent="0.25">
      <c r="A2" t="s">
        <v>15</v>
      </c>
      <c r="B2" t="s">
        <v>16</v>
      </c>
      <c r="C2" s="2">
        <v>174</v>
      </c>
      <c r="D2" t="s">
        <v>18</v>
      </c>
      <c r="E2" t="s">
        <v>19</v>
      </c>
      <c r="F2" t="s">
        <v>20</v>
      </c>
      <c r="G2" s="5" t="s">
        <v>21</v>
      </c>
      <c r="H2" t="s">
        <v>2437</v>
      </c>
      <c r="I2" s="6">
        <f t="shared" ref="I2:I65" si="0">_xlfn.XLOOKUP(G2, $T$2:$T$183,$U$2:$U$183,"Unknown",0)</f>
        <v>100</v>
      </c>
      <c r="J2" s="2">
        <v>3600</v>
      </c>
      <c r="K2" s="2">
        <v>6.1</v>
      </c>
      <c r="L2" s="4">
        <v>224999</v>
      </c>
      <c r="M2" s="4">
        <v>79999</v>
      </c>
      <c r="N2" s="4">
        <v>5799</v>
      </c>
      <c r="O2" s="4">
        <v>799</v>
      </c>
      <c r="P2" s="4">
        <v>2799</v>
      </c>
      <c r="Q2" t="s">
        <v>2368</v>
      </c>
      <c r="R2">
        <v>2024</v>
      </c>
      <c r="T2" t="s">
        <v>258</v>
      </c>
      <c r="U2">
        <v>70</v>
      </c>
      <c r="V2" t="s">
        <v>2437</v>
      </c>
    </row>
    <row r="3" spans="1:22" x14ac:dyDescent="0.25">
      <c r="A3" t="s">
        <v>15</v>
      </c>
      <c r="B3" t="s">
        <v>29</v>
      </c>
      <c r="C3" s="2">
        <v>174</v>
      </c>
      <c r="D3" t="s">
        <v>18</v>
      </c>
      <c r="E3" t="s">
        <v>19</v>
      </c>
      <c r="F3" t="s">
        <v>20</v>
      </c>
      <c r="G3" s="5" t="s">
        <v>21</v>
      </c>
      <c r="H3" t="s">
        <v>2437</v>
      </c>
      <c r="I3" s="6">
        <f t="shared" si="0"/>
        <v>100</v>
      </c>
      <c r="J3" s="2">
        <v>3600</v>
      </c>
      <c r="K3" s="2">
        <v>6.1</v>
      </c>
      <c r="L3" s="4">
        <v>234999</v>
      </c>
      <c r="M3" s="4">
        <v>84999</v>
      </c>
      <c r="N3" s="4">
        <v>6099</v>
      </c>
      <c r="O3" s="4">
        <v>849</v>
      </c>
      <c r="P3" s="4">
        <v>2999</v>
      </c>
      <c r="Q3" t="s">
        <v>2368</v>
      </c>
      <c r="R3">
        <v>2024</v>
      </c>
      <c r="T3" t="s">
        <v>267</v>
      </c>
      <c r="U3">
        <v>75</v>
      </c>
      <c r="V3" t="s">
        <v>2437</v>
      </c>
    </row>
    <row r="4" spans="1:22" x14ac:dyDescent="0.25">
      <c r="A4" t="s">
        <v>15</v>
      </c>
      <c r="B4" t="s">
        <v>35</v>
      </c>
      <c r="C4" s="2">
        <v>174</v>
      </c>
      <c r="D4" t="s">
        <v>18</v>
      </c>
      <c r="E4" t="s">
        <v>19</v>
      </c>
      <c r="F4" t="s">
        <v>20</v>
      </c>
      <c r="G4" s="5" t="s">
        <v>21</v>
      </c>
      <c r="H4" t="s">
        <v>2437</v>
      </c>
      <c r="I4" s="6">
        <f t="shared" si="0"/>
        <v>100</v>
      </c>
      <c r="J4" s="2">
        <v>3600</v>
      </c>
      <c r="K4" s="2">
        <v>6.1</v>
      </c>
      <c r="L4" s="4">
        <v>244999</v>
      </c>
      <c r="M4" s="4">
        <v>89999</v>
      </c>
      <c r="N4" s="4">
        <v>6499</v>
      </c>
      <c r="O4" s="4">
        <v>899</v>
      </c>
      <c r="P4" s="4">
        <v>3199</v>
      </c>
      <c r="Q4" t="s">
        <v>2368</v>
      </c>
      <c r="R4">
        <v>2024</v>
      </c>
      <c r="T4" t="s">
        <v>336</v>
      </c>
      <c r="U4">
        <v>78</v>
      </c>
      <c r="V4" t="s">
        <v>2437</v>
      </c>
    </row>
    <row r="5" spans="1:22" x14ac:dyDescent="0.25">
      <c r="A5" t="s">
        <v>15</v>
      </c>
      <c r="B5" t="s">
        <v>41</v>
      </c>
      <c r="C5" s="2">
        <v>203</v>
      </c>
      <c r="D5" t="s">
        <v>18</v>
      </c>
      <c r="E5" t="s">
        <v>19</v>
      </c>
      <c r="F5" t="s">
        <v>20</v>
      </c>
      <c r="G5" s="5" t="s">
        <v>21</v>
      </c>
      <c r="H5" t="s">
        <v>2437</v>
      </c>
      <c r="I5" s="6">
        <f t="shared" si="0"/>
        <v>100</v>
      </c>
      <c r="J5" s="2">
        <v>4200</v>
      </c>
      <c r="K5" s="2">
        <v>6.7</v>
      </c>
      <c r="L5" s="4">
        <v>249999</v>
      </c>
      <c r="M5" s="4">
        <v>89999</v>
      </c>
      <c r="N5" s="4">
        <v>6199</v>
      </c>
      <c r="O5" s="4">
        <v>899</v>
      </c>
      <c r="P5" s="4">
        <v>3199</v>
      </c>
      <c r="Q5" t="s">
        <v>2368</v>
      </c>
      <c r="R5">
        <v>2024</v>
      </c>
      <c r="T5" t="s">
        <v>225</v>
      </c>
      <c r="U5">
        <v>80</v>
      </c>
      <c r="V5" t="s">
        <v>2437</v>
      </c>
    </row>
    <row r="6" spans="1:22" x14ac:dyDescent="0.25">
      <c r="A6" t="s">
        <v>15</v>
      </c>
      <c r="B6" t="s">
        <v>47</v>
      </c>
      <c r="C6" s="2">
        <v>203</v>
      </c>
      <c r="D6" t="s">
        <v>18</v>
      </c>
      <c r="E6" t="s">
        <v>19</v>
      </c>
      <c r="F6" t="s">
        <v>20</v>
      </c>
      <c r="G6" s="5" t="s">
        <v>21</v>
      </c>
      <c r="H6" t="s">
        <v>2437</v>
      </c>
      <c r="I6" s="6">
        <f t="shared" si="0"/>
        <v>100</v>
      </c>
      <c r="J6" s="2">
        <v>4200</v>
      </c>
      <c r="K6" s="2">
        <v>6.7</v>
      </c>
      <c r="L6" s="4">
        <v>259999</v>
      </c>
      <c r="M6" s="4">
        <v>94999</v>
      </c>
      <c r="N6" s="4">
        <v>6499</v>
      </c>
      <c r="O6" s="4">
        <v>949</v>
      </c>
      <c r="P6" s="4">
        <v>3399</v>
      </c>
      <c r="Q6" t="s">
        <v>2368</v>
      </c>
      <c r="R6">
        <v>2024</v>
      </c>
      <c r="T6" t="s">
        <v>203</v>
      </c>
      <c r="U6">
        <v>85</v>
      </c>
      <c r="V6" t="s">
        <v>2437</v>
      </c>
    </row>
    <row r="7" spans="1:22" x14ac:dyDescent="0.25">
      <c r="A7" t="s">
        <v>15</v>
      </c>
      <c r="B7" t="s">
        <v>52</v>
      </c>
      <c r="C7" s="2">
        <v>203</v>
      </c>
      <c r="D7" t="s">
        <v>18</v>
      </c>
      <c r="E7" t="s">
        <v>19</v>
      </c>
      <c r="F7" t="s">
        <v>20</v>
      </c>
      <c r="G7" s="5" t="s">
        <v>21</v>
      </c>
      <c r="H7" t="s">
        <v>2437</v>
      </c>
      <c r="I7" s="6">
        <f t="shared" si="0"/>
        <v>100</v>
      </c>
      <c r="J7" s="2">
        <v>4200</v>
      </c>
      <c r="K7" s="2">
        <v>6.7</v>
      </c>
      <c r="L7" s="4">
        <v>274999</v>
      </c>
      <c r="M7" s="4">
        <v>104999</v>
      </c>
      <c r="N7" s="4">
        <v>6999</v>
      </c>
      <c r="O7" s="4">
        <v>999</v>
      </c>
      <c r="P7" s="4">
        <v>3599</v>
      </c>
      <c r="Q7" t="s">
        <v>2368</v>
      </c>
      <c r="R7">
        <v>2024</v>
      </c>
      <c r="T7" t="s">
        <v>133</v>
      </c>
      <c r="U7">
        <v>90</v>
      </c>
      <c r="V7" t="s">
        <v>2437</v>
      </c>
    </row>
    <row r="8" spans="1:22" x14ac:dyDescent="0.25">
      <c r="A8" t="s">
        <v>15</v>
      </c>
      <c r="B8" t="s">
        <v>58</v>
      </c>
      <c r="C8" s="2">
        <v>206</v>
      </c>
      <c r="D8" t="s">
        <v>18</v>
      </c>
      <c r="E8" t="s">
        <v>60</v>
      </c>
      <c r="F8" t="s">
        <v>61</v>
      </c>
      <c r="G8" s="5" t="s">
        <v>62</v>
      </c>
      <c r="H8" t="s">
        <v>2437</v>
      </c>
      <c r="I8" s="6">
        <f t="shared" si="0"/>
        <v>100</v>
      </c>
      <c r="J8" s="2">
        <v>4400</v>
      </c>
      <c r="K8" s="2">
        <v>6.1</v>
      </c>
      <c r="L8" s="4">
        <v>284999</v>
      </c>
      <c r="M8" s="4">
        <v>99999</v>
      </c>
      <c r="N8" s="4">
        <v>6999</v>
      </c>
      <c r="O8" s="4">
        <v>999</v>
      </c>
      <c r="P8" s="4">
        <v>3499</v>
      </c>
      <c r="Q8" t="s">
        <v>2368</v>
      </c>
      <c r="R8">
        <v>2024</v>
      </c>
      <c r="T8" t="s">
        <v>98</v>
      </c>
      <c r="U8">
        <v>95</v>
      </c>
      <c r="V8" t="s">
        <v>2437</v>
      </c>
    </row>
    <row r="9" spans="1:22" x14ac:dyDescent="0.25">
      <c r="A9" t="s">
        <v>15</v>
      </c>
      <c r="B9" t="s">
        <v>67</v>
      </c>
      <c r="C9" s="2">
        <v>206</v>
      </c>
      <c r="D9" t="s">
        <v>68</v>
      </c>
      <c r="E9" t="s">
        <v>60</v>
      </c>
      <c r="F9" t="s">
        <v>61</v>
      </c>
      <c r="G9" s="5" t="s">
        <v>62</v>
      </c>
      <c r="H9" t="s">
        <v>2437</v>
      </c>
      <c r="I9" s="6">
        <f t="shared" si="0"/>
        <v>100</v>
      </c>
      <c r="J9" s="2">
        <v>4400</v>
      </c>
      <c r="K9" s="2">
        <v>6.1</v>
      </c>
      <c r="L9" s="4">
        <v>294999</v>
      </c>
      <c r="M9" s="4">
        <v>104999</v>
      </c>
      <c r="N9" s="4">
        <v>7099</v>
      </c>
      <c r="O9" s="4">
        <v>1049</v>
      </c>
      <c r="P9" s="4">
        <v>3699</v>
      </c>
      <c r="Q9" t="s">
        <v>2368</v>
      </c>
      <c r="R9">
        <v>2024</v>
      </c>
      <c r="T9" t="s">
        <v>21</v>
      </c>
      <c r="U9">
        <v>100</v>
      </c>
      <c r="V9" t="s">
        <v>2437</v>
      </c>
    </row>
    <row r="10" spans="1:22" x14ac:dyDescent="0.25">
      <c r="A10" t="s">
        <v>15</v>
      </c>
      <c r="B10" t="s">
        <v>73</v>
      </c>
      <c r="C10" s="2">
        <v>206</v>
      </c>
      <c r="D10" t="s">
        <v>68</v>
      </c>
      <c r="E10" t="s">
        <v>60</v>
      </c>
      <c r="F10" t="s">
        <v>61</v>
      </c>
      <c r="G10" s="5" t="s">
        <v>62</v>
      </c>
      <c r="H10" t="s">
        <v>2437</v>
      </c>
      <c r="I10" s="6">
        <f t="shared" si="0"/>
        <v>100</v>
      </c>
      <c r="J10" s="2">
        <v>4400</v>
      </c>
      <c r="K10" s="2">
        <v>6.1</v>
      </c>
      <c r="L10" s="4">
        <v>314999</v>
      </c>
      <c r="M10" s="4">
        <v>114999</v>
      </c>
      <c r="N10" s="4">
        <v>7499</v>
      </c>
      <c r="O10" s="4">
        <v>1099</v>
      </c>
      <c r="P10" s="4">
        <v>3899</v>
      </c>
      <c r="Q10" t="s">
        <v>2368</v>
      </c>
      <c r="R10">
        <v>2024</v>
      </c>
      <c r="T10" t="s">
        <v>62</v>
      </c>
      <c r="U10">
        <v>100</v>
      </c>
      <c r="V10" t="s">
        <v>2437</v>
      </c>
    </row>
    <row r="11" spans="1:22" x14ac:dyDescent="0.25">
      <c r="A11" t="s">
        <v>15</v>
      </c>
      <c r="B11" t="s">
        <v>79</v>
      </c>
      <c r="C11" s="2">
        <v>221</v>
      </c>
      <c r="D11" t="s">
        <v>18</v>
      </c>
      <c r="E11" t="s">
        <v>60</v>
      </c>
      <c r="F11" t="s">
        <v>81</v>
      </c>
      <c r="G11" s="5" t="s">
        <v>62</v>
      </c>
      <c r="H11" t="s">
        <v>2437</v>
      </c>
      <c r="I11" s="6">
        <f t="shared" si="0"/>
        <v>100</v>
      </c>
      <c r="J11" s="2">
        <v>4500</v>
      </c>
      <c r="K11" s="2">
        <v>6.7</v>
      </c>
      <c r="L11" s="4">
        <v>314999</v>
      </c>
      <c r="M11" s="4">
        <v>109999</v>
      </c>
      <c r="N11" s="4">
        <v>7499</v>
      </c>
      <c r="O11" s="4">
        <v>1099</v>
      </c>
      <c r="P11" s="4">
        <v>3799</v>
      </c>
      <c r="Q11" t="s">
        <v>2368</v>
      </c>
      <c r="R11">
        <v>2024</v>
      </c>
      <c r="T11" t="s">
        <v>1252</v>
      </c>
      <c r="U11">
        <v>32</v>
      </c>
      <c r="V11" t="s">
        <v>2438</v>
      </c>
    </row>
    <row r="12" spans="1:22" x14ac:dyDescent="0.25">
      <c r="A12" t="s">
        <v>15</v>
      </c>
      <c r="B12" t="s">
        <v>85</v>
      </c>
      <c r="C12" s="2">
        <v>221</v>
      </c>
      <c r="D12" t="s">
        <v>68</v>
      </c>
      <c r="E12" t="s">
        <v>60</v>
      </c>
      <c r="F12" t="s">
        <v>81</v>
      </c>
      <c r="G12" s="5" t="s">
        <v>62</v>
      </c>
      <c r="H12" t="s">
        <v>2437</v>
      </c>
      <c r="I12" s="6">
        <f t="shared" si="0"/>
        <v>100</v>
      </c>
      <c r="J12" s="2">
        <v>4500</v>
      </c>
      <c r="K12" s="2">
        <v>6.7</v>
      </c>
      <c r="L12" s="4">
        <v>324999</v>
      </c>
      <c r="M12" s="4">
        <v>114999</v>
      </c>
      <c r="N12" s="4">
        <v>7799</v>
      </c>
      <c r="O12" s="4">
        <v>1199</v>
      </c>
      <c r="P12" s="4">
        <v>3999</v>
      </c>
      <c r="Q12" t="s">
        <v>2368</v>
      </c>
      <c r="R12">
        <v>2024</v>
      </c>
      <c r="T12" t="s">
        <v>1264</v>
      </c>
      <c r="U12">
        <v>30</v>
      </c>
      <c r="V12" t="s">
        <v>2438</v>
      </c>
    </row>
    <row r="13" spans="1:22" x14ac:dyDescent="0.25">
      <c r="A13" t="s">
        <v>15</v>
      </c>
      <c r="B13" t="s">
        <v>90</v>
      </c>
      <c r="C13" s="2">
        <v>221</v>
      </c>
      <c r="D13" t="s">
        <v>68</v>
      </c>
      <c r="E13" t="s">
        <v>60</v>
      </c>
      <c r="F13" t="s">
        <v>81</v>
      </c>
      <c r="G13" s="5" t="s">
        <v>62</v>
      </c>
      <c r="H13" t="s">
        <v>2437</v>
      </c>
      <c r="I13" s="6">
        <f t="shared" si="0"/>
        <v>100</v>
      </c>
      <c r="J13" s="2">
        <v>4500</v>
      </c>
      <c r="K13" s="2">
        <v>6.7</v>
      </c>
      <c r="L13" s="4">
        <v>344999</v>
      </c>
      <c r="M13" s="4">
        <v>124999</v>
      </c>
      <c r="N13" s="4">
        <v>8199</v>
      </c>
      <c r="O13" s="4">
        <v>1299</v>
      </c>
      <c r="P13" s="4">
        <v>4199</v>
      </c>
      <c r="Q13" t="s">
        <v>2368</v>
      </c>
      <c r="R13">
        <v>2024</v>
      </c>
      <c r="T13" t="s">
        <v>2420</v>
      </c>
      <c r="U13">
        <v>42</v>
      </c>
      <c r="V13" t="s">
        <v>2438</v>
      </c>
    </row>
    <row r="14" spans="1:22" x14ac:dyDescent="0.25">
      <c r="A14" t="s">
        <v>15</v>
      </c>
      <c r="B14" t="s">
        <v>96</v>
      </c>
      <c r="C14" s="2">
        <v>171</v>
      </c>
      <c r="D14" t="s">
        <v>18</v>
      </c>
      <c r="E14" t="s">
        <v>19</v>
      </c>
      <c r="F14" t="s">
        <v>20</v>
      </c>
      <c r="G14" s="5" t="s">
        <v>98</v>
      </c>
      <c r="H14" t="s">
        <v>2437</v>
      </c>
      <c r="I14" s="6">
        <f t="shared" si="0"/>
        <v>95</v>
      </c>
      <c r="J14" s="2">
        <v>3200</v>
      </c>
      <c r="K14" s="2">
        <v>6.1</v>
      </c>
      <c r="L14" s="4">
        <v>204999</v>
      </c>
      <c r="M14" s="4">
        <v>74999</v>
      </c>
      <c r="N14" s="4">
        <v>5299</v>
      </c>
      <c r="O14" s="4">
        <v>799</v>
      </c>
      <c r="P14" s="4">
        <v>2699</v>
      </c>
      <c r="Q14" t="s">
        <v>2368</v>
      </c>
      <c r="R14">
        <v>2023</v>
      </c>
      <c r="T14" t="s">
        <v>921</v>
      </c>
      <c r="U14">
        <v>35</v>
      </c>
      <c r="V14" t="s">
        <v>2438</v>
      </c>
    </row>
    <row r="15" spans="1:22" x14ac:dyDescent="0.25">
      <c r="A15" t="s">
        <v>15</v>
      </c>
      <c r="B15" t="s">
        <v>104</v>
      </c>
      <c r="C15" s="2">
        <v>171</v>
      </c>
      <c r="D15" t="s">
        <v>18</v>
      </c>
      <c r="E15" t="s">
        <v>19</v>
      </c>
      <c r="F15" t="s">
        <v>20</v>
      </c>
      <c r="G15" s="5" t="s">
        <v>98</v>
      </c>
      <c r="H15" t="s">
        <v>2437</v>
      </c>
      <c r="I15" s="6">
        <f t="shared" si="0"/>
        <v>95</v>
      </c>
      <c r="J15" s="2">
        <v>3200</v>
      </c>
      <c r="K15" s="2">
        <v>6.1</v>
      </c>
      <c r="L15" s="4">
        <v>214999</v>
      </c>
      <c r="M15" s="4">
        <v>79999</v>
      </c>
      <c r="N15" s="4">
        <v>5599</v>
      </c>
      <c r="O15" s="4">
        <v>849</v>
      </c>
      <c r="P15" s="4">
        <v>2999</v>
      </c>
      <c r="Q15" t="s">
        <v>2368</v>
      </c>
      <c r="R15">
        <v>2023</v>
      </c>
      <c r="T15" t="s">
        <v>911</v>
      </c>
      <c r="U15">
        <v>38</v>
      </c>
      <c r="V15" t="s">
        <v>2438</v>
      </c>
    </row>
    <row r="16" spans="1:22" x14ac:dyDescent="0.25">
      <c r="A16" t="s">
        <v>15</v>
      </c>
      <c r="B16" t="s">
        <v>107</v>
      </c>
      <c r="C16" s="2">
        <v>171</v>
      </c>
      <c r="D16" t="s">
        <v>18</v>
      </c>
      <c r="E16" t="s">
        <v>19</v>
      </c>
      <c r="F16" t="s">
        <v>20</v>
      </c>
      <c r="G16" s="5" t="s">
        <v>98</v>
      </c>
      <c r="H16" t="s">
        <v>2437</v>
      </c>
      <c r="I16" s="6">
        <f t="shared" si="0"/>
        <v>95</v>
      </c>
      <c r="J16" s="2">
        <v>3200</v>
      </c>
      <c r="K16" s="2">
        <v>6.1</v>
      </c>
      <c r="L16" s="4">
        <v>224999</v>
      </c>
      <c r="M16" s="4">
        <v>89999</v>
      </c>
      <c r="N16" s="4">
        <v>5999</v>
      </c>
      <c r="O16" s="4">
        <v>949</v>
      </c>
      <c r="P16" s="4">
        <v>3199</v>
      </c>
      <c r="Q16" t="s">
        <v>2368</v>
      </c>
      <c r="R16">
        <v>2023</v>
      </c>
      <c r="T16" t="s">
        <v>2405</v>
      </c>
      <c r="U16">
        <v>40</v>
      </c>
      <c r="V16" t="s">
        <v>2438</v>
      </c>
    </row>
    <row r="17" spans="1:22" x14ac:dyDescent="0.25">
      <c r="A17" t="s">
        <v>15</v>
      </c>
      <c r="B17" t="s">
        <v>109</v>
      </c>
      <c r="C17" s="2">
        <v>203</v>
      </c>
      <c r="D17" t="s">
        <v>18</v>
      </c>
      <c r="E17" t="s">
        <v>19</v>
      </c>
      <c r="F17" t="s">
        <v>20</v>
      </c>
      <c r="G17" s="5" t="s">
        <v>98</v>
      </c>
      <c r="H17" t="s">
        <v>2437</v>
      </c>
      <c r="I17" s="6">
        <f t="shared" si="0"/>
        <v>95</v>
      </c>
      <c r="J17" s="2">
        <v>4300</v>
      </c>
      <c r="K17" s="2">
        <v>6.7</v>
      </c>
      <c r="L17" s="4">
        <v>234999</v>
      </c>
      <c r="M17" s="4">
        <v>84999</v>
      </c>
      <c r="N17" s="4">
        <v>5699</v>
      </c>
      <c r="O17" s="4">
        <v>899</v>
      </c>
      <c r="P17" s="4">
        <v>3199</v>
      </c>
      <c r="Q17" t="s">
        <v>2368</v>
      </c>
      <c r="R17">
        <v>2023</v>
      </c>
      <c r="T17" t="s">
        <v>1233</v>
      </c>
      <c r="U17">
        <v>40</v>
      </c>
      <c r="V17" t="s">
        <v>2438</v>
      </c>
    </row>
    <row r="18" spans="1:22" x14ac:dyDescent="0.25">
      <c r="A18" t="s">
        <v>15</v>
      </c>
      <c r="B18" t="s">
        <v>112</v>
      </c>
      <c r="C18" s="2">
        <v>203</v>
      </c>
      <c r="D18" t="s">
        <v>18</v>
      </c>
      <c r="E18" t="s">
        <v>19</v>
      </c>
      <c r="F18" t="s">
        <v>20</v>
      </c>
      <c r="G18" s="5" t="s">
        <v>98</v>
      </c>
      <c r="H18" t="s">
        <v>2437</v>
      </c>
      <c r="I18" s="6">
        <f t="shared" si="0"/>
        <v>95</v>
      </c>
      <c r="J18" s="2">
        <v>4300</v>
      </c>
      <c r="K18" s="2">
        <v>6.7</v>
      </c>
      <c r="L18" s="4">
        <v>244999</v>
      </c>
      <c r="M18" s="4">
        <v>94999</v>
      </c>
      <c r="N18" s="4">
        <v>6199</v>
      </c>
      <c r="O18" s="4">
        <v>999</v>
      </c>
      <c r="P18" s="4">
        <v>3399</v>
      </c>
      <c r="Q18" t="s">
        <v>2368</v>
      </c>
      <c r="R18">
        <v>2023</v>
      </c>
      <c r="T18" t="s">
        <v>2386</v>
      </c>
      <c r="U18">
        <v>42</v>
      </c>
      <c r="V18" t="s">
        <v>2438</v>
      </c>
    </row>
    <row r="19" spans="1:22" x14ac:dyDescent="0.25">
      <c r="A19" t="s">
        <v>15</v>
      </c>
      <c r="B19" t="s">
        <v>113</v>
      </c>
      <c r="C19" s="2">
        <v>203</v>
      </c>
      <c r="D19" t="s">
        <v>18</v>
      </c>
      <c r="E19" t="s">
        <v>19</v>
      </c>
      <c r="F19" t="s">
        <v>20</v>
      </c>
      <c r="G19" s="5" t="s">
        <v>98</v>
      </c>
      <c r="H19" t="s">
        <v>2437</v>
      </c>
      <c r="I19" s="6">
        <f t="shared" si="0"/>
        <v>95</v>
      </c>
      <c r="J19" s="2">
        <v>4300</v>
      </c>
      <c r="K19" s="2">
        <v>6.7</v>
      </c>
      <c r="L19" s="4">
        <v>264999</v>
      </c>
      <c r="M19" s="4">
        <v>104999</v>
      </c>
      <c r="N19" s="4">
        <v>6799</v>
      </c>
      <c r="O19" s="4">
        <v>1049</v>
      </c>
      <c r="P19" s="4">
        <v>3599</v>
      </c>
      <c r="Q19" t="s">
        <v>2368</v>
      </c>
      <c r="R19">
        <v>2023</v>
      </c>
      <c r="T19" t="s">
        <v>2381</v>
      </c>
      <c r="U19">
        <v>20</v>
      </c>
      <c r="V19" t="s">
        <v>2439</v>
      </c>
    </row>
    <row r="20" spans="1:22" x14ac:dyDescent="0.25">
      <c r="A20" t="s">
        <v>15</v>
      </c>
      <c r="B20" t="s">
        <v>116</v>
      </c>
      <c r="C20" s="2">
        <v>206</v>
      </c>
      <c r="D20" t="s">
        <v>18</v>
      </c>
      <c r="E20" t="s">
        <v>60</v>
      </c>
      <c r="F20" t="s">
        <v>81</v>
      </c>
      <c r="G20" s="5" t="s">
        <v>98</v>
      </c>
      <c r="H20" t="s">
        <v>2437</v>
      </c>
      <c r="I20" s="6">
        <f t="shared" si="0"/>
        <v>95</v>
      </c>
      <c r="J20" s="2">
        <v>4400</v>
      </c>
      <c r="K20" s="2">
        <v>6.1</v>
      </c>
      <c r="L20" s="4">
        <v>274999</v>
      </c>
      <c r="M20" s="4">
        <v>99999</v>
      </c>
      <c r="N20" s="4">
        <v>6999</v>
      </c>
      <c r="O20" s="4">
        <v>1099</v>
      </c>
      <c r="P20" s="4">
        <v>3599</v>
      </c>
      <c r="Q20" t="s">
        <v>2368</v>
      </c>
      <c r="R20">
        <v>2023</v>
      </c>
      <c r="T20" t="s">
        <v>2383</v>
      </c>
      <c r="U20">
        <v>22</v>
      </c>
      <c r="V20" t="s">
        <v>2439</v>
      </c>
    </row>
    <row r="21" spans="1:22" x14ac:dyDescent="0.25">
      <c r="A21" t="s">
        <v>15</v>
      </c>
      <c r="B21" t="s">
        <v>117</v>
      </c>
      <c r="C21" s="2">
        <v>206</v>
      </c>
      <c r="D21" t="s">
        <v>68</v>
      </c>
      <c r="E21" t="s">
        <v>60</v>
      </c>
      <c r="F21" t="s">
        <v>81</v>
      </c>
      <c r="G21" s="5" t="s">
        <v>98</v>
      </c>
      <c r="H21" t="s">
        <v>2437</v>
      </c>
      <c r="I21" s="6">
        <f t="shared" si="0"/>
        <v>95</v>
      </c>
      <c r="J21" s="2">
        <v>4400</v>
      </c>
      <c r="K21" s="2">
        <v>6.1</v>
      </c>
      <c r="L21" s="4">
        <v>284999</v>
      </c>
      <c r="M21" s="4">
        <v>109999</v>
      </c>
      <c r="N21" s="4">
        <v>7299</v>
      </c>
      <c r="O21" s="4">
        <v>1199</v>
      </c>
      <c r="P21" s="4">
        <v>3799</v>
      </c>
      <c r="Q21" t="s">
        <v>2368</v>
      </c>
      <c r="R21">
        <v>2023</v>
      </c>
      <c r="T21" t="s">
        <v>2373</v>
      </c>
      <c r="U21">
        <v>18</v>
      </c>
      <c r="V21" t="s">
        <v>2439</v>
      </c>
    </row>
    <row r="22" spans="1:22" x14ac:dyDescent="0.25">
      <c r="A22" t="s">
        <v>15</v>
      </c>
      <c r="B22" t="s">
        <v>119</v>
      </c>
      <c r="C22" s="2">
        <v>206</v>
      </c>
      <c r="D22" t="s">
        <v>68</v>
      </c>
      <c r="E22" t="s">
        <v>60</v>
      </c>
      <c r="F22" t="s">
        <v>81</v>
      </c>
      <c r="G22" s="5" t="s">
        <v>98</v>
      </c>
      <c r="H22" t="s">
        <v>2437</v>
      </c>
      <c r="I22" s="6">
        <f t="shared" si="0"/>
        <v>95</v>
      </c>
      <c r="J22" s="2">
        <v>4400</v>
      </c>
      <c r="K22" s="2">
        <v>6.1</v>
      </c>
      <c r="L22" s="4">
        <v>304999</v>
      </c>
      <c r="M22" s="4">
        <v>119999</v>
      </c>
      <c r="N22" s="4">
        <v>7799</v>
      </c>
      <c r="O22" s="4">
        <v>1299</v>
      </c>
      <c r="P22" s="4">
        <v>4199</v>
      </c>
      <c r="Q22" t="s">
        <v>2368</v>
      </c>
      <c r="R22">
        <v>2023</v>
      </c>
      <c r="T22" t="s">
        <v>2408</v>
      </c>
      <c r="U22">
        <v>19</v>
      </c>
      <c r="V22" t="s">
        <v>2439</v>
      </c>
    </row>
    <row r="23" spans="1:22" x14ac:dyDescent="0.25">
      <c r="A23" t="s">
        <v>15</v>
      </c>
      <c r="B23" t="s">
        <v>122</v>
      </c>
      <c r="C23" s="2">
        <v>221</v>
      </c>
      <c r="D23" t="s">
        <v>18</v>
      </c>
      <c r="E23" t="s">
        <v>60</v>
      </c>
      <c r="F23" t="s">
        <v>81</v>
      </c>
      <c r="G23" s="5" t="s">
        <v>98</v>
      </c>
      <c r="H23" t="s">
        <v>2437</v>
      </c>
      <c r="I23" s="6">
        <f t="shared" si="0"/>
        <v>95</v>
      </c>
      <c r="J23" s="2">
        <v>4500</v>
      </c>
      <c r="K23" s="2">
        <v>6.7</v>
      </c>
      <c r="L23" s="4">
        <v>314999</v>
      </c>
      <c r="M23" s="4">
        <v>114999</v>
      </c>
      <c r="N23" s="4">
        <v>7999</v>
      </c>
      <c r="O23" s="4">
        <v>1199</v>
      </c>
      <c r="P23" s="4">
        <v>3899</v>
      </c>
      <c r="Q23" t="s">
        <v>2368</v>
      </c>
      <c r="R23">
        <v>2023</v>
      </c>
      <c r="T23" t="s">
        <v>1155</v>
      </c>
      <c r="U23">
        <v>55</v>
      </c>
      <c r="V23" t="s">
        <v>2438</v>
      </c>
    </row>
    <row r="24" spans="1:22" x14ac:dyDescent="0.25">
      <c r="A24" t="s">
        <v>15</v>
      </c>
      <c r="B24" t="s">
        <v>124</v>
      </c>
      <c r="C24" s="2">
        <v>221</v>
      </c>
      <c r="D24" t="s">
        <v>68</v>
      </c>
      <c r="E24" t="s">
        <v>60</v>
      </c>
      <c r="F24" t="s">
        <v>81</v>
      </c>
      <c r="G24" s="5" t="s">
        <v>98</v>
      </c>
      <c r="H24" t="s">
        <v>2437</v>
      </c>
      <c r="I24" s="6">
        <f t="shared" si="0"/>
        <v>95</v>
      </c>
      <c r="J24" s="2">
        <v>4500</v>
      </c>
      <c r="K24" s="2">
        <v>6.7</v>
      </c>
      <c r="L24" s="4">
        <v>324999</v>
      </c>
      <c r="M24" s="4">
        <v>124999</v>
      </c>
      <c r="N24" s="4">
        <v>8199</v>
      </c>
      <c r="O24" s="4">
        <v>1299</v>
      </c>
      <c r="P24" s="4">
        <v>4199</v>
      </c>
      <c r="Q24" t="s">
        <v>2368</v>
      </c>
      <c r="R24">
        <v>2023</v>
      </c>
      <c r="T24" t="s">
        <v>2417</v>
      </c>
      <c r="U24">
        <v>56</v>
      </c>
      <c r="V24" t="s">
        <v>2438</v>
      </c>
    </row>
    <row r="25" spans="1:22" x14ac:dyDescent="0.25">
      <c r="A25" t="s">
        <v>15</v>
      </c>
      <c r="B25" t="s">
        <v>125</v>
      </c>
      <c r="C25" s="2">
        <v>221</v>
      </c>
      <c r="D25" t="s">
        <v>68</v>
      </c>
      <c r="E25" t="s">
        <v>60</v>
      </c>
      <c r="F25" t="s">
        <v>81</v>
      </c>
      <c r="G25" s="5" t="s">
        <v>98</v>
      </c>
      <c r="H25" t="s">
        <v>2437</v>
      </c>
      <c r="I25" s="6">
        <f t="shared" si="0"/>
        <v>95</v>
      </c>
      <c r="J25" s="2">
        <v>4500</v>
      </c>
      <c r="K25" s="2">
        <v>6.7</v>
      </c>
      <c r="L25" s="4">
        <v>344999</v>
      </c>
      <c r="M25" s="4">
        <v>134999</v>
      </c>
      <c r="N25" s="4">
        <v>8699</v>
      </c>
      <c r="O25" s="4">
        <v>1399</v>
      </c>
      <c r="P25" s="4">
        <v>4399</v>
      </c>
      <c r="Q25" t="s">
        <v>2368</v>
      </c>
      <c r="R25">
        <v>2023</v>
      </c>
      <c r="T25" t="s">
        <v>2432</v>
      </c>
      <c r="U25">
        <v>57</v>
      </c>
      <c r="V25" t="s">
        <v>2438</v>
      </c>
    </row>
    <row r="26" spans="1:22" x14ac:dyDescent="0.25">
      <c r="A26" t="s">
        <v>15</v>
      </c>
      <c r="B26" t="s">
        <v>130</v>
      </c>
      <c r="C26" s="2">
        <v>172</v>
      </c>
      <c r="D26" t="s">
        <v>18</v>
      </c>
      <c r="E26" t="s">
        <v>19</v>
      </c>
      <c r="F26" t="s">
        <v>132</v>
      </c>
      <c r="G26" s="5" t="s">
        <v>133</v>
      </c>
      <c r="H26" t="s">
        <v>2437</v>
      </c>
      <c r="I26" s="6">
        <f t="shared" si="0"/>
        <v>90</v>
      </c>
      <c r="J26" s="2">
        <v>3200</v>
      </c>
      <c r="K26" s="2">
        <v>6.1</v>
      </c>
      <c r="L26" s="4">
        <v>184999</v>
      </c>
      <c r="M26" s="4">
        <v>69999</v>
      </c>
      <c r="N26" s="4">
        <v>5199</v>
      </c>
      <c r="O26" s="4">
        <v>799</v>
      </c>
      <c r="P26" s="4">
        <v>2699</v>
      </c>
      <c r="Q26" t="s">
        <v>2368</v>
      </c>
      <c r="R26">
        <v>2022</v>
      </c>
      <c r="T26" t="s">
        <v>2389</v>
      </c>
      <c r="U26">
        <v>58</v>
      </c>
      <c r="V26" t="s">
        <v>2438</v>
      </c>
    </row>
    <row r="27" spans="1:22" x14ac:dyDescent="0.25">
      <c r="A27" t="s">
        <v>15</v>
      </c>
      <c r="B27" t="s">
        <v>137</v>
      </c>
      <c r="C27" s="2">
        <v>172</v>
      </c>
      <c r="D27" t="s">
        <v>18</v>
      </c>
      <c r="E27" t="s">
        <v>19</v>
      </c>
      <c r="F27" t="s">
        <v>132</v>
      </c>
      <c r="G27" s="5" t="s">
        <v>133</v>
      </c>
      <c r="H27" t="s">
        <v>2437</v>
      </c>
      <c r="I27" s="6">
        <f t="shared" si="0"/>
        <v>90</v>
      </c>
      <c r="J27" s="2">
        <v>3200</v>
      </c>
      <c r="K27" s="2">
        <v>6.1</v>
      </c>
      <c r="L27" s="4">
        <v>194999</v>
      </c>
      <c r="M27" s="4">
        <v>74999</v>
      </c>
      <c r="N27" s="4">
        <v>5599</v>
      </c>
      <c r="O27" s="4">
        <v>849</v>
      </c>
      <c r="P27" s="4">
        <v>2999</v>
      </c>
      <c r="Q27" t="s">
        <v>2368</v>
      </c>
      <c r="R27">
        <v>2022</v>
      </c>
      <c r="T27" t="s">
        <v>2395</v>
      </c>
      <c r="U27">
        <v>60</v>
      </c>
      <c r="V27" t="s">
        <v>2438</v>
      </c>
    </row>
    <row r="28" spans="1:22" x14ac:dyDescent="0.25">
      <c r="A28" t="s">
        <v>15</v>
      </c>
      <c r="B28" t="s">
        <v>139</v>
      </c>
      <c r="C28" s="2">
        <v>172</v>
      </c>
      <c r="D28" t="s">
        <v>18</v>
      </c>
      <c r="E28" t="s">
        <v>19</v>
      </c>
      <c r="F28" t="s">
        <v>132</v>
      </c>
      <c r="G28" s="5" t="s">
        <v>133</v>
      </c>
      <c r="H28" t="s">
        <v>2437</v>
      </c>
      <c r="I28" s="6">
        <f t="shared" si="0"/>
        <v>90</v>
      </c>
      <c r="J28" s="2">
        <v>3200</v>
      </c>
      <c r="K28" s="2">
        <v>6.1</v>
      </c>
      <c r="L28" s="4">
        <v>204999</v>
      </c>
      <c r="M28" s="4">
        <v>84999</v>
      </c>
      <c r="N28" s="4">
        <v>5999</v>
      </c>
      <c r="O28" s="4">
        <v>949</v>
      </c>
      <c r="P28" s="4">
        <v>3199</v>
      </c>
      <c r="Q28" t="s">
        <v>2368</v>
      </c>
      <c r="R28">
        <v>2022</v>
      </c>
      <c r="T28" t="s">
        <v>2377</v>
      </c>
      <c r="U28">
        <v>25</v>
      </c>
      <c r="V28" t="s">
        <v>2438</v>
      </c>
    </row>
    <row r="29" spans="1:22" x14ac:dyDescent="0.25">
      <c r="A29" t="s">
        <v>15</v>
      </c>
      <c r="B29" t="s">
        <v>140</v>
      </c>
      <c r="C29" s="2">
        <v>203</v>
      </c>
      <c r="D29" t="s">
        <v>18</v>
      </c>
      <c r="E29" t="s">
        <v>19</v>
      </c>
      <c r="F29" t="s">
        <v>132</v>
      </c>
      <c r="G29" s="5" t="s">
        <v>133</v>
      </c>
      <c r="H29" t="s">
        <v>2437</v>
      </c>
      <c r="I29" s="6">
        <f t="shared" si="0"/>
        <v>90</v>
      </c>
      <c r="J29" s="2">
        <v>4325</v>
      </c>
      <c r="K29" s="2">
        <v>6.7</v>
      </c>
      <c r="L29" s="4">
        <v>204999</v>
      </c>
      <c r="M29" s="4">
        <v>79999</v>
      </c>
      <c r="N29" s="4">
        <v>5499</v>
      </c>
      <c r="O29" s="4">
        <v>899</v>
      </c>
      <c r="P29" s="4">
        <v>3199</v>
      </c>
      <c r="Q29" t="s">
        <v>2368</v>
      </c>
      <c r="R29">
        <v>2022</v>
      </c>
      <c r="T29" t="s">
        <v>1229</v>
      </c>
      <c r="U29">
        <v>65</v>
      </c>
      <c r="V29" t="s">
        <v>2438</v>
      </c>
    </row>
    <row r="30" spans="1:22" x14ac:dyDescent="0.25">
      <c r="A30" t="s">
        <v>15</v>
      </c>
      <c r="B30" t="s">
        <v>143</v>
      </c>
      <c r="C30" s="2">
        <v>203</v>
      </c>
      <c r="D30" t="s">
        <v>18</v>
      </c>
      <c r="E30" t="s">
        <v>19</v>
      </c>
      <c r="F30" t="s">
        <v>132</v>
      </c>
      <c r="G30" s="5" t="s">
        <v>133</v>
      </c>
      <c r="H30" t="s">
        <v>2437</v>
      </c>
      <c r="I30" s="6">
        <f t="shared" si="0"/>
        <v>90</v>
      </c>
      <c r="J30" s="2">
        <v>4325</v>
      </c>
      <c r="K30" s="2">
        <v>6.7</v>
      </c>
      <c r="L30" s="4">
        <v>214999</v>
      </c>
      <c r="M30" s="4">
        <v>84999</v>
      </c>
      <c r="N30" s="4">
        <v>5899</v>
      </c>
      <c r="O30" s="4">
        <v>999</v>
      </c>
      <c r="P30" s="4">
        <v>3399</v>
      </c>
      <c r="Q30" t="s">
        <v>2368</v>
      </c>
      <c r="R30">
        <v>2022</v>
      </c>
      <c r="T30" t="s">
        <v>2392</v>
      </c>
      <c r="U30">
        <v>70</v>
      </c>
      <c r="V30" t="s">
        <v>2438</v>
      </c>
    </row>
    <row r="31" spans="1:22" x14ac:dyDescent="0.25">
      <c r="A31" t="s">
        <v>15</v>
      </c>
      <c r="B31" t="s">
        <v>145</v>
      </c>
      <c r="C31" s="2">
        <v>203</v>
      </c>
      <c r="D31" t="s">
        <v>18</v>
      </c>
      <c r="E31" t="s">
        <v>19</v>
      </c>
      <c r="F31" t="s">
        <v>132</v>
      </c>
      <c r="G31" s="5" t="s">
        <v>133</v>
      </c>
      <c r="H31" t="s">
        <v>2437</v>
      </c>
      <c r="I31" s="6">
        <f t="shared" si="0"/>
        <v>90</v>
      </c>
      <c r="J31" s="2">
        <v>4325</v>
      </c>
      <c r="K31" s="2">
        <v>6.7</v>
      </c>
      <c r="L31" s="4">
        <v>224999</v>
      </c>
      <c r="M31" s="4">
        <v>94999</v>
      </c>
      <c r="N31" s="4">
        <v>6299</v>
      </c>
      <c r="O31" s="4">
        <v>1049</v>
      </c>
      <c r="P31" s="4">
        <v>3599</v>
      </c>
      <c r="Q31" t="s">
        <v>2368</v>
      </c>
      <c r="R31">
        <v>2022</v>
      </c>
      <c r="T31" t="s">
        <v>2413</v>
      </c>
      <c r="U31">
        <v>75</v>
      </c>
      <c r="V31" t="s">
        <v>2438</v>
      </c>
    </row>
    <row r="32" spans="1:22" x14ac:dyDescent="0.25">
      <c r="A32" t="s">
        <v>15</v>
      </c>
      <c r="B32" t="s">
        <v>147</v>
      </c>
      <c r="C32" s="2">
        <v>206</v>
      </c>
      <c r="D32" t="s">
        <v>18</v>
      </c>
      <c r="E32" t="s">
        <v>60</v>
      </c>
      <c r="F32" t="s">
        <v>81</v>
      </c>
      <c r="G32" s="5" t="s">
        <v>98</v>
      </c>
      <c r="H32" t="s">
        <v>2437</v>
      </c>
      <c r="I32" s="6">
        <f t="shared" si="0"/>
        <v>95</v>
      </c>
      <c r="J32" s="2">
        <v>4200</v>
      </c>
      <c r="K32" s="2">
        <v>6.1</v>
      </c>
      <c r="L32" s="4">
        <v>294999</v>
      </c>
      <c r="M32" s="4">
        <v>109999</v>
      </c>
      <c r="N32" s="4">
        <v>7199</v>
      </c>
      <c r="O32" s="4">
        <v>1099</v>
      </c>
      <c r="P32" s="4">
        <v>3699</v>
      </c>
      <c r="Q32" t="s">
        <v>2368</v>
      </c>
      <c r="R32">
        <v>2022</v>
      </c>
      <c r="T32" t="s">
        <v>1572</v>
      </c>
      <c r="U32">
        <v>77</v>
      </c>
      <c r="V32" t="s">
        <v>2438</v>
      </c>
    </row>
    <row r="33" spans="1:22" x14ac:dyDescent="0.25">
      <c r="A33" t="s">
        <v>15</v>
      </c>
      <c r="B33" t="s">
        <v>149</v>
      </c>
      <c r="C33" s="2">
        <v>206</v>
      </c>
      <c r="D33" t="s">
        <v>68</v>
      </c>
      <c r="E33" t="s">
        <v>60</v>
      </c>
      <c r="F33" t="s">
        <v>81</v>
      </c>
      <c r="G33" s="5" t="s">
        <v>98</v>
      </c>
      <c r="H33" t="s">
        <v>2437</v>
      </c>
      <c r="I33" s="6">
        <f t="shared" si="0"/>
        <v>95</v>
      </c>
      <c r="J33" s="2">
        <v>4200</v>
      </c>
      <c r="K33" s="2">
        <v>6.1</v>
      </c>
      <c r="L33" s="4">
        <v>304999</v>
      </c>
      <c r="M33" s="4">
        <v>119999</v>
      </c>
      <c r="N33" s="4">
        <v>7499</v>
      </c>
      <c r="O33" s="4">
        <v>1199</v>
      </c>
      <c r="P33" s="4">
        <v>3899</v>
      </c>
      <c r="Q33" t="s">
        <v>2368</v>
      </c>
      <c r="R33">
        <v>2022</v>
      </c>
      <c r="T33" t="s">
        <v>1183</v>
      </c>
      <c r="U33">
        <v>75</v>
      </c>
      <c r="V33" t="s">
        <v>2438</v>
      </c>
    </row>
    <row r="34" spans="1:22" x14ac:dyDescent="0.25">
      <c r="A34" t="s">
        <v>15</v>
      </c>
      <c r="B34" t="s">
        <v>150</v>
      </c>
      <c r="C34" s="2">
        <v>206</v>
      </c>
      <c r="D34" t="s">
        <v>68</v>
      </c>
      <c r="E34" t="s">
        <v>60</v>
      </c>
      <c r="F34" t="s">
        <v>81</v>
      </c>
      <c r="G34" s="5" t="s">
        <v>98</v>
      </c>
      <c r="H34" t="s">
        <v>2437</v>
      </c>
      <c r="I34" s="6">
        <f t="shared" si="0"/>
        <v>95</v>
      </c>
      <c r="J34" s="2">
        <v>4200</v>
      </c>
      <c r="K34" s="2">
        <v>6.1</v>
      </c>
      <c r="L34" s="4">
        <v>324999</v>
      </c>
      <c r="M34" s="4">
        <v>134999</v>
      </c>
      <c r="N34" s="4">
        <v>7999</v>
      </c>
      <c r="O34" s="4">
        <v>1299</v>
      </c>
      <c r="P34" s="4">
        <v>4199</v>
      </c>
      <c r="Q34" t="s">
        <v>2368</v>
      </c>
      <c r="R34">
        <v>2022</v>
      </c>
      <c r="T34" t="s">
        <v>2414</v>
      </c>
      <c r="U34">
        <v>80</v>
      </c>
      <c r="V34" t="s">
        <v>2438</v>
      </c>
    </row>
    <row r="35" spans="1:22" x14ac:dyDescent="0.25">
      <c r="A35" t="s">
        <v>15</v>
      </c>
      <c r="B35" t="s">
        <v>151</v>
      </c>
      <c r="C35" s="2">
        <v>221</v>
      </c>
      <c r="D35" t="s">
        <v>18</v>
      </c>
      <c r="E35" t="s">
        <v>60</v>
      </c>
      <c r="F35" t="s">
        <v>81</v>
      </c>
      <c r="G35" s="5" t="s">
        <v>98</v>
      </c>
      <c r="H35" t="s">
        <v>2437</v>
      </c>
      <c r="I35" s="6">
        <f t="shared" si="0"/>
        <v>95</v>
      </c>
      <c r="J35" s="2">
        <v>4500</v>
      </c>
      <c r="K35" s="2">
        <v>6.7</v>
      </c>
      <c r="L35" s="4">
        <v>324999</v>
      </c>
      <c r="M35" s="4">
        <v>124999</v>
      </c>
      <c r="N35" s="4">
        <v>8099</v>
      </c>
      <c r="O35" s="4">
        <v>1199</v>
      </c>
      <c r="P35" s="4">
        <v>3999</v>
      </c>
      <c r="Q35" t="s">
        <v>2368</v>
      </c>
      <c r="R35">
        <v>2022</v>
      </c>
      <c r="T35" t="s">
        <v>915</v>
      </c>
      <c r="U35">
        <v>28</v>
      </c>
      <c r="V35" t="s">
        <v>2438</v>
      </c>
    </row>
    <row r="36" spans="1:22" x14ac:dyDescent="0.25">
      <c r="A36" t="s">
        <v>15</v>
      </c>
      <c r="B36" t="s">
        <v>153</v>
      </c>
      <c r="C36" s="2">
        <v>221</v>
      </c>
      <c r="D36" t="s">
        <v>68</v>
      </c>
      <c r="E36" t="s">
        <v>60</v>
      </c>
      <c r="F36" t="s">
        <v>81</v>
      </c>
      <c r="G36" s="5" t="s">
        <v>98</v>
      </c>
      <c r="H36" t="s">
        <v>2437</v>
      </c>
      <c r="I36" s="6">
        <f t="shared" si="0"/>
        <v>95</v>
      </c>
      <c r="J36" s="2">
        <v>4500</v>
      </c>
      <c r="K36" s="2">
        <v>6.7</v>
      </c>
      <c r="L36" s="4">
        <v>344999</v>
      </c>
      <c r="M36" s="4">
        <v>134999</v>
      </c>
      <c r="N36" s="4">
        <v>8499</v>
      </c>
      <c r="O36" s="4">
        <v>1299</v>
      </c>
      <c r="P36" s="4">
        <v>4199</v>
      </c>
      <c r="Q36" t="s">
        <v>2368</v>
      </c>
      <c r="R36">
        <v>2022</v>
      </c>
      <c r="T36" t="s">
        <v>2431</v>
      </c>
      <c r="U36">
        <v>30</v>
      </c>
      <c r="V36" t="s">
        <v>2438</v>
      </c>
    </row>
    <row r="37" spans="1:22" x14ac:dyDescent="0.25">
      <c r="A37" t="s">
        <v>15</v>
      </c>
      <c r="B37" t="s">
        <v>155</v>
      </c>
      <c r="C37" s="2">
        <v>221</v>
      </c>
      <c r="D37" t="s">
        <v>68</v>
      </c>
      <c r="E37" t="s">
        <v>60</v>
      </c>
      <c r="F37" t="s">
        <v>81</v>
      </c>
      <c r="G37" s="5" t="s">
        <v>98</v>
      </c>
      <c r="H37" t="s">
        <v>2437</v>
      </c>
      <c r="I37" s="6">
        <f t="shared" si="0"/>
        <v>95</v>
      </c>
      <c r="J37" s="2">
        <v>4500</v>
      </c>
      <c r="K37" s="2">
        <v>6.7</v>
      </c>
      <c r="L37" s="4">
        <v>364999</v>
      </c>
      <c r="M37" s="4">
        <v>144999</v>
      </c>
      <c r="N37" s="4">
        <v>8999</v>
      </c>
      <c r="O37" s="4">
        <v>1399</v>
      </c>
      <c r="P37" s="4">
        <v>4499</v>
      </c>
      <c r="Q37" t="s">
        <v>2368</v>
      </c>
      <c r="R37">
        <v>2022</v>
      </c>
      <c r="T37" t="s">
        <v>1203</v>
      </c>
      <c r="U37">
        <v>95</v>
      </c>
      <c r="V37" t="s">
        <v>2437</v>
      </c>
    </row>
    <row r="38" spans="1:22" x14ac:dyDescent="0.25">
      <c r="A38" t="s">
        <v>15</v>
      </c>
      <c r="B38" t="s">
        <v>160</v>
      </c>
      <c r="C38" s="2">
        <v>140</v>
      </c>
      <c r="D38" t="s">
        <v>162</v>
      </c>
      <c r="E38" t="s">
        <v>19</v>
      </c>
      <c r="F38" t="s">
        <v>19</v>
      </c>
      <c r="G38" s="5" t="s">
        <v>133</v>
      </c>
      <c r="H38" t="s">
        <v>2437</v>
      </c>
      <c r="I38" s="6">
        <f t="shared" si="0"/>
        <v>90</v>
      </c>
      <c r="J38" s="2">
        <v>2438</v>
      </c>
      <c r="K38" s="2">
        <v>5.4</v>
      </c>
      <c r="L38" s="4">
        <v>174999</v>
      </c>
      <c r="M38" s="4">
        <v>69900</v>
      </c>
      <c r="N38" s="4">
        <v>5199</v>
      </c>
      <c r="O38" s="4">
        <v>699</v>
      </c>
      <c r="P38" s="4">
        <v>2599</v>
      </c>
      <c r="Q38" t="s">
        <v>2368</v>
      </c>
      <c r="R38">
        <v>2021</v>
      </c>
      <c r="T38" t="s">
        <v>2424</v>
      </c>
      <c r="U38">
        <v>97</v>
      </c>
      <c r="V38" t="s">
        <v>2437</v>
      </c>
    </row>
    <row r="39" spans="1:22" x14ac:dyDescent="0.25">
      <c r="A39" t="s">
        <v>15</v>
      </c>
      <c r="B39" t="s">
        <v>169</v>
      </c>
      <c r="C39" s="2">
        <v>140</v>
      </c>
      <c r="D39" t="s">
        <v>162</v>
      </c>
      <c r="E39" t="s">
        <v>19</v>
      </c>
      <c r="F39" t="s">
        <v>19</v>
      </c>
      <c r="G39" s="5" t="s">
        <v>133</v>
      </c>
      <c r="H39" t="s">
        <v>2437</v>
      </c>
      <c r="I39" s="6">
        <f t="shared" si="0"/>
        <v>90</v>
      </c>
      <c r="J39" s="2">
        <v>2438</v>
      </c>
      <c r="K39" s="2">
        <v>5.4</v>
      </c>
      <c r="L39" s="4">
        <v>184999</v>
      </c>
      <c r="M39" s="4">
        <v>74900</v>
      </c>
      <c r="N39" s="4">
        <v>5599</v>
      </c>
      <c r="O39" s="4">
        <v>799</v>
      </c>
      <c r="P39" s="4">
        <v>2999</v>
      </c>
      <c r="Q39" t="s">
        <v>2368</v>
      </c>
      <c r="R39">
        <v>2021</v>
      </c>
      <c r="T39" t="s">
        <v>1196</v>
      </c>
      <c r="U39">
        <v>100</v>
      </c>
      <c r="V39" t="s">
        <v>2437</v>
      </c>
    </row>
    <row r="40" spans="1:22" x14ac:dyDescent="0.25">
      <c r="A40" t="s">
        <v>15</v>
      </c>
      <c r="B40" t="s">
        <v>171</v>
      </c>
      <c r="C40" s="2">
        <v>140</v>
      </c>
      <c r="D40" t="s">
        <v>162</v>
      </c>
      <c r="E40" t="s">
        <v>19</v>
      </c>
      <c r="F40" t="s">
        <v>19</v>
      </c>
      <c r="G40" s="5" t="s">
        <v>133</v>
      </c>
      <c r="H40" t="s">
        <v>2437</v>
      </c>
      <c r="I40" s="6">
        <f t="shared" si="0"/>
        <v>90</v>
      </c>
      <c r="J40" s="2">
        <v>2438</v>
      </c>
      <c r="K40" s="2">
        <v>5.4</v>
      </c>
      <c r="L40" s="4">
        <v>194999</v>
      </c>
      <c r="M40" s="4">
        <v>84900</v>
      </c>
      <c r="N40" s="4">
        <v>5999</v>
      </c>
      <c r="O40" s="4">
        <v>899</v>
      </c>
      <c r="P40" s="4">
        <v>3299</v>
      </c>
      <c r="Q40" t="s">
        <v>2368</v>
      </c>
      <c r="R40">
        <v>2021</v>
      </c>
      <c r="T40" t="s">
        <v>1565</v>
      </c>
      <c r="U40">
        <v>102</v>
      </c>
      <c r="V40" t="s">
        <v>2437</v>
      </c>
    </row>
    <row r="41" spans="1:22" x14ac:dyDescent="0.25">
      <c r="A41" t="s">
        <v>15</v>
      </c>
      <c r="B41" t="s">
        <v>174</v>
      </c>
      <c r="C41" s="2">
        <v>174</v>
      </c>
      <c r="D41" t="s">
        <v>162</v>
      </c>
      <c r="E41" t="s">
        <v>19</v>
      </c>
      <c r="F41" t="s">
        <v>132</v>
      </c>
      <c r="G41" s="5" t="s">
        <v>133</v>
      </c>
      <c r="H41" t="s">
        <v>2437</v>
      </c>
      <c r="I41" s="6">
        <f t="shared" si="0"/>
        <v>90</v>
      </c>
      <c r="J41" s="2">
        <v>3240</v>
      </c>
      <c r="K41" s="2">
        <v>6.1</v>
      </c>
      <c r="L41" s="4">
        <v>194999</v>
      </c>
      <c r="M41" s="4">
        <v>74900</v>
      </c>
      <c r="N41" s="4">
        <v>5499</v>
      </c>
      <c r="O41" s="4">
        <v>799</v>
      </c>
      <c r="P41" s="4">
        <v>2999</v>
      </c>
      <c r="Q41" t="s">
        <v>2368</v>
      </c>
      <c r="R41">
        <v>2021</v>
      </c>
      <c r="T41" t="s">
        <v>893</v>
      </c>
      <c r="U41">
        <v>100</v>
      </c>
      <c r="V41" t="s">
        <v>2437</v>
      </c>
    </row>
    <row r="42" spans="1:22" x14ac:dyDescent="0.25">
      <c r="A42" t="s">
        <v>15</v>
      </c>
      <c r="B42" t="s">
        <v>176</v>
      </c>
      <c r="C42" s="2">
        <v>174</v>
      </c>
      <c r="D42" t="s">
        <v>162</v>
      </c>
      <c r="E42" t="s">
        <v>19</v>
      </c>
      <c r="F42" t="s">
        <v>132</v>
      </c>
      <c r="G42" s="5" t="s">
        <v>133</v>
      </c>
      <c r="H42" t="s">
        <v>2437</v>
      </c>
      <c r="I42" s="6">
        <f t="shared" si="0"/>
        <v>90</v>
      </c>
      <c r="J42" s="2">
        <v>3240</v>
      </c>
      <c r="K42" s="2">
        <v>6.1</v>
      </c>
      <c r="L42" s="4">
        <v>204999</v>
      </c>
      <c r="M42" s="4">
        <v>84900</v>
      </c>
      <c r="N42" s="4">
        <v>5899</v>
      </c>
      <c r="O42" s="4">
        <v>899</v>
      </c>
      <c r="P42" s="4">
        <v>3199</v>
      </c>
      <c r="Q42" t="s">
        <v>2368</v>
      </c>
      <c r="R42">
        <v>2021</v>
      </c>
      <c r="T42" t="s">
        <v>2372</v>
      </c>
      <c r="U42">
        <v>35</v>
      </c>
      <c r="V42" t="s">
        <v>2438</v>
      </c>
    </row>
    <row r="43" spans="1:22" x14ac:dyDescent="0.25">
      <c r="A43" t="s">
        <v>15</v>
      </c>
      <c r="B43" t="s">
        <v>177</v>
      </c>
      <c r="C43" s="2">
        <v>174</v>
      </c>
      <c r="D43" t="s">
        <v>162</v>
      </c>
      <c r="E43" t="s">
        <v>19</v>
      </c>
      <c r="F43" t="s">
        <v>132</v>
      </c>
      <c r="G43" s="5" t="s">
        <v>133</v>
      </c>
      <c r="H43" t="s">
        <v>2437</v>
      </c>
      <c r="I43" s="6">
        <f t="shared" si="0"/>
        <v>90</v>
      </c>
      <c r="J43" s="2">
        <v>3240</v>
      </c>
      <c r="K43" s="2">
        <v>6.1</v>
      </c>
      <c r="L43" s="4">
        <v>224999</v>
      </c>
      <c r="M43" s="4">
        <v>94900</v>
      </c>
      <c r="N43" s="4">
        <v>6299</v>
      </c>
      <c r="O43" s="4">
        <v>999</v>
      </c>
      <c r="P43" s="4">
        <v>3599</v>
      </c>
      <c r="Q43" t="s">
        <v>2368</v>
      </c>
      <c r="R43">
        <v>2021</v>
      </c>
      <c r="T43" t="s">
        <v>2378</v>
      </c>
      <c r="U43">
        <v>65</v>
      </c>
      <c r="V43" t="s">
        <v>2438</v>
      </c>
    </row>
    <row r="44" spans="1:22" x14ac:dyDescent="0.25">
      <c r="A44" t="s">
        <v>15</v>
      </c>
      <c r="B44" t="s">
        <v>179</v>
      </c>
      <c r="C44" s="2">
        <v>204</v>
      </c>
      <c r="D44" t="s">
        <v>18</v>
      </c>
      <c r="E44" t="s">
        <v>60</v>
      </c>
      <c r="F44" t="s">
        <v>181</v>
      </c>
      <c r="G44" s="5" t="s">
        <v>133</v>
      </c>
      <c r="H44" t="s">
        <v>2437</v>
      </c>
      <c r="I44" s="6">
        <f t="shared" si="0"/>
        <v>90</v>
      </c>
      <c r="J44" s="2">
        <v>3095</v>
      </c>
      <c r="K44" s="2">
        <v>6.1</v>
      </c>
      <c r="L44" s="4">
        <v>294999</v>
      </c>
      <c r="M44" s="4">
        <v>119900</v>
      </c>
      <c r="N44" s="4">
        <v>7299</v>
      </c>
      <c r="O44" s="4">
        <v>999</v>
      </c>
      <c r="P44" s="4">
        <v>3999</v>
      </c>
      <c r="Q44" t="s">
        <v>2368</v>
      </c>
      <c r="R44">
        <v>2021</v>
      </c>
      <c r="T44" t="s">
        <v>2410</v>
      </c>
      <c r="U44">
        <v>67</v>
      </c>
      <c r="V44" t="s">
        <v>2438</v>
      </c>
    </row>
    <row r="45" spans="1:22" x14ac:dyDescent="0.25">
      <c r="A45" t="s">
        <v>15</v>
      </c>
      <c r="B45" t="s">
        <v>184</v>
      </c>
      <c r="C45" s="2">
        <v>204</v>
      </c>
      <c r="D45" t="s">
        <v>18</v>
      </c>
      <c r="E45" t="s">
        <v>60</v>
      </c>
      <c r="F45" t="s">
        <v>181</v>
      </c>
      <c r="G45" s="5" t="s">
        <v>133</v>
      </c>
      <c r="H45" t="s">
        <v>2437</v>
      </c>
      <c r="I45" s="6">
        <f t="shared" si="0"/>
        <v>90</v>
      </c>
      <c r="J45" s="2">
        <v>3095</v>
      </c>
      <c r="K45" s="2">
        <v>6.1</v>
      </c>
      <c r="L45" s="4">
        <v>314999</v>
      </c>
      <c r="M45" s="4">
        <v>129900</v>
      </c>
      <c r="N45" s="4">
        <v>7699</v>
      </c>
      <c r="O45" s="4">
        <v>1099</v>
      </c>
      <c r="P45" s="4">
        <v>4199</v>
      </c>
      <c r="Q45" t="s">
        <v>2368</v>
      </c>
      <c r="R45">
        <v>2021</v>
      </c>
      <c r="T45" t="s">
        <v>2374</v>
      </c>
      <c r="U45">
        <v>36</v>
      </c>
      <c r="V45" t="s">
        <v>2438</v>
      </c>
    </row>
    <row r="46" spans="1:22" x14ac:dyDescent="0.25">
      <c r="A46" t="s">
        <v>15</v>
      </c>
      <c r="B46" t="s">
        <v>187</v>
      </c>
      <c r="C46" s="2">
        <v>204</v>
      </c>
      <c r="D46" t="s">
        <v>18</v>
      </c>
      <c r="E46" t="s">
        <v>60</v>
      </c>
      <c r="F46" t="s">
        <v>181</v>
      </c>
      <c r="G46" s="5" t="s">
        <v>133</v>
      </c>
      <c r="H46" t="s">
        <v>2437</v>
      </c>
      <c r="I46" s="6">
        <f t="shared" si="0"/>
        <v>90</v>
      </c>
      <c r="J46" s="2">
        <v>3095</v>
      </c>
      <c r="K46" s="2">
        <v>6.1</v>
      </c>
      <c r="L46" s="4">
        <v>344999</v>
      </c>
      <c r="M46" s="4">
        <v>139900</v>
      </c>
      <c r="N46" s="4">
        <v>8199</v>
      </c>
      <c r="O46" s="4">
        <v>1199</v>
      </c>
      <c r="P46" s="4">
        <v>4399</v>
      </c>
      <c r="Q46" t="s">
        <v>2368</v>
      </c>
      <c r="R46">
        <v>2021</v>
      </c>
      <c r="T46" t="s">
        <v>2404</v>
      </c>
      <c r="U46">
        <v>45</v>
      </c>
      <c r="V46" t="s">
        <v>2438</v>
      </c>
    </row>
    <row r="47" spans="1:22" x14ac:dyDescent="0.25">
      <c r="A47" t="s">
        <v>15</v>
      </c>
      <c r="B47" t="s">
        <v>189</v>
      </c>
      <c r="C47" s="2">
        <v>238</v>
      </c>
      <c r="D47" t="s">
        <v>18</v>
      </c>
      <c r="E47" t="s">
        <v>60</v>
      </c>
      <c r="F47" t="s">
        <v>181</v>
      </c>
      <c r="G47" s="5" t="s">
        <v>133</v>
      </c>
      <c r="H47" t="s">
        <v>2437</v>
      </c>
      <c r="I47" s="6">
        <f t="shared" si="0"/>
        <v>90</v>
      </c>
      <c r="J47" s="2">
        <v>4352</v>
      </c>
      <c r="K47" s="2">
        <v>6.7</v>
      </c>
      <c r="L47" s="4">
        <v>324999</v>
      </c>
      <c r="M47" s="4">
        <v>129900</v>
      </c>
      <c r="N47" s="4">
        <v>8299</v>
      </c>
      <c r="O47" s="4">
        <v>1099</v>
      </c>
      <c r="P47" s="4">
        <v>4199</v>
      </c>
      <c r="Q47" t="s">
        <v>2368</v>
      </c>
      <c r="R47">
        <v>2021</v>
      </c>
      <c r="T47" t="s">
        <v>2433</v>
      </c>
      <c r="U47">
        <v>47</v>
      </c>
      <c r="V47" t="s">
        <v>2438</v>
      </c>
    </row>
    <row r="48" spans="1:22" x14ac:dyDescent="0.25">
      <c r="A48" t="s">
        <v>15</v>
      </c>
      <c r="B48" t="s">
        <v>193</v>
      </c>
      <c r="C48" s="2">
        <v>238</v>
      </c>
      <c r="D48" t="s">
        <v>18</v>
      </c>
      <c r="E48" t="s">
        <v>60</v>
      </c>
      <c r="F48" t="s">
        <v>181</v>
      </c>
      <c r="G48" s="5" t="s">
        <v>133</v>
      </c>
      <c r="H48" t="s">
        <v>2437</v>
      </c>
      <c r="I48" s="6">
        <f t="shared" si="0"/>
        <v>90</v>
      </c>
      <c r="J48" s="2">
        <v>4352</v>
      </c>
      <c r="K48" s="2">
        <v>6.7</v>
      </c>
      <c r="L48" s="4">
        <v>354999</v>
      </c>
      <c r="M48" s="4">
        <v>139900</v>
      </c>
      <c r="N48" s="4">
        <v>8799</v>
      </c>
      <c r="O48" s="4">
        <v>1199</v>
      </c>
      <c r="P48" s="4">
        <v>4399</v>
      </c>
      <c r="Q48" t="s">
        <v>2368</v>
      </c>
      <c r="R48">
        <v>2021</v>
      </c>
      <c r="T48" t="s">
        <v>1176</v>
      </c>
      <c r="U48">
        <v>48</v>
      </c>
      <c r="V48" t="s">
        <v>2438</v>
      </c>
    </row>
    <row r="49" spans="1:22" x14ac:dyDescent="0.25">
      <c r="A49" t="s">
        <v>15</v>
      </c>
      <c r="B49" t="s">
        <v>196</v>
      </c>
      <c r="C49" s="2">
        <v>238</v>
      </c>
      <c r="D49" t="s">
        <v>18</v>
      </c>
      <c r="E49" t="s">
        <v>60</v>
      </c>
      <c r="F49" t="s">
        <v>181</v>
      </c>
      <c r="G49" s="5" t="s">
        <v>133</v>
      </c>
      <c r="H49" t="s">
        <v>2437</v>
      </c>
      <c r="I49" s="6">
        <f t="shared" si="0"/>
        <v>90</v>
      </c>
      <c r="J49" s="2">
        <v>4352</v>
      </c>
      <c r="K49" s="2">
        <v>6.7</v>
      </c>
      <c r="L49" s="4">
        <v>384999</v>
      </c>
      <c r="M49" s="4">
        <v>149900</v>
      </c>
      <c r="N49" s="4">
        <v>9199</v>
      </c>
      <c r="O49" s="4">
        <v>1399</v>
      </c>
      <c r="P49" s="4">
        <v>4599</v>
      </c>
      <c r="Q49" t="s">
        <v>2368</v>
      </c>
      <c r="R49">
        <v>2021</v>
      </c>
      <c r="T49" t="s">
        <v>2393</v>
      </c>
      <c r="U49">
        <v>50</v>
      </c>
      <c r="V49" t="s">
        <v>2438</v>
      </c>
    </row>
    <row r="50" spans="1:22" x14ac:dyDescent="0.25">
      <c r="A50" t="s">
        <v>15</v>
      </c>
      <c r="B50" t="s">
        <v>201</v>
      </c>
      <c r="C50" s="2">
        <v>135</v>
      </c>
      <c r="D50" t="s">
        <v>162</v>
      </c>
      <c r="E50" t="s">
        <v>19</v>
      </c>
      <c r="F50" t="s">
        <v>19</v>
      </c>
      <c r="G50" s="5" t="s">
        <v>203</v>
      </c>
      <c r="H50" t="s">
        <v>2437</v>
      </c>
      <c r="I50" s="6">
        <f t="shared" si="0"/>
        <v>85</v>
      </c>
      <c r="J50" s="2">
        <v>2227</v>
      </c>
      <c r="K50" s="2">
        <v>5.4</v>
      </c>
      <c r="L50" s="4">
        <v>174999</v>
      </c>
      <c r="M50" s="4">
        <v>69900</v>
      </c>
      <c r="N50" s="4">
        <v>5199</v>
      </c>
      <c r="O50" s="4">
        <v>699</v>
      </c>
      <c r="P50" s="4">
        <v>2599</v>
      </c>
      <c r="Q50" t="s">
        <v>2368</v>
      </c>
      <c r="R50">
        <v>2020</v>
      </c>
      <c r="T50" t="s">
        <v>528</v>
      </c>
      <c r="U50">
        <v>40</v>
      </c>
      <c r="V50" t="s">
        <v>2438</v>
      </c>
    </row>
    <row r="51" spans="1:22" x14ac:dyDescent="0.25">
      <c r="A51" t="s">
        <v>15</v>
      </c>
      <c r="B51" t="s">
        <v>205</v>
      </c>
      <c r="C51" s="2">
        <v>135</v>
      </c>
      <c r="D51" t="s">
        <v>162</v>
      </c>
      <c r="E51" t="s">
        <v>19</v>
      </c>
      <c r="F51" t="s">
        <v>19</v>
      </c>
      <c r="G51" s="5" t="s">
        <v>203</v>
      </c>
      <c r="H51" t="s">
        <v>2437</v>
      </c>
      <c r="I51" s="6">
        <f t="shared" si="0"/>
        <v>85</v>
      </c>
      <c r="J51" s="2">
        <v>2227</v>
      </c>
      <c r="K51" s="2">
        <v>5.4</v>
      </c>
      <c r="L51" s="4">
        <v>184999</v>
      </c>
      <c r="M51" s="4">
        <v>74900</v>
      </c>
      <c r="N51" s="4">
        <v>5599</v>
      </c>
      <c r="O51" s="4">
        <v>799</v>
      </c>
      <c r="P51" s="4">
        <v>2999</v>
      </c>
      <c r="Q51" t="s">
        <v>2368</v>
      </c>
      <c r="R51">
        <v>2020</v>
      </c>
      <c r="T51" t="s">
        <v>462</v>
      </c>
      <c r="U51">
        <v>45</v>
      </c>
      <c r="V51" t="s">
        <v>2438</v>
      </c>
    </row>
    <row r="52" spans="1:22" x14ac:dyDescent="0.25">
      <c r="A52" t="s">
        <v>15</v>
      </c>
      <c r="B52" t="s">
        <v>206</v>
      </c>
      <c r="C52" s="2">
        <v>135</v>
      </c>
      <c r="D52" t="s">
        <v>162</v>
      </c>
      <c r="E52" t="s">
        <v>19</v>
      </c>
      <c r="F52" t="s">
        <v>19</v>
      </c>
      <c r="G52" s="5" t="s">
        <v>203</v>
      </c>
      <c r="H52" t="s">
        <v>2437</v>
      </c>
      <c r="I52" s="6">
        <f t="shared" si="0"/>
        <v>85</v>
      </c>
      <c r="J52" s="2">
        <v>2227</v>
      </c>
      <c r="K52" s="2">
        <v>5.4</v>
      </c>
      <c r="L52" s="4">
        <v>194999</v>
      </c>
      <c r="M52" s="4">
        <v>84900</v>
      </c>
      <c r="N52" s="4">
        <v>5999</v>
      </c>
      <c r="O52" s="4">
        <v>899</v>
      </c>
      <c r="P52" s="4">
        <v>3299</v>
      </c>
      <c r="Q52" t="s">
        <v>2368</v>
      </c>
      <c r="R52">
        <v>2020</v>
      </c>
      <c r="T52" t="s">
        <v>416</v>
      </c>
      <c r="U52">
        <v>85</v>
      </c>
      <c r="V52" t="s">
        <v>2437</v>
      </c>
    </row>
    <row r="53" spans="1:22" x14ac:dyDescent="0.25">
      <c r="A53" t="s">
        <v>15</v>
      </c>
      <c r="B53" t="s">
        <v>207</v>
      </c>
      <c r="C53" s="2">
        <v>164</v>
      </c>
      <c r="D53" t="s">
        <v>162</v>
      </c>
      <c r="E53" t="s">
        <v>19</v>
      </c>
      <c r="F53" t="s">
        <v>132</v>
      </c>
      <c r="G53" s="5" t="s">
        <v>203</v>
      </c>
      <c r="H53" t="s">
        <v>2437</v>
      </c>
      <c r="I53" s="6">
        <f t="shared" si="0"/>
        <v>85</v>
      </c>
      <c r="J53" s="2">
        <v>2815</v>
      </c>
      <c r="K53" s="2">
        <v>6.1</v>
      </c>
      <c r="L53" s="4">
        <v>194999</v>
      </c>
      <c r="M53" s="4">
        <v>74900</v>
      </c>
      <c r="N53" s="4">
        <v>5499</v>
      </c>
      <c r="O53" s="4">
        <v>799</v>
      </c>
      <c r="P53" s="4">
        <v>2999</v>
      </c>
      <c r="Q53" t="s">
        <v>2368</v>
      </c>
      <c r="R53">
        <v>2020</v>
      </c>
      <c r="T53" t="s">
        <v>377</v>
      </c>
      <c r="U53">
        <v>95</v>
      </c>
      <c r="V53" t="s">
        <v>2437</v>
      </c>
    </row>
    <row r="54" spans="1:22" x14ac:dyDescent="0.25">
      <c r="A54" t="s">
        <v>15</v>
      </c>
      <c r="B54" t="s">
        <v>210</v>
      </c>
      <c r="C54" s="2">
        <v>164</v>
      </c>
      <c r="D54" t="s">
        <v>162</v>
      </c>
      <c r="E54" t="s">
        <v>19</v>
      </c>
      <c r="F54" t="s">
        <v>132</v>
      </c>
      <c r="G54" s="5" t="s">
        <v>203</v>
      </c>
      <c r="H54" t="s">
        <v>2437</v>
      </c>
      <c r="I54" s="6">
        <f t="shared" si="0"/>
        <v>85</v>
      </c>
      <c r="J54" s="2">
        <v>2815</v>
      </c>
      <c r="K54" s="2">
        <v>6.1</v>
      </c>
      <c r="L54" s="4">
        <v>204999</v>
      </c>
      <c r="M54" s="4">
        <v>84900</v>
      </c>
      <c r="N54" s="4">
        <v>5899</v>
      </c>
      <c r="O54" s="4">
        <v>899</v>
      </c>
      <c r="P54" s="4">
        <v>3199</v>
      </c>
      <c r="Q54" t="s">
        <v>2368</v>
      </c>
      <c r="R54">
        <v>2020</v>
      </c>
      <c r="T54" t="s">
        <v>599</v>
      </c>
      <c r="U54">
        <v>5</v>
      </c>
      <c r="V54" t="s">
        <v>2439</v>
      </c>
    </row>
    <row r="55" spans="1:22" x14ac:dyDescent="0.25">
      <c r="A55" t="s">
        <v>15</v>
      </c>
      <c r="B55" t="s">
        <v>211</v>
      </c>
      <c r="C55" s="2">
        <v>164</v>
      </c>
      <c r="D55" t="s">
        <v>162</v>
      </c>
      <c r="E55" t="s">
        <v>19</v>
      </c>
      <c r="F55" t="s">
        <v>132</v>
      </c>
      <c r="G55" s="5" t="s">
        <v>203</v>
      </c>
      <c r="H55" t="s">
        <v>2437</v>
      </c>
      <c r="I55" s="6">
        <f t="shared" si="0"/>
        <v>85</v>
      </c>
      <c r="J55" s="2">
        <v>2815</v>
      </c>
      <c r="K55" s="2">
        <v>6.1</v>
      </c>
      <c r="L55" s="4">
        <v>224999</v>
      </c>
      <c r="M55" s="4">
        <v>94900</v>
      </c>
      <c r="N55" s="4">
        <v>6299</v>
      </c>
      <c r="O55" s="4">
        <v>999</v>
      </c>
      <c r="P55" s="4">
        <v>3599</v>
      </c>
      <c r="Q55" t="s">
        <v>2368</v>
      </c>
      <c r="R55">
        <v>2020</v>
      </c>
      <c r="T55" t="s">
        <v>614</v>
      </c>
      <c r="U55">
        <v>3</v>
      </c>
      <c r="V55" t="s">
        <v>2439</v>
      </c>
    </row>
    <row r="56" spans="1:22" x14ac:dyDescent="0.25">
      <c r="A56" t="s">
        <v>15</v>
      </c>
      <c r="B56" t="s">
        <v>212</v>
      </c>
      <c r="C56" s="2">
        <v>189</v>
      </c>
      <c r="D56" t="s">
        <v>18</v>
      </c>
      <c r="E56" t="s">
        <v>60</v>
      </c>
      <c r="F56" t="s">
        <v>181</v>
      </c>
      <c r="G56" s="5" t="s">
        <v>203</v>
      </c>
      <c r="H56" t="s">
        <v>2437</v>
      </c>
      <c r="I56" s="6">
        <f t="shared" si="0"/>
        <v>85</v>
      </c>
      <c r="J56" s="2">
        <v>2815</v>
      </c>
      <c r="K56" s="2">
        <v>6.1</v>
      </c>
      <c r="L56" s="4">
        <v>314999</v>
      </c>
      <c r="M56" s="4">
        <v>119900</v>
      </c>
      <c r="N56" s="4">
        <v>7299</v>
      </c>
      <c r="O56" s="4">
        <v>999</v>
      </c>
      <c r="P56" s="4">
        <v>3999</v>
      </c>
      <c r="Q56" t="s">
        <v>2368</v>
      </c>
      <c r="R56">
        <v>2020</v>
      </c>
      <c r="T56" t="s">
        <v>498</v>
      </c>
      <c r="U56">
        <v>30</v>
      </c>
      <c r="V56" t="s">
        <v>2438</v>
      </c>
    </row>
    <row r="57" spans="1:22" x14ac:dyDescent="0.25">
      <c r="A57" t="s">
        <v>15</v>
      </c>
      <c r="B57" t="s">
        <v>214</v>
      </c>
      <c r="C57" s="2">
        <v>189</v>
      </c>
      <c r="D57" t="s">
        <v>18</v>
      </c>
      <c r="E57" t="s">
        <v>60</v>
      </c>
      <c r="F57" t="s">
        <v>181</v>
      </c>
      <c r="G57" s="5" t="s">
        <v>203</v>
      </c>
      <c r="H57" t="s">
        <v>2437</v>
      </c>
      <c r="I57" s="6">
        <f t="shared" si="0"/>
        <v>85</v>
      </c>
      <c r="J57" s="2">
        <v>2815</v>
      </c>
      <c r="K57" s="2">
        <v>6.1</v>
      </c>
      <c r="L57" s="4">
        <v>334999</v>
      </c>
      <c r="M57" s="4">
        <v>129900</v>
      </c>
      <c r="N57" s="4">
        <v>7699</v>
      </c>
      <c r="O57" s="4">
        <v>1099</v>
      </c>
      <c r="P57" s="4">
        <v>4199</v>
      </c>
      <c r="Q57" t="s">
        <v>2368</v>
      </c>
      <c r="R57">
        <v>2020</v>
      </c>
      <c r="T57" t="s">
        <v>1663</v>
      </c>
      <c r="U57">
        <v>35</v>
      </c>
      <c r="V57" t="s">
        <v>2438</v>
      </c>
    </row>
    <row r="58" spans="1:22" x14ac:dyDescent="0.25">
      <c r="A58" t="s">
        <v>15</v>
      </c>
      <c r="B58" t="s">
        <v>216</v>
      </c>
      <c r="C58" s="2">
        <v>189</v>
      </c>
      <c r="D58" t="s">
        <v>18</v>
      </c>
      <c r="E58" t="s">
        <v>60</v>
      </c>
      <c r="F58" t="s">
        <v>181</v>
      </c>
      <c r="G58" s="5" t="s">
        <v>203</v>
      </c>
      <c r="H58" t="s">
        <v>2437</v>
      </c>
      <c r="I58" s="6">
        <f t="shared" si="0"/>
        <v>85</v>
      </c>
      <c r="J58" s="2">
        <v>2815</v>
      </c>
      <c r="K58" s="2">
        <v>6.1</v>
      </c>
      <c r="L58" s="4">
        <v>354999</v>
      </c>
      <c r="M58" s="4">
        <v>139900</v>
      </c>
      <c r="N58" s="4">
        <v>8199</v>
      </c>
      <c r="O58" s="4">
        <v>1199</v>
      </c>
      <c r="P58" s="4">
        <v>4399</v>
      </c>
      <c r="Q58" t="s">
        <v>2368</v>
      </c>
      <c r="R58">
        <v>2020</v>
      </c>
      <c r="T58" t="s">
        <v>715</v>
      </c>
      <c r="U58">
        <v>75</v>
      </c>
      <c r="V58" t="s">
        <v>2437</v>
      </c>
    </row>
    <row r="59" spans="1:22" x14ac:dyDescent="0.25">
      <c r="A59" t="s">
        <v>15</v>
      </c>
      <c r="B59" t="s">
        <v>217</v>
      </c>
      <c r="C59" s="2">
        <v>228</v>
      </c>
      <c r="D59" t="s">
        <v>18</v>
      </c>
      <c r="E59" t="s">
        <v>60</v>
      </c>
      <c r="F59" t="s">
        <v>181</v>
      </c>
      <c r="G59" s="5" t="s">
        <v>203</v>
      </c>
      <c r="H59" t="s">
        <v>2437</v>
      </c>
      <c r="I59" s="6">
        <f t="shared" si="0"/>
        <v>85</v>
      </c>
      <c r="J59" s="2">
        <v>3687</v>
      </c>
      <c r="K59" s="2">
        <v>6.7</v>
      </c>
      <c r="L59" s="4">
        <v>344999</v>
      </c>
      <c r="M59" s="4">
        <v>129900</v>
      </c>
      <c r="N59" s="4">
        <v>8399</v>
      </c>
      <c r="O59" s="4">
        <v>1099</v>
      </c>
      <c r="P59" s="4">
        <v>4199</v>
      </c>
      <c r="Q59" t="s">
        <v>2368</v>
      </c>
      <c r="R59">
        <v>2020</v>
      </c>
      <c r="T59" t="s">
        <v>567</v>
      </c>
      <c r="U59">
        <v>78</v>
      </c>
      <c r="V59" t="s">
        <v>2437</v>
      </c>
    </row>
    <row r="60" spans="1:22" x14ac:dyDescent="0.25">
      <c r="A60" t="s">
        <v>15</v>
      </c>
      <c r="B60" t="s">
        <v>221</v>
      </c>
      <c r="C60" s="2">
        <v>228</v>
      </c>
      <c r="D60" t="s">
        <v>18</v>
      </c>
      <c r="E60" t="s">
        <v>60</v>
      </c>
      <c r="F60" t="s">
        <v>181</v>
      </c>
      <c r="G60" s="5" t="s">
        <v>203</v>
      </c>
      <c r="H60" t="s">
        <v>2437</v>
      </c>
      <c r="I60" s="6">
        <f t="shared" si="0"/>
        <v>85</v>
      </c>
      <c r="J60" s="2">
        <v>3687</v>
      </c>
      <c r="K60" s="2">
        <v>6.7</v>
      </c>
      <c r="L60" s="4">
        <v>364999</v>
      </c>
      <c r="M60" s="4">
        <v>139900</v>
      </c>
      <c r="N60" s="4">
        <v>8799</v>
      </c>
      <c r="O60" s="4">
        <v>1199</v>
      </c>
      <c r="P60" s="4">
        <v>4399</v>
      </c>
      <c r="Q60" t="s">
        <v>2368</v>
      </c>
      <c r="R60">
        <v>2020</v>
      </c>
      <c r="T60" t="s">
        <v>552</v>
      </c>
      <c r="U60">
        <v>80</v>
      </c>
      <c r="V60" t="s">
        <v>2437</v>
      </c>
    </row>
    <row r="61" spans="1:22" x14ac:dyDescent="0.25">
      <c r="A61" t="s">
        <v>15</v>
      </c>
      <c r="B61" t="s">
        <v>222</v>
      </c>
      <c r="C61" s="2">
        <v>228</v>
      </c>
      <c r="D61" t="s">
        <v>18</v>
      </c>
      <c r="E61" t="s">
        <v>60</v>
      </c>
      <c r="F61" t="s">
        <v>181</v>
      </c>
      <c r="G61" s="5" t="s">
        <v>203</v>
      </c>
      <c r="H61" t="s">
        <v>2437</v>
      </c>
      <c r="I61" s="6">
        <f t="shared" si="0"/>
        <v>85</v>
      </c>
      <c r="J61" s="2">
        <v>3687</v>
      </c>
      <c r="K61" s="2">
        <v>6.7</v>
      </c>
      <c r="L61" s="4">
        <v>384999</v>
      </c>
      <c r="M61" s="4">
        <v>149900</v>
      </c>
      <c r="N61" s="4">
        <v>9199</v>
      </c>
      <c r="O61" s="4">
        <v>1399</v>
      </c>
      <c r="P61" s="4">
        <v>4599</v>
      </c>
      <c r="Q61" t="s">
        <v>2368</v>
      </c>
      <c r="R61">
        <v>2020</v>
      </c>
      <c r="T61" t="s">
        <v>1948</v>
      </c>
      <c r="U61">
        <v>75</v>
      </c>
      <c r="V61" t="s">
        <v>2437</v>
      </c>
    </row>
    <row r="62" spans="1:22" x14ac:dyDescent="0.25">
      <c r="A62" t="s">
        <v>15</v>
      </c>
      <c r="B62" t="s">
        <v>223</v>
      </c>
      <c r="C62" s="2">
        <v>194</v>
      </c>
      <c r="D62" t="s">
        <v>162</v>
      </c>
      <c r="E62" t="s">
        <v>19</v>
      </c>
      <c r="F62" t="s">
        <v>132</v>
      </c>
      <c r="G62" s="5" t="s">
        <v>225</v>
      </c>
      <c r="H62" t="s">
        <v>2437</v>
      </c>
      <c r="I62" s="6">
        <f t="shared" si="0"/>
        <v>80</v>
      </c>
      <c r="J62" s="2">
        <v>3110</v>
      </c>
      <c r="K62" s="2">
        <v>6.1</v>
      </c>
      <c r="L62" s="4">
        <v>159999</v>
      </c>
      <c r="M62" s="4">
        <v>64900</v>
      </c>
      <c r="N62" s="4">
        <v>5499</v>
      </c>
      <c r="O62" s="4">
        <v>699</v>
      </c>
      <c r="P62" s="4">
        <v>2499</v>
      </c>
      <c r="Q62" t="s">
        <v>2368</v>
      </c>
      <c r="R62">
        <v>2019</v>
      </c>
      <c r="T62" t="s">
        <v>1958</v>
      </c>
      <c r="U62">
        <v>80</v>
      </c>
      <c r="V62" t="s">
        <v>2437</v>
      </c>
    </row>
    <row r="63" spans="1:22" x14ac:dyDescent="0.25">
      <c r="A63" t="s">
        <v>15</v>
      </c>
      <c r="B63" t="s">
        <v>230</v>
      </c>
      <c r="C63" s="2">
        <v>194</v>
      </c>
      <c r="D63" t="s">
        <v>162</v>
      </c>
      <c r="E63" t="s">
        <v>19</v>
      </c>
      <c r="F63" t="s">
        <v>132</v>
      </c>
      <c r="G63" s="5" t="s">
        <v>225</v>
      </c>
      <c r="H63" t="s">
        <v>2437</v>
      </c>
      <c r="I63" s="6">
        <f t="shared" si="0"/>
        <v>80</v>
      </c>
      <c r="J63" s="2">
        <v>3110</v>
      </c>
      <c r="K63" s="2">
        <v>6.1</v>
      </c>
      <c r="L63" s="4">
        <v>169999</v>
      </c>
      <c r="M63" s="4">
        <v>74900</v>
      </c>
      <c r="N63" s="4">
        <v>5899</v>
      </c>
      <c r="O63" s="4">
        <v>799</v>
      </c>
      <c r="P63" s="4">
        <v>2999</v>
      </c>
      <c r="Q63" t="s">
        <v>2368</v>
      </c>
      <c r="R63">
        <v>2019</v>
      </c>
      <c r="T63" t="s">
        <v>1966</v>
      </c>
      <c r="U63">
        <v>85</v>
      </c>
      <c r="V63" t="s">
        <v>2437</v>
      </c>
    </row>
    <row r="64" spans="1:22" x14ac:dyDescent="0.25">
      <c r="A64" t="s">
        <v>15</v>
      </c>
      <c r="B64" t="s">
        <v>232</v>
      </c>
      <c r="C64" s="2">
        <v>194</v>
      </c>
      <c r="D64" t="s">
        <v>162</v>
      </c>
      <c r="E64" t="s">
        <v>19</v>
      </c>
      <c r="F64" t="s">
        <v>132</v>
      </c>
      <c r="G64" s="5" t="s">
        <v>225</v>
      </c>
      <c r="H64" t="s">
        <v>2437</v>
      </c>
      <c r="I64" s="6">
        <f t="shared" si="0"/>
        <v>80</v>
      </c>
      <c r="J64" s="2">
        <v>3110</v>
      </c>
      <c r="K64" s="2">
        <v>6.1</v>
      </c>
      <c r="L64" s="4">
        <v>179999</v>
      </c>
      <c r="M64" s="4">
        <v>84900</v>
      </c>
      <c r="N64" s="4">
        <v>6299</v>
      </c>
      <c r="O64" s="4">
        <v>899</v>
      </c>
      <c r="P64" s="4">
        <v>3299</v>
      </c>
      <c r="Q64" t="s">
        <v>2368</v>
      </c>
      <c r="R64">
        <v>2019</v>
      </c>
      <c r="T64" t="s">
        <v>1972</v>
      </c>
      <c r="U64">
        <v>90</v>
      </c>
      <c r="V64" t="s">
        <v>2437</v>
      </c>
    </row>
    <row r="65" spans="1:22" x14ac:dyDescent="0.25">
      <c r="A65" t="s">
        <v>15</v>
      </c>
      <c r="B65" t="s">
        <v>234</v>
      </c>
      <c r="C65" s="2">
        <v>188</v>
      </c>
      <c r="D65" t="s">
        <v>162</v>
      </c>
      <c r="E65" t="s">
        <v>60</v>
      </c>
      <c r="F65" t="s">
        <v>181</v>
      </c>
      <c r="G65" s="5" t="s">
        <v>225</v>
      </c>
      <c r="H65" t="s">
        <v>2437</v>
      </c>
      <c r="I65" s="6">
        <f t="shared" si="0"/>
        <v>80</v>
      </c>
      <c r="J65" s="2">
        <v>3046</v>
      </c>
      <c r="K65" s="2">
        <v>5.8</v>
      </c>
      <c r="L65" s="4">
        <v>219999</v>
      </c>
      <c r="M65" s="4">
        <v>99900</v>
      </c>
      <c r="N65" s="4">
        <v>6999</v>
      </c>
      <c r="O65" s="4">
        <v>999</v>
      </c>
      <c r="P65" s="4">
        <v>3799</v>
      </c>
      <c r="Q65" t="s">
        <v>2368</v>
      </c>
      <c r="R65">
        <v>2019</v>
      </c>
      <c r="T65" t="s">
        <v>2402</v>
      </c>
      <c r="U65">
        <v>1</v>
      </c>
      <c r="V65" t="s">
        <v>2439</v>
      </c>
    </row>
    <row r="66" spans="1:22" x14ac:dyDescent="0.25">
      <c r="A66" t="s">
        <v>15</v>
      </c>
      <c r="B66" t="s">
        <v>240</v>
      </c>
      <c r="C66" s="2">
        <v>188</v>
      </c>
      <c r="D66" t="s">
        <v>162</v>
      </c>
      <c r="E66" t="s">
        <v>60</v>
      </c>
      <c r="F66" t="s">
        <v>181</v>
      </c>
      <c r="G66" s="5" t="s">
        <v>225</v>
      </c>
      <c r="H66" t="s">
        <v>2437</v>
      </c>
      <c r="I66" s="6">
        <f t="shared" ref="I66:I129" si="1">_xlfn.XLOOKUP(G66, $T$2:$T$183,$U$2:$U$183,"Unknown",0)</f>
        <v>80</v>
      </c>
      <c r="J66" s="2">
        <v>3046</v>
      </c>
      <c r="K66" s="2">
        <v>5.8</v>
      </c>
      <c r="L66" s="4">
        <v>239999</v>
      </c>
      <c r="M66" s="4">
        <v>109900</v>
      </c>
      <c r="N66" s="4">
        <v>7399</v>
      </c>
      <c r="O66" s="4">
        <v>1099</v>
      </c>
      <c r="P66" s="4">
        <v>4199</v>
      </c>
      <c r="Q66" t="s">
        <v>2368</v>
      </c>
      <c r="R66">
        <v>2019</v>
      </c>
      <c r="T66" t="s">
        <v>2396</v>
      </c>
      <c r="U66">
        <v>2</v>
      </c>
      <c r="V66" t="s">
        <v>2439</v>
      </c>
    </row>
    <row r="67" spans="1:22" x14ac:dyDescent="0.25">
      <c r="A67" t="s">
        <v>15</v>
      </c>
      <c r="B67" t="s">
        <v>244</v>
      </c>
      <c r="C67" s="2">
        <v>188</v>
      </c>
      <c r="D67" t="s">
        <v>162</v>
      </c>
      <c r="E67" t="s">
        <v>60</v>
      </c>
      <c r="F67" t="s">
        <v>181</v>
      </c>
      <c r="G67" s="5" t="s">
        <v>225</v>
      </c>
      <c r="H67" t="s">
        <v>2437</v>
      </c>
      <c r="I67" s="6">
        <f t="shared" si="1"/>
        <v>80</v>
      </c>
      <c r="J67" s="2">
        <v>3046</v>
      </c>
      <c r="K67" s="2">
        <v>5.8</v>
      </c>
      <c r="L67" s="4">
        <v>259999</v>
      </c>
      <c r="M67" s="4">
        <v>119900</v>
      </c>
      <c r="N67" s="4">
        <v>7999</v>
      </c>
      <c r="O67" s="4">
        <v>1199</v>
      </c>
      <c r="P67" s="4">
        <v>4599</v>
      </c>
      <c r="Q67" t="s">
        <v>2368</v>
      </c>
      <c r="R67">
        <v>2019</v>
      </c>
      <c r="T67" t="s">
        <v>2400</v>
      </c>
      <c r="U67">
        <v>3</v>
      </c>
      <c r="V67" t="s">
        <v>2439</v>
      </c>
    </row>
    <row r="68" spans="1:22" x14ac:dyDescent="0.25">
      <c r="A68" t="s">
        <v>15</v>
      </c>
      <c r="B68" t="s">
        <v>245</v>
      </c>
      <c r="C68" s="2">
        <v>226</v>
      </c>
      <c r="D68" t="s">
        <v>162</v>
      </c>
      <c r="E68" t="s">
        <v>60</v>
      </c>
      <c r="F68" t="s">
        <v>181</v>
      </c>
      <c r="G68" s="5" t="s">
        <v>225</v>
      </c>
      <c r="H68" t="s">
        <v>2437</v>
      </c>
      <c r="I68" s="6">
        <f t="shared" si="1"/>
        <v>80</v>
      </c>
      <c r="J68" s="2">
        <v>3969</v>
      </c>
      <c r="K68" s="2">
        <v>6.5</v>
      </c>
      <c r="L68" s="4">
        <v>269999</v>
      </c>
      <c r="M68" s="4">
        <v>109900</v>
      </c>
      <c r="N68" s="4">
        <v>7799</v>
      </c>
      <c r="O68" s="4">
        <v>1099</v>
      </c>
      <c r="P68" s="4">
        <v>4399</v>
      </c>
      <c r="Q68" t="s">
        <v>2368</v>
      </c>
      <c r="R68">
        <v>2019</v>
      </c>
      <c r="T68" t="s">
        <v>2407</v>
      </c>
      <c r="U68">
        <v>25</v>
      </c>
      <c r="V68" t="s">
        <v>2439</v>
      </c>
    </row>
    <row r="69" spans="1:22" x14ac:dyDescent="0.25">
      <c r="A69" t="s">
        <v>15</v>
      </c>
      <c r="B69" t="s">
        <v>250</v>
      </c>
      <c r="C69" s="2">
        <v>226</v>
      </c>
      <c r="D69" t="s">
        <v>162</v>
      </c>
      <c r="E69" t="s">
        <v>60</v>
      </c>
      <c r="F69" t="s">
        <v>181</v>
      </c>
      <c r="G69" s="5" t="s">
        <v>225</v>
      </c>
      <c r="H69" t="s">
        <v>2437</v>
      </c>
      <c r="I69" s="6">
        <f t="shared" si="1"/>
        <v>80</v>
      </c>
      <c r="J69" s="2">
        <v>3969</v>
      </c>
      <c r="K69" s="2">
        <v>6.5</v>
      </c>
      <c r="L69" s="4">
        <v>289999</v>
      </c>
      <c r="M69" s="4">
        <v>119900</v>
      </c>
      <c r="N69" s="4">
        <v>8199</v>
      </c>
      <c r="O69" s="4">
        <v>1199</v>
      </c>
      <c r="P69" s="4">
        <v>4599</v>
      </c>
      <c r="Q69" t="s">
        <v>2368</v>
      </c>
      <c r="R69">
        <v>2019</v>
      </c>
      <c r="T69" t="s">
        <v>2398</v>
      </c>
      <c r="U69">
        <v>3</v>
      </c>
      <c r="V69" t="s">
        <v>2439</v>
      </c>
    </row>
    <row r="70" spans="1:22" x14ac:dyDescent="0.25">
      <c r="A70" t="s">
        <v>15</v>
      </c>
      <c r="B70" t="s">
        <v>252</v>
      </c>
      <c r="C70" s="2">
        <v>226</v>
      </c>
      <c r="D70" t="s">
        <v>162</v>
      </c>
      <c r="E70" t="s">
        <v>60</v>
      </c>
      <c r="F70" t="s">
        <v>181</v>
      </c>
      <c r="G70" s="5" t="s">
        <v>225</v>
      </c>
      <c r="H70" t="s">
        <v>2437</v>
      </c>
      <c r="I70" s="6">
        <f t="shared" si="1"/>
        <v>80</v>
      </c>
      <c r="J70" s="2">
        <v>3969</v>
      </c>
      <c r="K70" s="2">
        <v>6.5</v>
      </c>
      <c r="L70" s="4">
        <v>309999</v>
      </c>
      <c r="M70" s="4">
        <v>129900</v>
      </c>
      <c r="N70" s="4">
        <v>8799</v>
      </c>
      <c r="O70" s="4">
        <v>1399</v>
      </c>
      <c r="P70" s="4">
        <v>4999</v>
      </c>
      <c r="Q70" t="s">
        <v>2368</v>
      </c>
      <c r="R70">
        <v>2019</v>
      </c>
      <c r="T70" t="s">
        <v>2401</v>
      </c>
      <c r="U70">
        <v>4</v>
      </c>
      <c r="V70" t="s">
        <v>2439</v>
      </c>
    </row>
    <row r="71" spans="1:22" x14ac:dyDescent="0.25">
      <c r="A71" t="s">
        <v>15</v>
      </c>
      <c r="B71" t="s">
        <v>255</v>
      </c>
      <c r="C71" s="2">
        <v>174</v>
      </c>
      <c r="D71" t="s">
        <v>256</v>
      </c>
      <c r="E71" t="s">
        <v>257</v>
      </c>
      <c r="F71" t="s">
        <v>132</v>
      </c>
      <c r="G71" s="5" t="s">
        <v>258</v>
      </c>
      <c r="H71" t="s">
        <v>2437</v>
      </c>
      <c r="I71" s="6">
        <f t="shared" si="1"/>
        <v>70</v>
      </c>
      <c r="J71" s="2">
        <v>2716</v>
      </c>
      <c r="K71" s="2">
        <v>5.8</v>
      </c>
      <c r="L71" s="4">
        <v>164999</v>
      </c>
      <c r="M71" s="4">
        <v>89900</v>
      </c>
      <c r="N71" s="4">
        <v>8388</v>
      </c>
      <c r="O71" s="4">
        <v>999</v>
      </c>
      <c r="P71" s="4">
        <v>3799</v>
      </c>
      <c r="Q71" t="s">
        <v>2368</v>
      </c>
      <c r="R71">
        <v>2017</v>
      </c>
      <c r="T71" t="s">
        <v>2382</v>
      </c>
      <c r="U71">
        <v>5</v>
      </c>
      <c r="V71" t="s">
        <v>2439</v>
      </c>
    </row>
    <row r="72" spans="1:22" x14ac:dyDescent="0.25">
      <c r="A72" t="s">
        <v>15</v>
      </c>
      <c r="B72" t="s">
        <v>263</v>
      </c>
      <c r="C72" s="2">
        <v>174</v>
      </c>
      <c r="D72" t="s">
        <v>256</v>
      </c>
      <c r="E72" t="s">
        <v>257</v>
      </c>
      <c r="F72" t="s">
        <v>132</v>
      </c>
      <c r="G72" s="5" t="s">
        <v>258</v>
      </c>
      <c r="H72" t="s">
        <v>2437</v>
      </c>
      <c r="I72" s="6">
        <f t="shared" si="1"/>
        <v>70</v>
      </c>
      <c r="J72" s="2">
        <v>2716</v>
      </c>
      <c r="K72" s="2">
        <v>5.8</v>
      </c>
      <c r="L72" s="4">
        <v>184999</v>
      </c>
      <c r="M72" s="4">
        <v>99900</v>
      </c>
      <c r="N72" s="4">
        <v>8788</v>
      </c>
      <c r="O72" s="4">
        <v>1099</v>
      </c>
      <c r="P72" s="4">
        <v>4199</v>
      </c>
      <c r="Q72" t="s">
        <v>2368</v>
      </c>
      <c r="R72">
        <v>2017</v>
      </c>
      <c r="T72" t="s">
        <v>2380</v>
      </c>
      <c r="U72">
        <v>6</v>
      </c>
      <c r="V72" t="s">
        <v>2439</v>
      </c>
    </row>
    <row r="73" spans="1:22" x14ac:dyDescent="0.25">
      <c r="A73" t="s">
        <v>15</v>
      </c>
      <c r="B73" t="s">
        <v>265</v>
      </c>
      <c r="C73" s="2">
        <v>177</v>
      </c>
      <c r="D73" t="s">
        <v>162</v>
      </c>
      <c r="E73" t="s">
        <v>257</v>
      </c>
      <c r="F73" t="s">
        <v>132</v>
      </c>
      <c r="G73" s="5" t="s">
        <v>267</v>
      </c>
      <c r="H73" t="s">
        <v>2437</v>
      </c>
      <c r="I73" s="6">
        <f t="shared" si="1"/>
        <v>75</v>
      </c>
      <c r="J73" s="2">
        <v>2658</v>
      </c>
      <c r="K73" s="2">
        <v>5.8</v>
      </c>
      <c r="L73" s="4">
        <v>219999</v>
      </c>
      <c r="M73" s="4">
        <v>99900</v>
      </c>
      <c r="N73" s="4">
        <v>9188</v>
      </c>
      <c r="O73" s="4">
        <v>999</v>
      </c>
      <c r="P73" s="4">
        <v>3899</v>
      </c>
      <c r="Q73" t="s">
        <v>2368</v>
      </c>
      <c r="R73">
        <v>2018</v>
      </c>
      <c r="T73" t="s">
        <v>2399</v>
      </c>
      <c r="U73">
        <v>8</v>
      </c>
      <c r="V73" t="s">
        <v>2439</v>
      </c>
    </row>
    <row r="74" spans="1:22" x14ac:dyDescent="0.25">
      <c r="A74" t="s">
        <v>15</v>
      </c>
      <c r="B74" t="s">
        <v>270</v>
      </c>
      <c r="C74" s="2">
        <v>177</v>
      </c>
      <c r="D74" t="s">
        <v>162</v>
      </c>
      <c r="E74" t="s">
        <v>257</v>
      </c>
      <c r="F74" t="s">
        <v>132</v>
      </c>
      <c r="G74" s="5" t="s">
        <v>267</v>
      </c>
      <c r="H74" t="s">
        <v>2437</v>
      </c>
      <c r="I74" s="6">
        <f t="shared" si="1"/>
        <v>75</v>
      </c>
      <c r="J74" s="2">
        <v>2658</v>
      </c>
      <c r="K74" s="2">
        <v>5.8</v>
      </c>
      <c r="L74" s="4">
        <v>239999</v>
      </c>
      <c r="M74" s="4">
        <v>109900</v>
      </c>
      <c r="N74" s="4">
        <v>9788</v>
      </c>
      <c r="O74" s="4">
        <v>1099</v>
      </c>
      <c r="P74" s="4">
        <v>4299</v>
      </c>
      <c r="Q74" t="s">
        <v>2368</v>
      </c>
      <c r="R74">
        <v>2018</v>
      </c>
      <c r="T74" t="s">
        <v>2385</v>
      </c>
      <c r="U74">
        <v>10</v>
      </c>
      <c r="V74" t="s">
        <v>2439</v>
      </c>
    </row>
    <row r="75" spans="1:22" x14ac:dyDescent="0.25">
      <c r="A75" t="s">
        <v>15</v>
      </c>
      <c r="B75" t="s">
        <v>273</v>
      </c>
      <c r="C75" s="2">
        <v>177</v>
      </c>
      <c r="D75" t="s">
        <v>162</v>
      </c>
      <c r="E75" t="s">
        <v>257</v>
      </c>
      <c r="F75" t="s">
        <v>132</v>
      </c>
      <c r="G75" s="5" t="s">
        <v>267</v>
      </c>
      <c r="H75" t="s">
        <v>2437</v>
      </c>
      <c r="I75" s="6">
        <f t="shared" si="1"/>
        <v>75</v>
      </c>
      <c r="J75" s="2">
        <v>2658</v>
      </c>
      <c r="K75" s="2">
        <v>5.8</v>
      </c>
      <c r="L75" s="4">
        <v>259999</v>
      </c>
      <c r="M75" s="4">
        <v>119900</v>
      </c>
      <c r="N75" s="4">
        <v>10388</v>
      </c>
      <c r="O75" s="4">
        <v>1299</v>
      </c>
      <c r="P75" s="4">
        <v>4799</v>
      </c>
      <c r="Q75" t="s">
        <v>2368</v>
      </c>
      <c r="R75">
        <v>2018</v>
      </c>
      <c r="T75" t="s">
        <v>2391</v>
      </c>
      <c r="U75">
        <v>12</v>
      </c>
      <c r="V75" t="s">
        <v>2439</v>
      </c>
    </row>
    <row r="76" spans="1:22" x14ac:dyDescent="0.25">
      <c r="A76" t="s">
        <v>15</v>
      </c>
      <c r="B76" t="s">
        <v>276</v>
      </c>
      <c r="C76" s="2">
        <v>208</v>
      </c>
      <c r="D76" t="s">
        <v>162</v>
      </c>
      <c r="E76" t="s">
        <v>257</v>
      </c>
      <c r="F76" t="s">
        <v>132</v>
      </c>
      <c r="G76" s="5" t="s">
        <v>267</v>
      </c>
      <c r="H76" t="s">
        <v>2437</v>
      </c>
      <c r="I76" s="6">
        <f t="shared" si="1"/>
        <v>75</v>
      </c>
      <c r="J76" s="2">
        <v>3174</v>
      </c>
      <c r="K76" s="2">
        <v>6.5</v>
      </c>
      <c r="L76" s="4">
        <v>249999</v>
      </c>
      <c r="M76" s="4">
        <v>109900</v>
      </c>
      <c r="N76" s="4">
        <v>10088</v>
      </c>
      <c r="O76" s="4">
        <v>1099</v>
      </c>
      <c r="P76" s="4">
        <v>4399</v>
      </c>
      <c r="Q76" t="s">
        <v>2368</v>
      </c>
      <c r="R76">
        <v>2018</v>
      </c>
      <c r="T76" t="s">
        <v>2394</v>
      </c>
      <c r="U76">
        <v>14</v>
      </c>
      <c r="V76" t="s">
        <v>2439</v>
      </c>
    </row>
    <row r="77" spans="1:22" x14ac:dyDescent="0.25">
      <c r="A77" t="s">
        <v>15</v>
      </c>
      <c r="B77" t="s">
        <v>280</v>
      </c>
      <c r="C77" s="2">
        <v>208</v>
      </c>
      <c r="D77" t="s">
        <v>162</v>
      </c>
      <c r="E77" t="s">
        <v>257</v>
      </c>
      <c r="F77" t="s">
        <v>132</v>
      </c>
      <c r="G77" s="5" t="s">
        <v>267</v>
      </c>
      <c r="H77" t="s">
        <v>2437</v>
      </c>
      <c r="I77" s="6">
        <f t="shared" si="1"/>
        <v>75</v>
      </c>
      <c r="J77" s="2">
        <v>3174</v>
      </c>
      <c r="K77" s="2">
        <v>6.5</v>
      </c>
      <c r="L77" s="4">
        <v>269999</v>
      </c>
      <c r="M77" s="4">
        <v>119900</v>
      </c>
      <c r="N77" s="4">
        <v>10688</v>
      </c>
      <c r="O77" s="4">
        <v>1249</v>
      </c>
      <c r="P77" s="4">
        <v>4799</v>
      </c>
      <c r="Q77" t="s">
        <v>2368</v>
      </c>
      <c r="R77">
        <v>2018</v>
      </c>
      <c r="T77" t="s">
        <v>2403</v>
      </c>
      <c r="U77">
        <v>15</v>
      </c>
      <c r="V77" t="s">
        <v>2439</v>
      </c>
    </row>
    <row r="78" spans="1:22" x14ac:dyDescent="0.25">
      <c r="A78" t="s">
        <v>15</v>
      </c>
      <c r="B78" t="s">
        <v>283</v>
      </c>
      <c r="C78" s="2">
        <v>208</v>
      </c>
      <c r="D78" t="s">
        <v>162</v>
      </c>
      <c r="E78" t="s">
        <v>257</v>
      </c>
      <c r="F78" t="s">
        <v>132</v>
      </c>
      <c r="G78" s="5" t="s">
        <v>267</v>
      </c>
      <c r="H78" t="s">
        <v>2437</v>
      </c>
      <c r="I78" s="6">
        <f t="shared" si="1"/>
        <v>75</v>
      </c>
      <c r="J78" s="2">
        <v>3174</v>
      </c>
      <c r="K78" s="2">
        <v>6.5</v>
      </c>
      <c r="L78" s="4">
        <v>289999</v>
      </c>
      <c r="M78" s="4">
        <v>129900</v>
      </c>
      <c r="N78" s="4">
        <v>11288</v>
      </c>
      <c r="O78" s="4">
        <v>1399</v>
      </c>
      <c r="P78" s="4">
        <v>5099</v>
      </c>
      <c r="Q78" t="s">
        <v>2368</v>
      </c>
      <c r="R78">
        <v>2018</v>
      </c>
      <c r="T78" t="s">
        <v>2412</v>
      </c>
      <c r="U78">
        <v>18</v>
      </c>
      <c r="V78" t="s">
        <v>2439</v>
      </c>
    </row>
    <row r="79" spans="1:22" x14ac:dyDescent="0.25">
      <c r="A79" t="s">
        <v>15</v>
      </c>
      <c r="B79" t="s">
        <v>286</v>
      </c>
      <c r="C79" s="2">
        <v>194</v>
      </c>
      <c r="D79" t="s">
        <v>256</v>
      </c>
      <c r="E79" t="s">
        <v>257</v>
      </c>
      <c r="F79" t="s">
        <v>132</v>
      </c>
      <c r="G79" s="5" t="s">
        <v>267</v>
      </c>
      <c r="H79" t="s">
        <v>2437</v>
      </c>
      <c r="I79" s="6">
        <f t="shared" si="1"/>
        <v>75</v>
      </c>
      <c r="J79" s="2">
        <v>2942</v>
      </c>
      <c r="K79" s="2">
        <v>6.1</v>
      </c>
      <c r="L79" s="4">
        <v>149999</v>
      </c>
      <c r="M79" s="4">
        <v>64900</v>
      </c>
      <c r="N79" s="4">
        <v>6299</v>
      </c>
      <c r="O79" s="4">
        <v>749</v>
      </c>
      <c r="P79" s="4">
        <v>2699</v>
      </c>
      <c r="Q79" t="s">
        <v>2368</v>
      </c>
      <c r="R79">
        <v>2018</v>
      </c>
      <c r="T79" t="s">
        <v>2397</v>
      </c>
      <c r="U79">
        <v>20</v>
      </c>
      <c r="V79" t="s">
        <v>2439</v>
      </c>
    </row>
    <row r="80" spans="1:22" x14ac:dyDescent="0.25">
      <c r="A80" t="s">
        <v>15</v>
      </c>
      <c r="B80" t="s">
        <v>290</v>
      </c>
      <c r="C80" s="2">
        <v>194</v>
      </c>
      <c r="D80" t="s">
        <v>256</v>
      </c>
      <c r="E80" t="s">
        <v>257</v>
      </c>
      <c r="F80" t="s">
        <v>132</v>
      </c>
      <c r="G80" s="5" t="s">
        <v>267</v>
      </c>
      <c r="H80" t="s">
        <v>2437</v>
      </c>
      <c r="I80" s="6">
        <f t="shared" si="1"/>
        <v>75</v>
      </c>
      <c r="J80" s="2">
        <v>2942</v>
      </c>
      <c r="K80" s="2">
        <v>6.1</v>
      </c>
      <c r="L80" s="4">
        <v>159999</v>
      </c>
      <c r="M80" s="4">
        <v>74900</v>
      </c>
      <c r="N80" s="4">
        <v>6799</v>
      </c>
      <c r="O80" s="4">
        <v>799</v>
      </c>
      <c r="P80" s="4">
        <v>3099</v>
      </c>
      <c r="Q80" t="s">
        <v>2368</v>
      </c>
      <c r="R80">
        <v>2018</v>
      </c>
      <c r="T80" t="s">
        <v>2390</v>
      </c>
      <c r="U80">
        <v>22</v>
      </c>
      <c r="V80" t="s">
        <v>2439</v>
      </c>
    </row>
    <row r="81" spans="1:22" x14ac:dyDescent="0.25">
      <c r="A81" t="s">
        <v>15</v>
      </c>
      <c r="B81" t="s">
        <v>292</v>
      </c>
      <c r="C81" s="2">
        <v>194</v>
      </c>
      <c r="D81" t="s">
        <v>256</v>
      </c>
      <c r="E81" t="s">
        <v>257</v>
      </c>
      <c r="F81" t="s">
        <v>132</v>
      </c>
      <c r="G81" s="5" t="s">
        <v>267</v>
      </c>
      <c r="H81" t="s">
        <v>2437</v>
      </c>
      <c r="I81" s="6">
        <f t="shared" si="1"/>
        <v>75</v>
      </c>
      <c r="J81" s="2">
        <v>2942</v>
      </c>
      <c r="K81" s="2">
        <v>6.1</v>
      </c>
      <c r="L81" s="4">
        <v>179999</v>
      </c>
      <c r="M81" s="4">
        <v>84900</v>
      </c>
      <c r="N81" s="4">
        <v>7299</v>
      </c>
      <c r="O81" s="4">
        <v>899</v>
      </c>
      <c r="P81" s="4">
        <v>3399</v>
      </c>
      <c r="Q81" t="s">
        <v>2368</v>
      </c>
      <c r="R81">
        <v>2018</v>
      </c>
      <c r="T81" t="s">
        <v>1634</v>
      </c>
      <c r="U81">
        <v>4</v>
      </c>
      <c r="V81" t="s">
        <v>2439</v>
      </c>
    </row>
    <row r="82" spans="1:22" x14ac:dyDescent="0.25">
      <c r="A82" t="s">
        <v>15</v>
      </c>
      <c r="B82" t="s">
        <v>293</v>
      </c>
      <c r="C82" s="2">
        <v>458</v>
      </c>
      <c r="D82" t="s">
        <v>162</v>
      </c>
      <c r="E82" t="s">
        <v>19</v>
      </c>
      <c r="F82" t="s">
        <v>19</v>
      </c>
      <c r="G82" s="5" t="s">
        <v>203</v>
      </c>
      <c r="H82" t="s">
        <v>2437</v>
      </c>
      <c r="I82" s="6">
        <f t="shared" si="1"/>
        <v>85</v>
      </c>
      <c r="J82" s="2">
        <v>7608</v>
      </c>
      <c r="K82" s="2">
        <v>10.9</v>
      </c>
      <c r="L82" s="4">
        <v>79999</v>
      </c>
      <c r="M82" s="4">
        <v>54900</v>
      </c>
      <c r="N82" s="4">
        <v>3299</v>
      </c>
      <c r="O82" s="4">
        <v>599</v>
      </c>
      <c r="P82" s="4">
        <v>2099</v>
      </c>
      <c r="Q82" t="s">
        <v>2369</v>
      </c>
      <c r="R82">
        <v>2020</v>
      </c>
      <c r="T82" t="s">
        <v>2422</v>
      </c>
      <c r="U82">
        <v>4</v>
      </c>
      <c r="V82" t="s">
        <v>2439</v>
      </c>
    </row>
    <row r="83" spans="1:22" x14ac:dyDescent="0.25">
      <c r="A83" t="s">
        <v>15</v>
      </c>
      <c r="B83" t="s">
        <v>302</v>
      </c>
      <c r="C83" s="2">
        <v>458</v>
      </c>
      <c r="D83" t="s">
        <v>162</v>
      </c>
      <c r="E83" t="s">
        <v>19</v>
      </c>
      <c r="F83" t="s">
        <v>19</v>
      </c>
      <c r="G83" s="5" t="s">
        <v>203</v>
      </c>
      <c r="H83" t="s">
        <v>2437</v>
      </c>
      <c r="I83" s="6">
        <f t="shared" si="1"/>
        <v>85</v>
      </c>
      <c r="J83" s="2">
        <v>7608</v>
      </c>
      <c r="K83" s="2">
        <v>10.9</v>
      </c>
      <c r="L83" s="4">
        <v>89999</v>
      </c>
      <c r="M83" s="4">
        <v>64900</v>
      </c>
      <c r="N83" s="4">
        <v>3699</v>
      </c>
      <c r="O83" s="4">
        <v>749</v>
      </c>
      <c r="P83" s="4">
        <v>2499</v>
      </c>
      <c r="Q83" t="s">
        <v>2369</v>
      </c>
      <c r="R83">
        <v>2020</v>
      </c>
      <c r="T83" t="s">
        <v>2421</v>
      </c>
      <c r="U83">
        <v>5</v>
      </c>
      <c r="V83" t="s">
        <v>2439</v>
      </c>
    </row>
    <row r="84" spans="1:22" x14ac:dyDescent="0.25">
      <c r="A84" t="s">
        <v>15</v>
      </c>
      <c r="B84" t="s">
        <v>305</v>
      </c>
      <c r="C84" s="2">
        <v>490</v>
      </c>
      <c r="D84" t="s">
        <v>256</v>
      </c>
      <c r="E84" t="s">
        <v>19</v>
      </c>
      <c r="F84" t="s">
        <v>307</v>
      </c>
      <c r="G84" s="5" t="s">
        <v>225</v>
      </c>
      <c r="H84" t="s">
        <v>2437</v>
      </c>
      <c r="I84" s="6">
        <f t="shared" si="1"/>
        <v>80</v>
      </c>
      <c r="J84" s="2">
        <v>8612</v>
      </c>
      <c r="K84" s="2">
        <v>10.199999999999999</v>
      </c>
      <c r="L84" s="4">
        <v>49999</v>
      </c>
      <c r="M84" s="4">
        <v>29900</v>
      </c>
      <c r="N84" s="4">
        <v>2299</v>
      </c>
      <c r="O84" s="4">
        <v>329</v>
      </c>
      <c r="P84" s="4">
        <v>1199</v>
      </c>
      <c r="Q84" t="s">
        <v>2369</v>
      </c>
      <c r="R84">
        <v>2020</v>
      </c>
      <c r="T84" t="s">
        <v>2428</v>
      </c>
      <c r="U84">
        <v>6</v>
      </c>
      <c r="V84" t="s">
        <v>2439</v>
      </c>
    </row>
    <row r="85" spans="1:22" x14ac:dyDescent="0.25">
      <c r="A85" t="s">
        <v>15</v>
      </c>
      <c r="B85" t="s">
        <v>315</v>
      </c>
      <c r="C85" s="2">
        <v>490</v>
      </c>
      <c r="D85" t="s">
        <v>256</v>
      </c>
      <c r="E85" t="s">
        <v>19</v>
      </c>
      <c r="F85" t="s">
        <v>307</v>
      </c>
      <c r="G85" s="5" t="s">
        <v>225</v>
      </c>
      <c r="H85" t="s">
        <v>2437</v>
      </c>
      <c r="I85" s="6">
        <f t="shared" si="1"/>
        <v>80</v>
      </c>
      <c r="J85" s="2">
        <v>8612</v>
      </c>
      <c r="K85" s="2">
        <v>10.199999999999999</v>
      </c>
      <c r="L85" s="4">
        <v>59999</v>
      </c>
      <c r="M85" s="4">
        <v>39900</v>
      </c>
      <c r="N85" s="4">
        <v>2699</v>
      </c>
      <c r="O85" s="4">
        <v>429</v>
      </c>
      <c r="P85" s="4">
        <v>1499</v>
      </c>
      <c r="Q85" t="s">
        <v>2369</v>
      </c>
      <c r="R85">
        <v>2020</v>
      </c>
      <c r="T85" t="s">
        <v>2429</v>
      </c>
      <c r="U85">
        <v>8</v>
      </c>
      <c r="V85" t="s">
        <v>2439</v>
      </c>
    </row>
    <row r="86" spans="1:22" x14ac:dyDescent="0.25">
      <c r="A86" t="s">
        <v>15</v>
      </c>
      <c r="B86" t="s">
        <v>321</v>
      </c>
      <c r="C86" s="2">
        <v>300.5</v>
      </c>
      <c r="D86" t="s">
        <v>256</v>
      </c>
      <c r="E86" t="s">
        <v>257</v>
      </c>
      <c r="F86" t="s">
        <v>307</v>
      </c>
      <c r="G86" s="5" t="s">
        <v>267</v>
      </c>
      <c r="H86" t="s">
        <v>2437</v>
      </c>
      <c r="I86" s="6">
        <f t="shared" si="1"/>
        <v>75</v>
      </c>
      <c r="J86" s="2">
        <v>5124</v>
      </c>
      <c r="K86" s="2">
        <v>7.9</v>
      </c>
      <c r="L86" s="4">
        <v>69999</v>
      </c>
      <c r="M86" s="4">
        <v>39900</v>
      </c>
      <c r="N86" s="4">
        <v>3499</v>
      </c>
      <c r="O86" s="4">
        <v>399</v>
      </c>
      <c r="P86" s="4">
        <v>1499</v>
      </c>
      <c r="Q86" t="s">
        <v>2368</v>
      </c>
      <c r="R86">
        <v>2019</v>
      </c>
      <c r="T86" t="s">
        <v>2157</v>
      </c>
      <c r="U86">
        <v>22</v>
      </c>
      <c r="V86" t="s">
        <v>2438</v>
      </c>
    </row>
    <row r="87" spans="1:22" x14ac:dyDescent="0.25">
      <c r="A87" t="s">
        <v>15</v>
      </c>
      <c r="B87" t="s">
        <v>328</v>
      </c>
      <c r="C87" s="2">
        <v>300.5</v>
      </c>
      <c r="D87" t="s">
        <v>256</v>
      </c>
      <c r="E87" t="s">
        <v>257</v>
      </c>
      <c r="F87" t="s">
        <v>307</v>
      </c>
      <c r="G87" s="5" t="s">
        <v>267</v>
      </c>
      <c r="H87" t="s">
        <v>2437</v>
      </c>
      <c r="I87" s="6">
        <f t="shared" si="1"/>
        <v>75</v>
      </c>
      <c r="J87" s="2">
        <v>5124</v>
      </c>
      <c r="K87" s="2">
        <v>7.9</v>
      </c>
      <c r="L87" s="4">
        <v>79999</v>
      </c>
      <c r="M87" s="4">
        <v>49900</v>
      </c>
      <c r="N87" s="4">
        <v>3799</v>
      </c>
      <c r="O87" s="4">
        <v>499</v>
      </c>
      <c r="P87" s="4">
        <v>1799</v>
      </c>
      <c r="Q87" t="s">
        <v>2368</v>
      </c>
      <c r="R87">
        <v>2019</v>
      </c>
      <c r="T87" t="s">
        <v>2136</v>
      </c>
      <c r="U87">
        <v>25</v>
      </c>
      <c r="V87" t="s">
        <v>2438</v>
      </c>
    </row>
    <row r="88" spans="1:22" x14ac:dyDescent="0.25">
      <c r="A88" t="s">
        <v>15</v>
      </c>
      <c r="B88" t="s">
        <v>333</v>
      </c>
      <c r="C88" s="2">
        <v>468</v>
      </c>
      <c r="D88" t="s">
        <v>162</v>
      </c>
      <c r="E88" t="s">
        <v>257</v>
      </c>
      <c r="F88" t="s">
        <v>335</v>
      </c>
      <c r="G88" s="5" t="s">
        <v>336</v>
      </c>
      <c r="H88" t="s">
        <v>2437</v>
      </c>
      <c r="I88" s="6">
        <f t="shared" si="1"/>
        <v>78</v>
      </c>
      <c r="J88" s="2">
        <v>7812</v>
      </c>
      <c r="K88" s="2">
        <v>11</v>
      </c>
      <c r="L88" s="4">
        <v>149999</v>
      </c>
      <c r="M88" s="4">
        <v>71900</v>
      </c>
      <c r="N88" s="4">
        <v>6399</v>
      </c>
      <c r="O88" s="4">
        <v>799</v>
      </c>
      <c r="P88" s="4">
        <v>2799</v>
      </c>
      <c r="Q88" t="s">
        <v>2369</v>
      </c>
      <c r="R88">
        <v>2020</v>
      </c>
      <c r="T88" t="s">
        <v>2144</v>
      </c>
      <c r="U88">
        <v>40</v>
      </c>
      <c r="V88" t="s">
        <v>2438</v>
      </c>
    </row>
    <row r="89" spans="1:22" x14ac:dyDescent="0.25">
      <c r="A89" t="s">
        <v>15</v>
      </c>
      <c r="B89" t="s">
        <v>341</v>
      </c>
      <c r="C89" s="2">
        <v>468</v>
      </c>
      <c r="D89" t="s">
        <v>162</v>
      </c>
      <c r="E89" t="s">
        <v>257</v>
      </c>
      <c r="F89" t="s">
        <v>335</v>
      </c>
      <c r="G89" s="5" t="s">
        <v>336</v>
      </c>
      <c r="H89" t="s">
        <v>2437</v>
      </c>
      <c r="I89" s="6">
        <f t="shared" si="1"/>
        <v>78</v>
      </c>
      <c r="J89" s="2">
        <v>7812</v>
      </c>
      <c r="K89" s="2">
        <v>11</v>
      </c>
      <c r="L89" s="4">
        <v>169999</v>
      </c>
      <c r="M89" s="4">
        <v>89900</v>
      </c>
      <c r="N89" s="4">
        <v>7199</v>
      </c>
      <c r="O89" s="4">
        <v>899</v>
      </c>
      <c r="P89" s="4">
        <v>3199</v>
      </c>
      <c r="Q89" t="s">
        <v>2369</v>
      </c>
      <c r="R89">
        <v>2020</v>
      </c>
      <c r="T89" t="s">
        <v>1763</v>
      </c>
      <c r="U89">
        <v>85</v>
      </c>
      <c r="V89" t="s">
        <v>2437</v>
      </c>
    </row>
    <row r="90" spans="1:22" x14ac:dyDescent="0.25">
      <c r="A90" t="s">
        <v>15</v>
      </c>
      <c r="B90" t="s">
        <v>342</v>
      </c>
      <c r="C90" s="2">
        <v>468</v>
      </c>
      <c r="D90" t="s">
        <v>18</v>
      </c>
      <c r="E90" t="s">
        <v>257</v>
      </c>
      <c r="F90" t="s">
        <v>335</v>
      </c>
      <c r="G90" s="5" t="s">
        <v>336</v>
      </c>
      <c r="H90" t="s">
        <v>2437</v>
      </c>
      <c r="I90" s="6">
        <f t="shared" si="1"/>
        <v>78</v>
      </c>
      <c r="J90" s="2">
        <v>7812</v>
      </c>
      <c r="K90" s="2">
        <v>11</v>
      </c>
      <c r="L90" s="4">
        <v>189999</v>
      </c>
      <c r="M90" s="4">
        <v>109900</v>
      </c>
      <c r="N90" s="4">
        <v>7999</v>
      </c>
      <c r="O90" s="4">
        <v>1099</v>
      </c>
      <c r="P90" s="4">
        <v>3699</v>
      </c>
      <c r="Q90" t="s">
        <v>2369</v>
      </c>
      <c r="R90">
        <v>2020</v>
      </c>
      <c r="T90" t="s">
        <v>1809</v>
      </c>
      <c r="U90">
        <v>88</v>
      </c>
      <c r="V90" t="s">
        <v>2437</v>
      </c>
    </row>
    <row r="91" spans="1:22" x14ac:dyDescent="0.25">
      <c r="A91" t="s">
        <v>15</v>
      </c>
      <c r="B91" t="s">
        <v>344</v>
      </c>
      <c r="C91" s="2">
        <v>682</v>
      </c>
      <c r="D91" t="s">
        <v>18</v>
      </c>
      <c r="E91" t="s">
        <v>257</v>
      </c>
      <c r="F91" t="s">
        <v>335</v>
      </c>
      <c r="G91" s="5" t="s">
        <v>336</v>
      </c>
      <c r="H91" t="s">
        <v>2437</v>
      </c>
      <c r="I91" s="6">
        <f t="shared" si="1"/>
        <v>78</v>
      </c>
      <c r="J91" s="2">
        <v>9720</v>
      </c>
      <c r="K91" s="2">
        <v>12.9</v>
      </c>
      <c r="L91" s="4">
        <v>219999</v>
      </c>
      <c r="M91" s="4">
        <v>94900</v>
      </c>
      <c r="N91" s="4">
        <v>7999</v>
      </c>
      <c r="O91" s="4">
        <v>999</v>
      </c>
      <c r="P91" s="4">
        <v>3799</v>
      </c>
      <c r="Q91" t="s">
        <v>2369</v>
      </c>
      <c r="R91">
        <v>2020</v>
      </c>
      <c r="T91" t="s">
        <v>1824</v>
      </c>
      <c r="U91">
        <v>90</v>
      </c>
      <c r="V91" t="s">
        <v>2437</v>
      </c>
    </row>
    <row r="92" spans="1:22" x14ac:dyDescent="0.25">
      <c r="A92" t="s">
        <v>15</v>
      </c>
      <c r="B92" t="s">
        <v>348</v>
      </c>
      <c r="C92" s="2">
        <v>682</v>
      </c>
      <c r="D92" t="s">
        <v>18</v>
      </c>
      <c r="E92" t="s">
        <v>257</v>
      </c>
      <c r="F92" t="s">
        <v>335</v>
      </c>
      <c r="G92" s="5" t="s">
        <v>336</v>
      </c>
      <c r="H92" t="s">
        <v>2437</v>
      </c>
      <c r="I92" s="6">
        <f t="shared" si="1"/>
        <v>78</v>
      </c>
      <c r="J92" s="2">
        <v>9720</v>
      </c>
      <c r="K92" s="2">
        <v>12.9</v>
      </c>
      <c r="L92" s="4">
        <v>239999</v>
      </c>
      <c r="M92" s="4">
        <v>109900</v>
      </c>
      <c r="N92" s="4">
        <v>8699</v>
      </c>
      <c r="O92" s="4">
        <v>1099</v>
      </c>
      <c r="P92" s="4">
        <v>4199</v>
      </c>
      <c r="Q92" t="s">
        <v>2369</v>
      </c>
      <c r="R92">
        <v>2020</v>
      </c>
      <c r="T92" t="s">
        <v>2139</v>
      </c>
      <c r="U92">
        <v>45</v>
      </c>
      <c r="V92" t="s">
        <v>2438</v>
      </c>
    </row>
    <row r="93" spans="1:22" x14ac:dyDescent="0.25">
      <c r="A93" t="s">
        <v>15</v>
      </c>
      <c r="B93" t="s">
        <v>349</v>
      </c>
      <c r="C93" s="2">
        <v>682</v>
      </c>
      <c r="D93" t="s">
        <v>18</v>
      </c>
      <c r="E93" t="s">
        <v>257</v>
      </c>
      <c r="F93" t="s">
        <v>335</v>
      </c>
      <c r="G93" s="5" t="s">
        <v>336</v>
      </c>
      <c r="H93" t="s">
        <v>2437</v>
      </c>
      <c r="I93" s="6">
        <f t="shared" si="1"/>
        <v>78</v>
      </c>
      <c r="J93" s="2">
        <v>9720</v>
      </c>
      <c r="K93" s="2">
        <v>12.9</v>
      </c>
      <c r="L93" s="4">
        <v>259999</v>
      </c>
      <c r="M93" s="4">
        <v>119900</v>
      </c>
      <c r="N93" s="4">
        <v>9199</v>
      </c>
      <c r="O93" s="4">
        <v>1299</v>
      </c>
      <c r="P93" s="4">
        <v>4599</v>
      </c>
      <c r="Q93" t="s">
        <v>2369</v>
      </c>
      <c r="R93">
        <v>2020</v>
      </c>
      <c r="T93" t="s">
        <v>2141</v>
      </c>
      <c r="U93">
        <v>80</v>
      </c>
      <c r="V93" t="s">
        <v>2437</v>
      </c>
    </row>
    <row r="94" spans="1:22" x14ac:dyDescent="0.25">
      <c r="A94" t="s">
        <v>15</v>
      </c>
      <c r="B94" t="s">
        <v>350</v>
      </c>
      <c r="C94" s="2">
        <v>708</v>
      </c>
      <c r="D94" t="s">
        <v>18</v>
      </c>
      <c r="E94" t="s">
        <v>257</v>
      </c>
      <c r="F94" t="s">
        <v>335</v>
      </c>
      <c r="G94" s="5" t="s">
        <v>336</v>
      </c>
      <c r="H94" t="s">
        <v>2437</v>
      </c>
      <c r="I94" s="6">
        <f t="shared" si="1"/>
        <v>78</v>
      </c>
      <c r="J94" s="2">
        <v>10307</v>
      </c>
      <c r="K94" s="2">
        <v>13</v>
      </c>
      <c r="L94" s="4">
        <v>259999</v>
      </c>
      <c r="M94" s="4">
        <v>119900</v>
      </c>
      <c r="N94" s="4">
        <v>8699</v>
      </c>
      <c r="O94" s="4">
        <v>1099</v>
      </c>
      <c r="P94" s="4">
        <v>4499</v>
      </c>
      <c r="Q94" t="s">
        <v>2369</v>
      </c>
      <c r="R94">
        <v>2020</v>
      </c>
      <c r="T94" t="s">
        <v>1760</v>
      </c>
      <c r="U94">
        <v>42</v>
      </c>
      <c r="V94" t="s">
        <v>2438</v>
      </c>
    </row>
    <row r="95" spans="1:22" x14ac:dyDescent="0.25">
      <c r="A95" t="s">
        <v>15</v>
      </c>
      <c r="B95" t="s">
        <v>354</v>
      </c>
      <c r="C95" s="2">
        <v>708</v>
      </c>
      <c r="D95" t="s">
        <v>18</v>
      </c>
      <c r="E95" t="s">
        <v>257</v>
      </c>
      <c r="F95" t="s">
        <v>335</v>
      </c>
      <c r="G95" s="5" t="s">
        <v>336</v>
      </c>
      <c r="H95" t="s">
        <v>2437</v>
      </c>
      <c r="I95" s="6">
        <f t="shared" si="1"/>
        <v>78</v>
      </c>
      <c r="J95" s="2">
        <v>10307</v>
      </c>
      <c r="K95" s="2">
        <v>13</v>
      </c>
      <c r="L95" s="4">
        <v>279999</v>
      </c>
      <c r="M95" s="4">
        <v>139900</v>
      </c>
      <c r="N95" s="4">
        <v>9199</v>
      </c>
      <c r="O95" s="4">
        <v>1199</v>
      </c>
      <c r="P95" s="4">
        <v>4799</v>
      </c>
      <c r="Q95" t="s">
        <v>2369</v>
      </c>
      <c r="R95">
        <v>2020</v>
      </c>
      <c r="T95" t="s">
        <v>963</v>
      </c>
      <c r="U95">
        <v>10</v>
      </c>
      <c r="V95" t="s">
        <v>2439</v>
      </c>
    </row>
    <row r="96" spans="1:22" x14ac:dyDescent="0.25">
      <c r="A96" t="s">
        <v>15</v>
      </c>
      <c r="B96" t="s">
        <v>356</v>
      </c>
      <c r="C96" s="2">
        <v>708</v>
      </c>
      <c r="D96" t="s">
        <v>18</v>
      </c>
      <c r="E96" t="s">
        <v>257</v>
      </c>
      <c r="F96" t="s">
        <v>335</v>
      </c>
      <c r="G96" s="5" t="s">
        <v>336</v>
      </c>
      <c r="H96" t="s">
        <v>2437</v>
      </c>
      <c r="I96" s="6">
        <f t="shared" si="1"/>
        <v>78</v>
      </c>
      <c r="J96" s="2">
        <v>10307</v>
      </c>
      <c r="K96" s="2">
        <v>13</v>
      </c>
      <c r="L96" s="4">
        <v>309999</v>
      </c>
      <c r="M96" s="4">
        <v>159900</v>
      </c>
      <c r="N96" s="4">
        <v>9799</v>
      </c>
      <c r="O96" s="4">
        <v>1399</v>
      </c>
      <c r="P96" s="4">
        <v>5299</v>
      </c>
      <c r="Q96" t="s">
        <v>2369</v>
      </c>
      <c r="R96">
        <v>2020</v>
      </c>
      <c r="T96" t="s">
        <v>2423</v>
      </c>
      <c r="U96">
        <v>2</v>
      </c>
      <c r="V96" t="s">
        <v>2439</v>
      </c>
    </row>
    <row r="97" spans="1:22" x14ac:dyDescent="0.25">
      <c r="A97" t="s">
        <v>15</v>
      </c>
      <c r="B97" t="s">
        <v>360</v>
      </c>
      <c r="C97" s="2">
        <v>708</v>
      </c>
      <c r="D97" t="s">
        <v>18</v>
      </c>
      <c r="E97" t="s">
        <v>257</v>
      </c>
      <c r="F97" t="s">
        <v>335</v>
      </c>
      <c r="G97" s="5" t="s">
        <v>336</v>
      </c>
      <c r="H97" t="s">
        <v>2437</v>
      </c>
      <c r="I97" s="6">
        <f t="shared" si="1"/>
        <v>78</v>
      </c>
      <c r="J97" s="2">
        <v>10307</v>
      </c>
      <c r="K97" s="2">
        <v>13</v>
      </c>
      <c r="L97" s="4">
        <v>359999</v>
      </c>
      <c r="M97" s="4">
        <v>179900</v>
      </c>
      <c r="N97" s="4">
        <v>10399</v>
      </c>
      <c r="O97" s="4">
        <v>1599</v>
      </c>
      <c r="P97" s="4">
        <v>5799</v>
      </c>
      <c r="Q97" t="s">
        <v>2369</v>
      </c>
      <c r="R97">
        <v>2020</v>
      </c>
      <c r="T97" t="s">
        <v>2425</v>
      </c>
      <c r="U97">
        <v>10</v>
      </c>
      <c r="V97" t="s">
        <v>2439</v>
      </c>
    </row>
    <row r="98" spans="1:22" x14ac:dyDescent="0.25">
      <c r="A98" t="s">
        <v>15</v>
      </c>
      <c r="B98" t="s">
        <v>366</v>
      </c>
      <c r="C98" s="2">
        <v>708</v>
      </c>
      <c r="D98" t="s">
        <v>18</v>
      </c>
      <c r="E98" t="s">
        <v>257</v>
      </c>
      <c r="F98" t="s">
        <v>335</v>
      </c>
      <c r="G98" s="5" t="s">
        <v>336</v>
      </c>
      <c r="H98" t="s">
        <v>2437</v>
      </c>
      <c r="I98" s="6">
        <f t="shared" si="1"/>
        <v>78</v>
      </c>
      <c r="J98" s="2">
        <v>10307</v>
      </c>
      <c r="K98" s="2">
        <v>13</v>
      </c>
      <c r="L98" s="4">
        <v>399999</v>
      </c>
      <c r="M98" s="4">
        <v>199900</v>
      </c>
      <c r="N98" s="4">
        <v>11199</v>
      </c>
      <c r="O98" s="4">
        <v>1799</v>
      </c>
      <c r="P98" s="4">
        <v>6099</v>
      </c>
      <c r="Q98" t="s">
        <v>2369</v>
      </c>
      <c r="R98">
        <v>2020</v>
      </c>
      <c r="T98" t="s">
        <v>2384</v>
      </c>
      <c r="U98">
        <v>4</v>
      </c>
      <c r="V98" t="s">
        <v>2439</v>
      </c>
    </row>
    <row r="99" spans="1:22" x14ac:dyDescent="0.25">
      <c r="A99" t="s">
        <v>1923</v>
      </c>
      <c r="B99" t="s">
        <v>1924</v>
      </c>
      <c r="C99" s="2">
        <v>147</v>
      </c>
      <c r="D99" t="s">
        <v>162</v>
      </c>
      <c r="E99" t="s">
        <v>307</v>
      </c>
      <c r="F99" t="s">
        <v>1926</v>
      </c>
      <c r="G99" s="5" t="s">
        <v>1927</v>
      </c>
      <c r="H99" t="s">
        <v>2439</v>
      </c>
      <c r="I99" s="6">
        <f t="shared" si="1"/>
        <v>22</v>
      </c>
      <c r="J99" s="2">
        <v>3000</v>
      </c>
      <c r="K99" s="2">
        <v>5.6</v>
      </c>
      <c r="L99" s="4">
        <v>69999</v>
      </c>
      <c r="M99" s="4">
        <v>39999</v>
      </c>
      <c r="N99" s="4">
        <v>2899</v>
      </c>
      <c r="O99" s="4">
        <v>399</v>
      </c>
      <c r="P99" s="4">
        <v>1599</v>
      </c>
      <c r="Q99" t="s">
        <v>2368</v>
      </c>
      <c r="R99">
        <v>2019</v>
      </c>
      <c r="T99" t="s">
        <v>2388</v>
      </c>
      <c r="U99">
        <v>5</v>
      </c>
      <c r="V99" t="s">
        <v>2439</v>
      </c>
    </row>
    <row r="100" spans="1:22" x14ac:dyDescent="0.25">
      <c r="A100" t="s">
        <v>1923</v>
      </c>
      <c r="B100" t="s">
        <v>1930</v>
      </c>
      <c r="C100" s="2">
        <v>167</v>
      </c>
      <c r="D100" t="s">
        <v>162</v>
      </c>
      <c r="E100" t="s">
        <v>307</v>
      </c>
      <c r="F100" t="s">
        <v>1926</v>
      </c>
      <c r="G100" s="5" t="s">
        <v>1927</v>
      </c>
      <c r="H100" t="s">
        <v>2439</v>
      </c>
      <c r="I100" s="6">
        <f t="shared" si="1"/>
        <v>22</v>
      </c>
      <c r="J100" s="2">
        <v>3700</v>
      </c>
      <c r="K100" s="2">
        <v>6</v>
      </c>
      <c r="L100" s="4">
        <v>79999</v>
      </c>
      <c r="M100" s="4">
        <v>44999</v>
      </c>
      <c r="N100" s="4">
        <v>3299</v>
      </c>
      <c r="O100" s="4">
        <v>479</v>
      </c>
      <c r="P100" s="4">
        <v>1799</v>
      </c>
      <c r="Q100" t="s">
        <v>2368</v>
      </c>
      <c r="R100">
        <v>2019</v>
      </c>
      <c r="T100" t="s">
        <v>727</v>
      </c>
      <c r="U100">
        <v>2</v>
      </c>
      <c r="V100" t="s">
        <v>2439</v>
      </c>
    </row>
    <row r="101" spans="1:22" x14ac:dyDescent="0.25">
      <c r="A101" t="s">
        <v>1923</v>
      </c>
      <c r="B101" t="s">
        <v>1932</v>
      </c>
      <c r="C101" s="2">
        <v>162</v>
      </c>
      <c r="D101" t="s">
        <v>18</v>
      </c>
      <c r="E101" t="s">
        <v>307</v>
      </c>
      <c r="F101" t="s">
        <v>1926</v>
      </c>
      <c r="G101" s="5" t="s">
        <v>834</v>
      </c>
      <c r="H101" t="s">
        <v>2437</v>
      </c>
      <c r="I101" s="6">
        <f t="shared" si="1"/>
        <v>75</v>
      </c>
      <c r="J101" s="2">
        <v>2800</v>
      </c>
      <c r="K101" s="2">
        <v>5.7</v>
      </c>
      <c r="L101" s="4">
        <v>119999</v>
      </c>
      <c r="M101" s="4">
        <v>59999</v>
      </c>
      <c r="N101" s="4">
        <v>4799</v>
      </c>
      <c r="O101" s="4">
        <v>799</v>
      </c>
      <c r="P101" s="4">
        <v>3199</v>
      </c>
      <c r="Q101" t="s">
        <v>2368</v>
      </c>
      <c r="R101">
        <v>2019</v>
      </c>
      <c r="T101" t="s">
        <v>2323</v>
      </c>
      <c r="U101">
        <v>18</v>
      </c>
      <c r="V101" t="s">
        <v>2439</v>
      </c>
    </row>
    <row r="102" spans="1:22" x14ac:dyDescent="0.25">
      <c r="A102" t="s">
        <v>1923</v>
      </c>
      <c r="B102" t="s">
        <v>1934</v>
      </c>
      <c r="C102" s="2">
        <v>193</v>
      </c>
      <c r="D102" t="s">
        <v>18</v>
      </c>
      <c r="E102" t="s">
        <v>307</v>
      </c>
      <c r="F102" t="s">
        <v>1926</v>
      </c>
      <c r="G102" s="5" t="s">
        <v>834</v>
      </c>
      <c r="H102" t="s">
        <v>2437</v>
      </c>
      <c r="I102" s="6">
        <f t="shared" si="1"/>
        <v>75</v>
      </c>
      <c r="J102" s="2">
        <v>3700</v>
      </c>
      <c r="K102" s="2">
        <v>6.3</v>
      </c>
      <c r="L102" s="4">
        <v>139999</v>
      </c>
      <c r="M102" s="4">
        <v>69999</v>
      </c>
      <c r="N102" s="4">
        <v>5499</v>
      </c>
      <c r="O102" s="4">
        <v>899</v>
      </c>
      <c r="P102" s="4">
        <v>3599</v>
      </c>
      <c r="Q102" t="s">
        <v>2368</v>
      </c>
      <c r="R102">
        <v>2019</v>
      </c>
      <c r="T102" t="s">
        <v>608</v>
      </c>
      <c r="U102">
        <v>8</v>
      </c>
      <c r="V102" t="s">
        <v>2439</v>
      </c>
    </row>
    <row r="103" spans="1:22" x14ac:dyDescent="0.25">
      <c r="A103" t="s">
        <v>1923</v>
      </c>
      <c r="B103" t="s">
        <v>1947</v>
      </c>
      <c r="C103" s="2">
        <v>207</v>
      </c>
      <c r="D103" t="s">
        <v>68</v>
      </c>
      <c r="E103" t="s">
        <v>307</v>
      </c>
      <c r="F103" t="s">
        <v>580</v>
      </c>
      <c r="G103" s="5" t="s">
        <v>1948</v>
      </c>
      <c r="H103" t="s">
        <v>2437</v>
      </c>
      <c r="I103" s="6">
        <f t="shared" si="1"/>
        <v>75</v>
      </c>
      <c r="J103" s="2">
        <v>4614</v>
      </c>
      <c r="K103" s="2">
        <v>6.4</v>
      </c>
      <c r="L103" s="4">
        <v>159999</v>
      </c>
      <c r="M103" s="4">
        <v>59999</v>
      </c>
      <c r="N103" s="4">
        <v>5999</v>
      </c>
      <c r="O103" s="4">
        <v>699</v>
      </c>
      <c r="P103" s="4">
        <v>2999</v>
      </c>
      <c r="Q103" t="s">
        <v>2368</v>
      </c>
      <c r="R103">
        <v>2021</v>
      </c>
      <c r="T103" t="s">
        <v>970</v>
      </c>
      <c r="U103">
        <v>10</v>
      </c>
      <c r="V103" t="s">
        <v>2439</v>
      </c>
    </row>
    <row r="104" spans="1:22" x14ac:dyDescent="0.25">
      <c r="A104" t="s">
        <v>1923</v>
      </c>
      <c r="B104" t="s">
        <v>1950</v>
      </c>
      <c r="C104" s="2">
        <v>210</v>
      </c>
      <c r="D104" t="s">
        <v>375</v>
      </c>
      <c r="E104" t="s">
        <v>1951</v>
      </c>
      <c r="F104" t="s">
        <v>580</v>
      </c>
      <c r="G104" s="5" t="s">
        <v>1948</v>
      </c>
      <c r="H104" t="s">
        <v>2437</v>
      </c>
      <c r="I104" s="6">
        <f t="shared" si="1"/>
        <v>75</v>
      </c>
      <c r="J104" s="2">
        <v>5003</v>
      </c>
      <c r="K104" s="2">
        <v>6.71</v>
      </c>
      <c r="L104" s="4">
        <v>199999</v>
      </c>
      <c r="M104" s="4">
        <v>79999</v>
      </c>
      <c r="N104" s="4">
        <v>7199</v>
      </c>
      <c r="O104" s="4">
        <v>899</v>
      </c>
      <c r="P104" s="4">
        <v>3499</v>
      </c>
      <c r="Q104" t="s">
        <v>2368</v>
      </c>
      <c r="R104">
        <v>2021</v>
      </c>
      <c r="T104" t="s">
        <v>953</v>
      </c>
      <c r="U104">
        <v>12</v>
      </c>
      <c r="V104" t="s">
        <v>2439</v>
      </c>
    </row>
    <row r="105" spans="1:22" x14ac:dyDescent="0.25">
      <c r="A105" t="s">
        <v>1923</v>
      </c>
      <c r="B105" t="s">
        <v>1954</v>
      </c>
      <c r="C105" s="2">
        <v>178</v>
      </c>
      <c r="D105" t="s">
        <v>18</v>
      </c>
      <c r="E105" t="s">
        <v>307</v>
      </c>
      <c r="F105" t="s">
        <v>1926</v>
      </c>
      <c r="G105" s="5" t="s">
        <v>1948</v>
      </c>
      <c r="H105" t="s">
        <v>2437</v>
      </c>
      <c r="I105" s="6">
        <f t="shared" si="1"/>
        <v>75</v>
      </c>
      <c r="J105" s="2">
        <v>4410</v>
      </c>
      <c r="K105" s="2">
        <v>6.1</v>
      </c>
      <c r="L105" s="4">
        <v>129999</v>
      </c>
      <c r="M105" s="4">
        <v>43999</v>
      </c>
      <c r="N105" s="4">
        <v>4299</v>
      </c>
      <c r="O105" s="4">
        <v>449</v>
      </c>
      <c r="P105" s="4">
        <v>1999</v>
      </c>
      <c r="Q105" t="s">
        <v>2368</v>
      </c>
      <c r="R105">
        <v>2022</v>
      </c>
      <c r="T105" t="s">
        <v>592</v>
      </c>
      <c r="U105">
        <v>15</v>
      </c>
      <c r="V105" t="s">
        <v>2439</v>
      </c>
    </row>
    <row r="106" spans="1:22" x14ac:dyDescent="0.25">
      <c r="A106" t="s">
        <v>1923</v>
      </c>
      <c r="B106" t="s">
        <v>1956</v>
      </c>
      <c r="C106" s="2">
        <v>197</v>
      </c>
      <c r="D106" t="s">
        <v>68</v>
      </c>
      <c r="E106" t="s">
        <v>1957</v>
      </c>
      <c r="F106" t="s">
        <v>580</v>
      </c>
      <c r="G106" s="5" t="s">
        <v>1958</v>
      </c>
      <c r="H106" t="s">
        <v>2437</v>
      </c>
      <c r="I106" s="6">
        <f t="shared" si="1"/>
        <v>80</v>
      </c>
      <c r="J106" s="2">
        <v>4355</v>
      </c>
      <c r="K106" s="2">
        <v>6.3</v>
      </c>
      <c r="L106" s="4">
        <v>169999</v>
      </c>
      <c r="M106" s="4">
        <v>64999</v>
      </c>
      <c r="N106" s="4">
        <v>6199</v>
      </c>
      <c r="O106" s="4">
        <v>599</v>
      </c>
      <c r="P106" s="4">
        <v>2399</v>
      </c>
      <c r="Q106" t="s">
        <v>2368</v>
      </c>
      <c r="R106">
        <v>2022</v>
      </c>
      <c r="T106" t="s">
        <v>1629</v>
      </c>
      <c r="U106">
        <v>18</v>
      </c>
      <c r="V106" t="s">
        <v>2439</v>
      </c>
    </row>
    <row r="107" spans="1:22" x14ac:dyDescent="0.25">
      <c r="A107" t="s">
        <v>1923</v>
      </c>
      <c r="B107" t="s">
        <v>1960</v>
      </c>
      <c r="C107" s="2">
        <v>212</v>
      </c>
      <c r="D107" t="s">
        <v>375</v>
      </c>
      <c r="E107" t="s">
        <v>1957</v>
      </c>
      <c r="F107" t="s">
        <v>580</v>
      </c>
      <c r="G107" s="5" t="s">
        <v>1958</v>
      </c>
      <c r="H107" t="s">
        <v>2437</v>
      </c>
      <c r="I107" s="6">
        <f t="shared" si="1"/>
        <v>80</v>
      </c>
      <c r="J107" s="2">
        <v>5000</v>
      </c>
      <c r="K107" s="2">
        <v>6.7</v>
      </c>
      <c r="L107" s="4">
        <v>229999</v>
      </c>
      <c r="M107" s="4">
        <v>89999</v>
      </c>
      <c r="N107" s="4">
        <v>7999</v>
      </c>
      <c r="O107" s="4">
        <v>899</v>
      </c>
      <c r="P107" s="4">
        <v>3599</v>
      </c>
      <c r="Q107" t="s">
        <v>2368</v>
      </c>
      <c r="R107">
        <v>2022</v>
      </c>
      <c r="T107" t="s">
        <v>785</v>
      </c>
      <c r="U107">
        <v>20</v>
      </c>
      <c r="V107" t="s">
        <v>2439</v>
      </c>
    </row>
    <row r="108" spans="1:22" x14ac:dyDescent="0.25">
      <c r="A108" t="s">
        <v>1923</v>
      </c>
      <c r="B108" t="s">
        <v>1962</v>
      </c>
      <c r="C108" s="2">
        <v>193</v>
      </c>
      <c r="D108" t="s">
        <v>68</v>
      </c>
      <c r="E108" t="s">
        <v>1957</v>
      </c>
      <c r="F108" t="s">
        <v>907</v>
      </c>
      <c r="G108" s="5" t="s">
        <v>1958</v>
      </c>
      <c r="H108" t="s">
        <v>2437</v>
      </c>
      <c r="I108" s="6">
        <f t="shared" si="1"/>
        <v>80</v>
      </c>
      <c r="J108" s="2">
        <v>4385</v>
      </c>
      <c r="K108" s="2">
        <v>6.1</v>
      </c>
      <c r="L108" s="4">
        <v>139999</v>
      </c>
      <c r="M108" s="4">
        <v>44999</v>
      </c>
      <c r="N108" s="4">
        <v>4599</v>
      </c>
      <c r="O108" s="4">
        <v>499</v>
      </c>
      <c r="P108" s="4">
        <v>2199</v>
      </c>
      <c r="Q108" t="s">
        <v>2368</v>
      </c>
      <c r="R108">
        <v>2023</v>
      </c>
      <c r="T108" t="s">
        <v>1867</v>
      </c>
      <c r="U108">
        <v>22</v>
      </c>
      <c r="V108" t="s">
        <v>2439</v>
      </c>
    </row>
    <row r="109" spans="1:22" x14ac:dyDescent="0.25">
      <c r="A109" t="s">
        <v>1923</v>
      </c>
      <c r="B109" t="s">
        <v>1964</v>
      </c>
      <c r="C109" s="2">
        <v>187</v>
      </c>
      <c r="D109" t="s">
        <v>68</v>
      </c>
      <c r="E109" t="s">
        <v>1965</v>
      </c>
      <c r="F109" t="s">
        <v>580</v>
      </c>
      <c r="G109" s="5" t="s">
        <v>1966</v>
      </c>
      <c r="H109" t="s">
        <v>2437</v>
      </c>
      <c r="I109" s="6">
        <f t="shared" si="1"/>
        <v>85</v>
      </c>
      <c r="J109" s="2">
        <v>4575</v>
      </c>
      <c r="K109" s="2">
        <v>6.2</v>
      </c>
      <c r="L109" s="4">
        <v>179999</v>
      </c>
      <c r="M109" s="4">
        <v>69999</v>
      </c>
      <c r="N109" s="4">
        <v>6399</v>
      </c>
      <c r="O109" s="4">
        <v>699</v>
      </c>
      <c r="P109" s="4">
        <v>2799</v>
      </c>
      <c r="Q109" t="s">
        <v>2368</v>
      </c>
      <c r="R109">
        <v>2023</v>
      </c>
      <c r="T109" t="s">
        <v>1736</v>
      </c>
      <c r="U109">
        <v>22</v>
      </c>
      <c r="V109" t="s">
        <v>2439</v>
      </c>
    </row>
    <row r="110" spans="1:22" x14ac:dyDescent="0.25">
      <c r="A110" t="s">
        <v>1923</v>
      </c>
      <c r="B110" t="s">
        <v>1968</v>
      </c>
      <c r="C110" s="2">
        <v>213</v>
      </c>
      <c r="D110" t="s">
        <v>375</v>
      </c>
      <c r="E110" t="s">
        <v>1965</v>
      </c>
      <c r="F110" t="s">
        <v>580</v>
      </c>
      <c r="G110" s="5" t="s">
        <v>1966</v>
      </c>
      <c r="H110" t="s">
        <v>2437</v>
      </c>
      <c r="I110" s="6">
        <f t="shared" si="1"/>
        <v>85</v>
      </c>
      <c r="J110" s="2">
        <v>5050</v>
      </c>
      <c r="K110" s="2">
        <v>6.7</v>
      </c>
      <c r="L110" s="4">
        <v>249999</v>
      </c>
      <c r="M110" s="4">
        <v>99999</v>
      </c>
      <c r="N110" s="4">
        <v>8499</v>
      </c>
      <c r="O110" s="4">
        <v>999</v>
      </c>
      <c r="P110" s="4">
        <v>3999</v>
      </c>
      <c r="Q110" t="s">
        <v>2368</v>
      </c>
      <c r="R110">
        <v>2023</v>
      </c>
      <c r="T110" t="s">
        <v>944</v>
      </c>
      <c r="U110">
        <v>8</v>
      </c>
      <c r="V110" t="s">
        <v>2439</v>
      </c>
    </row>
    <row r="111" spans="1:22" x14ac:dyDescent="0.25">
      <c r="A111" t="s">
        <v>1923</v>
      </c>
      <c r="B111" t="s">
        <v>1970</v>
      </c>
      <c r="C111" s="2">
        <v>194</v>
      </c>
      <c r="D111" t="s">
        <v>68</v>
      </c>
      <c r="E111" t="s">
        <v>1965</v>
      </c>
      <c r="F111" t="s">
        <v>907</v>
      </c>
      <c r="G111" s="5" t="s">
        <v>1966</v>
      </c>
      <c r="H111" t="s">
        <v>2437</v>
      </c>
      <c r="I111" s="6">
        <f t="shared" si="1"/>
        <v>85</v>
      </c>
      <c r="J111" s="2">
        <v>4385</v>
      </c>
      <c r="K111" s="2">
        <v>6.1</v>
      </c>
      <c r="L111" s="4">
        <v>149999</v>
      </c>
      <c r="M111" s="4">
        <v>49999</v>
      </c>
      <c r="N111" s="4">
        <v>4999</v>
      </c>
      <c r="O111" s="4">
        <v>549</v>
      </c>
      <c r="P111" s="4">
        <v>2399</v>
      </c>
      <c r="Q111" t="s">
        <v>2368</v>
      </c>
      <c r="R111">
        <v>2024</v>
      </c>
      <c r="T111" t="s">
        <v>633</v>
      </c>
      <c r="U111">
        <v>10</v>
      </c>
      <c r="V111" t="s">
        <v>2439</v>
      </c>
    </row>
    <row r="112" spans="1:22" x14ac:dyDescent="0.25">
      <c r="A112" t="s">
        <v>1923</v>
      </c>
      <c r="B112" t="s">
        <v>1971</v>
      </c>
      <c r="C112" s="2">
        <v>195</v>
      </c>
      <c r="D112" t="s">
        <v>68</v>
      </c>
      <c r="E112" t="s">
        <v>1957</v>
      </c>
      <c r="F112" t="s">
        <v>580</v>
      </c>
      <c r="G112" s="5" t="s">
        <v>1972</v>
      </c>
      <c r="H112" t="s">
        <v>2437</v>
      </c>
      <c r="I112" s="6">
        <f t="shared" si="1"/>
        <v>90</v>
      </c>
      <c r="J112" s="2">
        <v>4600</v>
      </c>
      <c r="K112" s="2">
        <v>6.3</v>
      </c>
      <c r="L112" s="4">
        <v>189999</v>
      </c>
      <c r="M112" s="4">
        <v>74999</v>
      </c>
      <c r="N112" s="4">
        <v>6599</v>
      </c>
      <c r="O112" s="4">
        <v>799</v>
      </c>
      <c r="P112" s="4">
        <v>3199</v>
      </c>
      <c r="Q112" t="s">
        <v>2368</v>
      </c>
      <c r="R112">
        <v>2024</v>
      </c>
      <c r="T112" t="s">
        <v>628</v>
      </c>
      <c r="U112">
        <v>14</v>
      </c>
      <c r="V112" t="s">
        <v>2439</v>
      </c>
    </row>
    <row r="113" spans="1:22" x14ac:dyDescent="0.25">
      <c r="A113" t="s">
        <v>1923</v>
      </c>
      <c r="B113" t="s">
        <v>1973</v>
      </c>
      <c r="C113" s="2">
        <v>216</v>
      </c>
      <c r="D113" t="s">
        <v>375</v>
      </c>
      <c r="E113" t="s">
        <v>1957</v>
      </c>
      <c r="F113" t="s">
        <v>580</v>
      </c>
      <c r="G113" s="5" t="s">
        <v>1972</v>
      </c>
      <c r="H113" t="s">
        <v>2437</v>
      </c>
      <c r="I113" s="6">
        <f t="shared" si="1"/>
        <v>90</v>
      </c>
      <c r="J113" s="2">
        <v>5050</v>
      </c>
      <c r="K113" s="2">
        <v>6.7</v>
      </c>
      <c r="L113" s="4">
        <v>259999</v>
      </c>
      <c r="M113" s="4">
        <v>109999</v>
      </c>
      <c r="N113" s="4">
        <v>8799</v>
      </c>
      <c r="O113" s="4">
        <v>1099</v>
      </c>
      <c r="P113" s="4">
        <v>4199</v>
      </c>
      <c r="Q113" t="s">
        <v>2368</v>
      </c>
      <c r="R113">
        <v>2024</v>
      </c>
      <c r="T113" t="s">
        <v>929</v>
      </c>
      <c r="U113">
        <v>15</v>
      </c>
      <c r="V113" t="s">
        <v>2439</v>
      </c>
    </row>
    <row r="114" spans="1:22" x14ac:dyDescent="0.25">
      <c r="A114" t="s">
        <v>1923</v>
      </c>
      <c r="B114" t="s">
        <v>1975</v>
      </c>
      <c r="C114" s="2">
        <v>222</v>
      </c>
      <c r="D114" t="s">
        <v>759</v>
      </c>
      <c r="E114" t="s">
        <v>1957</v>
      </c>
      <c r="F114" t="s">
        <v>580</v>
      </c>
      <c r="G114" s="5" t="s">
        <v>1972</v>
      </c>
      <c r="H114" t="s">
        <v>2437</v>
      </c>
      <c r="I114" s="6">
        <f t="shared" si="1"/>
        <v>90</v>
      </c>
      <c r="J114" s="2">
        <v>5250</v>
      </c>
      <c r="K114" s="2">
        <v>6.8</v>
      </c>
      <c r="L114" s="4">
        <v>299999</v>
      </c>
      <c r="M114" s="4">
        <v>129999</v>
      </c>
      <c r="N114" s="4">
        <v>9799</v>
      </c>
      <c r="O114" s="4">
        <v>1299</v>
      </c>
      <c r="P114" s="4">
        <v>4999</v>
      </c>
      <c r="Q114" t="s">
        <v>2368</v>
      </c>
      <c r="R114">
        <v>2024</v>
      </c>
      <c r="T114" t="s">
        <v>1631</v>
      </c>
      <c r="U114">
        <v>14</v>
      </c>
      <c r="V114" t="s">
        <v>2439</v>
      </c>
    </row>
    <row r="115" spans="1:22" x14ac:dyDescent="0.25">
      <c r="A115" t="s">
        <v>1923</v>
      </c>
      <c r="B115" t="s">
        <v>1978</v>
      </c>
      <c r="C115" s="2">
        <v>250</v>
      </c>
      <c r="D115" t="s">
        <v>759</v>
      </c>
      <c r="E115" t="s">
        <v>1957</v>
      </c>
      <c r="F115" t="s">
        <v>580</v>
      </c>
      <c r="G115" s="5" t="s">
        <v>1972</v>
      </c>
      <c r="H115" t="s">
        <v>2437</v>
      </c>
      <c r="I115" s="6">
        <f t="shared" si="1"/>
        <v>90</v>
      </c>
      <c r="J115" s="2">
        <v>5500</v>
      </c>
      <c r="K115" s="2">
        <v>7.6</v>
      </c>
      <c r="L115" s="4">
        <v>399999</v>
      </c>
      <c r="M115" s="4">
        <v>179999</v>
      </c>
      <c r="N115" s="4">
        <v>13999</v>
      </c>
      <c r="O115" s="4">
        <v>1799</v>
      </c>
      <c r="P115" s="4">
        <v>6999</v>
      </c>
      <c r="Q115" t="s">
        <v>2368</v>
      </c>
      <c r="R115">
        <v>2024</v>
      </c>
      <c r="T115" t="s">
        <v>622</v>
      </c>
      <c r="U115">
        <v>18</v>
      </c>
      <c r="V115" t="s">
        <v>2439</v>
      </c>
    </row>
    <row r="116" spans="1:22" x14ac:dyDescent="0.25">
      <c r="A116" t="s">
        <v>1923</v>
      </c>
      <c r="B116" t="s">
        <v>1935</v>
      </c>
      <c r="C116" s="2">
        <v>143</v>
      </c>
      <c r="D116" t="s">
        <v>18</v>
      </c>
      <c r="E116" t="s">
        <v>307</v>
      </c>
      <c r="F116" t="s">
        <v>1926</v>
      </c>
      <c r="G116" s="5" t="s">
        <v>1936</v>
      </c>
      <c r="H116" t="s">
        <v>2438</v>
      </c>
      <c r="I116" s="6">
        <f t="shared" si="1"/>
        <v>45</v>
      </c>
      <c r="J116" s="2">
        <v>3140</v>
      </c>
      <c r="K116" s="2">
        <v>5.8</v>
      </c>
      <c r="L116" s="4">
        <v>89999</v>
      </c>
      <c r="M116" s="4">
        <v>31999</v>
      </c>
      <c r="N116" s="4">
        <v>2999</v>
      </c>
      <c r="O116" s="4">
        <v>349</v>
      </c>
      <c r="P116" s="4">
        <v>1399</v>
      </c>
      <c r="Q116" t="s">
        <v>2368</v>
      </c>
      <c r="R116">
        <v>2020</v>
      </c>
      <c r="T116" t="s">
        <v>2430</v>
      </c>
      <c r="U116">
        <v>22</v>
      </c>
      <c r="V116" t="s">
        <v>2439</v>
      </c>
    </row>
    <row r="117" spans="1:22" x14ac:dyDescent="0.25">
      <c r="A117" t="s">
        <v>1923</v>
      </c>
      <c r="B117" t="s">
        <v>1938</v>
      </c>
      <c r="C117" s="2">
        <v>168</v>
      </c>
      <c r="D117" t="s">
        <v>18</v>
      </c>
      <c r="E117" t="s">
        <v>307</v>
      </c>
      <c r="F117" t="s">
        <v>1926</v>
      </c>
      <c r="G117" s="5" t="s">
        <v>821</v>
      </c>
      <c r="H117" t="s">
        <v>2438</v>
      </c>
      <c r="I117" s="6">
        <f t="shared" si="1"/>
        <v>52</v>
      </c>
      <c r="J117" s="2">
        <v>3885</v>
      </c>
      <c r="K117" s="2">
        <v>6.2</v>
      </c>
      <c r="L117" s="4">
        <v>109999</v>
      </c>
      <c r="M117" s="4">
        <v>37999</v>
      </c>
      <c r="N117" s="4">
        <v>3799</v>
      </c>
      <c r="O117" s="4">
        <v>499</v>
      </c>
      <c r="P117" s="4">
        <v>1999</v>
      </c>
      <c r="Q117" t="s">
        <v>2368</v>
      </c>
      <c r="R117">
        <v>2020</v>
      </c>
      <c r="T117" t="s">
        <v>1623</v>
      </c>
      <c r="U117">
        <v>20</v>
      </c>
      <c r="V117" t="s">
        <v>2439</v>
      </c>
    </row>
    <row r="118" spans="1:22" x14ac:dyDescent="0.25">
      <c r="A118" t="s">
        <v>1923</v>
      </c>
      <c r="B118" t="s">
        <v>1941</v>
      </c>
      <c r="C118" s="2">
        <v>151</v>
      </c>
      <c r="D118" t="s">
        <v>68</v>
      </c>
      <c r="E118" t="s">
        <v>307</v>
      </c>
      <c r="F118" t="s">
        <v>1926</v>
      </c>
      <c r="G118" s="5" t="s">
        <v>821</v>
      </c>
      <c r="H118" t="s">
        <v>2438</v>
      </c>
      <c r="I118" s="6">
        <f t="shared" si="1"/>
        <v>52</v>
      </c>
      <c r="J118" s="2">
        <v>4080</v>
      </c>
      <c r="K118" s="2">
        <v>6</v>
      </c>
      <c r="L118" s="4">
        <v>139999</v>
      </c>
      <c r="M118" s="4">
        <v>49999</v>
      </c>
      <c r="N118" s="4">
        <v>4599</v>
      </c>
      <c r="O118" s="4">
        <v>699</v>
      </c>
      <c r="P118" s="4">
        <v>2799</v>
      </c>
      <c r="Q118" t="s">
        <v>2368</v>
      </c>
      <c r="R118">
        <v>2020</v>
      </c>
      <c r="T118" t="s">
        <v>1927</v>
      </c>
      <c r="U118">
        <v>22</v>
      </c>
      <c r="V118" t="s">
        <v>2439</v>
      </c>
    </row>
    <row r="119" spans="1:22" x14ac:dyDescent="0.25">
      <c r="A119" t="s">
        <v>1923</v>
      </c>
      <c r="B119" t="s">
        <v>1944</v>
      </c>
      <c r="C119" s="2">
        <v>183</v>
      </c>
      <c r="D119" t="s">
        <v>18</v>
      </c>
      <c r="E119" t="s">
        <v>307</v>
      </c>
      <c r="F119" t="s">
        <v>1926</v>
      </c>
      <c r="G119" s="5" t="s">
        <v>821</v>
      </c>
      <c r="H119" t="s">
        <v>2438</v>
      </c>
      <c r="I119" s="6">
        <f t="shared" si="1"/>
        <v>52</v>
      </c>
      <c r="J119" s="2">
        <v>4680</v>
      </c>
      <c r="K119" s="2">
        <v>6.34</v>
      </c>
      <c r="L119" s="4">
        <v>109999</v>
      </c>
      <c r="M119" s="4">
        <v>42999</v>
      </c>
      <c r="N119" s="4">
        <v>3999</v>
      </c>
      <c r="O119" s="4">
        <v>449</v>
      </c>
      <c r="P119" s="4">
        <v>1799</v>
      </c>
      <c r="Q119" t="s">
        <v>2368</v>
      </c>
      <c r="R119">
        <v>2021</v>
      </c>
      <c r="T119" t="s">
        <v>2427</v>
      </c>
      <c r="U119">
        <v>25</v>
      </c>
      <c r="V119" t="s">
        <v>2439</v>
      </c>
    </row>
    <row r="120" spans="1:22" x14ac:dyDescent="0.25">
      <c r="A120" t="s">
        <v>2134</v>
      </c>
      <c r="B120" t="s">
        <v>2165</v>
      </c>
      <c r="C120" s="2">
        <v>179</v>
      </c>
      <c r="D120" t="s">
        <v>18</v>
      </c>
      <c r="E120" t="s">
        <v>585</v>
      </c>
      <c r="F120" t="s">
        <v>907</v>
      </c>
      <c r="G120" s="5" t="s">
        <v>2373</v>
      </c>
      <c r="H120" t="s">
        <v>2439</v>
      </c>
      <c r="I120" s="6">
        <f t="shared" si="1"/>
        <v>18</v>
      </c>
      <c r="J120" s="2">
        <v>4000</v>
      </c>
      <c r="K120" s="2">
        <v>6.6</v>
      </c>
      <c r="L120" s="4">
        <v>54999</v>
      </c>
      <c r="M120" s="4">
        <v>22999</v>
      </c>
      <c r="N120" s="4">
        <v>1799</v>
      </c>
      <c r="O120" s="4">
        <v>299</v>
      </c>
      <c r="P120" s="4">
        <v>1199</v>
      </c>
      <c r="Q120" t="s">
        <v>2368</v>
      </c>
      <c r="R120">
        <v>2021</v>
      </c>
      <c r="T120" t="s">
        <v>1145</v>
      </c>
      <c r="U120">
        <v>35</v>
      </c>
      <c r="V120" t="s">
        <v>2438</v>
      </c>
    </row>
    <row r="121" spans="1:22" x14ac:dyDescent="0.25">
      <c r="A121" t="s">
        <v>2134</v>
      </c>
      <c r="B121" t="s">
        <v>2168</v>
      </c>
      <c r="C121" s="2">
        <v>191</v>
      </c>
      <c r="D121" t="s">
        <v>18</v>
      </c>
      <c r="E121" t="s">
        <v>307</v>
      </c>
      <c r="F121" t="s">
        <v>475</v>
      </c>
      <c r="G121" s="5" t="s">
        <v>2093</v>
      </c>
      <c r="H121" t="s">
        <v>2439</v>
      </c>
      <c r="I121" s="6">
        <f t="shared" si="1"/>
        <v>5</v>
      </c>
      <c r="J121" s="2">
        <v>5000</v>
      </c>
      <c r="K121" s="2">
        <v>6.5</v>
      </c>
      <c r="L121" s="4">
        <v>34999</v>
      </c>
      <c r="M121" s="4">
        <v>14999</v>
      </c>
      <c r="N121" s="4">
        <v>1499</v>
      </c>
      <c r="O121" s="4">
        <v>219</v>
      </c>
      <c r="P121" s="4">
        <v>799</v>
      </c>
      <c r="Q121" t="s">
        <v>2368</v>
      </c>
      <c r="R121">
        <v>2021</v>
      </c>
      <c r="T121" t="s">
        <v>924</v>
      </c>
      <c r="U121">
        <v>28</v>
      </c>
      <c r="V121" t="s">
        <v>2439</v>
      </c>
    </row>
    <row r="122" spans="1:22" x14ac:dyDescent="0.25">
      <c r="A122" t="s">
        <v>2134</v>
      </c>
      <c r="B122" t="s">
        <v>2183</v>
      </c>
      <c r="C122" s="2">
        <v>190</v>
      </c>
      <c r="D122" t="s">
        <v>18</v>
      </c>
      <c r="E122" t="s">
        <v>508</v>
      </c>
      <c r="F122" t="s">
        <v>475</v>
      </c>
      <c r="G122" s="5" t="s">
        <v>2398</v>
      </c>
      <c r="H122" t="s">
        <v>2439</v>
      </c>
      <c r="I122" s="6">
        <f t="shared" si="1"/>
        <v>3</v>
      </c>
      <c r="J122" s="2">
        <v>5000</v>
      </c>
      <c r="K122" s="2">
        <v>6.52</v>
      </c>
      <c r="L122" s="4">
        <v>29999</v>
      </c>
      <c r="M122" s="4">
        <v>12999</v>
      </c>
      <c r="N122" s="4">
        <v>1199</v>
      </c>
      <c r="O122" s="4">
        <v>179</v>
      </c>
      <c r="P122" s="4">
        <v>699</v>
      </c>
      <c r="Q122" t="s">
        <v>2368</v>
      </c>
      <c r="R122">
        <v>2022</v>
      </c>
      <c r="T122" t="s">
        <v>2426</v>
      </c>
      <c r="U122">
        <v>30</v>
      </c>
      <c r="V122" t="s">
        <v>2439</v>
      </c>
    </row>
    <row r="123" spans="1:22" x14ac:dyDescent="0.25">
      <c r="A123" t="s">
        <v>2134</v>
      </c>
      <c r="B123" t="s">
        <v>2185</v>
      </c>
      <c r="C123" s="2">
        <v>198</v>
      </c>
      <c r="D123" t="s">
        <v>18</v>
      </c>
      <c r="E123" t="s">
        <v>508</v>
      </c>
      <c r="F123" t="s">
        <v>475</v>
      </c>
      <c r="G123" s="5" t="s">
        <v>2373</v>
      </c>
      <c r="H123" t="s">
        <v>2439</v>
      </c>
      <c r="I123" s="6">
        <f t="shared" si="1"/>
        <v>18</v>
      </c>
      <c r="J123" s="2">
        <v>5000</v>
      </c>
      <c r="K123" s="2">
        <v>6.74</v>
      </c>
      <c r="L123" s="4">
        <v>39999</v>
      </c>
      <c r="M123" s="4">
        <v>16999</v>
      </c>
      <c r="N123" s="4">
        <v>1499</v>
      </c>
      <c r="O123" s="4">
        <v>229</v>
      </c>
      <c r="P123" s="4">
        <v>799</v>
      </c>
      <c r="Q123" t="s">
        <v>2368</v>
      </c>
      <c r="R123">
        <v>2022</v>
      </c>
      <c r="T123" t="s">
        <v>2294</v>
      </c>
      <c r="U123">
        <v>45</v>
      </c>
      <c r="V123" t="s">
        <v>2438</v>
      </c>
    </row>
    <row r="124" spans="1:22" x14ac:dyDescent="0.25">
      <c r="A124" t="s">
        <v>2134</v>
      </c>
      <c r="B124" t="s">
        <v>2202</v>
      </c>
      <c r="C124" s="2">
        <v>175</v>
      </c>
      <c r="D124" t="s">
        <v>18</v>
      </c>
      <c r="E124" t="s">
        <v>307</v>
      </c>
      <c r="F124" t="s">
        <v>580</v>
      </c>
      <c r="G124" s="5" t="s">
        <v>2373</v>
      </c>
      <c r="H124" t="s">
        <v>2439</v>
      </c>
      <c r="I124" s="6">
        <f t="shared" si="1"/>
        <v>18</v>
      </c>
      <c r="J124" s="2">
        <v>4000</v>
      </c>
      <c r="K124" s="2">
        <v>6.7</v>
      </c>
      <c r="L124" s="4">
        <v>49999</v>
      </c>
      <c r="M124" s="4">
        <v>22999</v>
      </c>
      <c r="N124" s="4">
        <v>1799</v>
      </c>
      <c r="O124" s="4">
        <v>279</v>
      </c>
      <c r="P124" s="4">
        <v>999</v>
      </c>
      <c r="Q124" t="s">
        <v>2368</v>
      </c>
      <c r="R124">
        <v>2022</v>
      </c>
      <c r="T124" t="s">
        <v>1936</v>
      </c>
      <c r="U124">
        <v>45</v>
      </c>
      <c r="V124" t="s">
        <v>2438</v>
      </c>
    </row>
    <row r="125" spans="1:22" x14ac:dyDescent="0.25">
      <c r="A125" t="s">
        <v>2134</v>
      </c>
      <c r="B125" t="s">
        <v>2203</v>
      </c>
      <c r="C125" s="2">
        <v>196</v>
      </c>
      <c r="D125" t="s">
        <v>162</v>
      </c>
      <c r="E125" t="s">
        <v>508</v>
      </c>
      <c r="F125" t="s">
        <v>475</v>
      </c>
      <c r="G125" s="5" t="s">
        <v>2380</v>
      </c>
      <c r="H125" t="s">
        <v>2439</v>
      </c>
      <c r="I125" s="6">
        <f t="shared" si="1"/>
        <v>6</v>
      </c>
      <c r="J125" s="2">
        <v>5200</v>
      </c>
      <c r="K125" s="2">
        <v>6.74</v>
      </c>
      <c r="L125" s="4">
        <v>29999</v>
      </c>
      <c r="M125" s="4">
        <v>12499</v>
      </c>
      <c r="N125" s="4">
        <v>1099</v>
      </c>
      <c r="O125" s="4">
        <v>159</v>
      </c>
      <c r="P125" s="4">
        <v>599</v>
      </c>
      <c r="Q125" t="s">
        <v>2368</v>
      </c>
      <c r="R125">
        <v>2023</v>
      </c>
      <c r="T125" t="s">
        <v>2296</v>
      </c>
      <c r="U125">
        <v>48</v>
      </c>
      <c r="V125" t="s">
        <v>2438</v>
      </c>
    </row>
    <row r="126" spans="1:22" x14ac:dyDescent="0.25">
      <c r="A126" t="s">
        <v>2134</v>
      </c>
      <c r="B126" t="s">
        <v>2204</v>
      </c>
      <c r="C126" s="2">
        <v>199</v>
      </c>
      <c r="D126" t="s">
        <v>18</v>
      </c>
      <c r="E126" t="s">
        <v>508</v>
      </c>
      <c r="F126" t="s">
        <v>475</v>
      </c>
      <c r="G126" s="5" t="s">
        <v>2381</v>
      </c>
      <c r="H126" t="s">
        <v>2439</v>
      </c>
      <c r="I126" s="6">
        <f t="shared" si="1"/>
        <v>20</v>
      </c>
      <c r="J126" s="2">
        <v>5200</v>
      </c>
      <c r="K126" s="2">
        <v>6.74</v>
      </c>
      <c r="L126" s="4">
        <v>34999</v>
      </c>
      <c r="M126" s="4">
        <v>14999</v>
      </c>
      <c r="N126" s="4">
        <v>1299</v>
      </c>
      <c r="O126" s="4">
        <v>199</v>
      </c>
      <c r="P126" s="4">
        <v>749</v>
      </c>
      <c r="Q126" t="s">
        <v>2368</v>
      </c>
      <c r="R126">
        <v>2023</v>
      </c>
      <c r="T126" t="s">
        <v>826</v>
      </c>
      <c r="U126">
        <v>50</v>
      </c>
      <c r="V126" t="s">
        <v>2438</v>
      </c>
    </row>
    <row r="127" spans="1:22" x14ac:dyDescent="0.25">
      <c r="A127" t="s">
        <v>2134</v>
      </c>
      <c r="B127" t="s">
        <v>2218</v>
      </c>
      <c r="C127" s="2">
        <v>185</v>
      </c>
      <c r="D127" t="s">
        <v>18</v>
      </c>
      <c r="E127" t="s">
        <v>307</v>
      </c>
      <c r="F127" t="s">
        <v>753</v>
      </c>
      <c r="G127" s="5" t="s">
        <v>1723</v>
      </c>
      <c r="H127" t="s">
        <v>2439</v>
      </c>
      <c r="I127" s="6">
        <f t="shared" si="1"/>
        <v>30</v>
      </c>
      <c r="J127" s="2">
        <v>5800</v>
      </c>
      <c r="K127" s="2">
        <v>6.78</v>
      </c>
      <c r="L127" s="4">
        <v>74999</v>
      </c>
      <c r="M127" s="4">
        <v>28999</v>
      </c>
      <c r="N127" s="4">
        <v>1599</v>
      </c>
      <c r="O127" s="4">
        <v>299</v>
      </c>
      <c r="P127" s="4">
        <v>1099</v>
      </c>
      <c r="Q127" t="s">
        <v>2368</v>
      </c>
      <c r="R127">
        <v>2023</v>
      </c>
      <c r="T127" t="s">
        <v>821</v>
      </c>
      <c r="U127">
        <v>52</v>
      </c>
      <c r="V127" t="s">
        <v>2438</v>
      </c>
    </row>
    <row r="128" spans="1:22" x14ac:dyDescent="0.25">
      <c r="A128" t="s">
        <v>2134</v>
      </c>
      <c r="B128" t="s">
        <v>2220</v>
      </c>
      <c r="C128" s="2">
        <v>179</v>
      </c>
      <c r="D128" t="s">
        <v>18</v>
      </c>
      <c r="E128" t="s">
        <v>307</v>
      </c>
      <c r="F128" t="s">
        <v>2221</v>
      </c>
      <c r="G128" s="5" t="s">
        <v>2381</v>
      </c>
      <c r="H128" t="s">
        <v>2439</v>
      </c>
      <c r="I128" s="6">
        <f t="shared" si="1"/>
        <v>20</v>
      </c>
      <c r="J128" s="2">
        <v>4500</v>
      </c>
      <c r="K128" s="2">
        <v>6.7</v>
      </c>
      <c r="L128" s="4">
        <v>54999</v>
      </c>
      <c r="M128" s="4">
        <v>21999</v>
      </c>
      <c r="N128" s="4">
        <v>1399</v>
      </c>
      <c r="O128" s="4">
        <v>249</v>
      </c>
      <c r="P128" s="4">
        <v>899</v>
      </c>
      <c r="Q128" t="s">
        <v>2368</v>
      </c>
      <c r="R128">
        <v>2023</v>
      </c>
      <c r="T128" t="s">
        <v>2411</v>
      </c>
      <c r="U128">
        <v>55</v>
      </c>
      <c r="V128" t="s">
        <v>2438</v>
      </c>
    </row>
    <row r="129" spans="1:22" x14ac:dyDescent="0.25">
      <c r="A129" t="s">
        <v>2134</v>
      </c>
      <c r="B129" t="s">
        <v>2222</v>
      </c>
      <c r="C129" s="2">
        <v>191</v>
      </c>
      <c r="D129" t="s">
        <v>162</v>
      </c>
      <c r="E129" t="s">
        <v>508</v>
      </c>
      <c r="F129" t="s">
        <v>475</v>
      </c>
      <c r="G129" s="5" t="s">
        <v>2382</v>
      </c>
      <c r="H129" t="s">
        <v>2439</v>
      </c>
      <c r="I129" s="6">
        <f t="shared" si="1"/>
        <v>5</v>
      </c>
      <c r="J129" s="2">
        <v>5000</v>
      </c>
      <c r="K129" s="2">
        <v>6.52</v>
      </c>
      <c r="L129" s="4">
        <v>27999</v>
      </c>
      <c r="M129" s="4">
        <v>11499</v>
      </c>
      <c r="N129" s="4">
        <v>999</v>
      </c>
      <c r="O129" s="4">
        <v>149</v>
      </c>
      <c r="P129" s="4">
        <v>549</v>
      </c>
      <c r="Q129" t="s">
        <v>2368</v>
      </c>
      <c r="R129">
        <v>2023</v>
      </c>
      <c r="T129" t="s">
        <v>708</v>
      </c>
      <c r="U129">
        <v>60</v>
      </c>
      <c r="V129" t="s">
        <v>2438</v>
      </c>
    </row>
    <row r="130" spans="1:22" x14ac:dyDescent="0.25">
      <c r="A130" t="s">
        <v>2134</v>
      </c>
      <c r="B130" t="s">
        <v>2224</v>
      </c>
      <c r="C130" s="2">
        <v>195</v>
      </c>
      <c r="D130" t="s">
        <v>18</v>
      </c>
      <c r="E130" t="s">
        <v>508</v>
      </c>
      <c r="F130" t="s">
        <v>580</v>
      </c>
      <c r="G130" s="5" t="s">
        <v>2383</v>
      </c>
      <c r="H130" t="s">
        <v>2439</v>
      </c>
      <c r="I130" s="6">
        <f t="shared" ref="I130:I193" si="2">_xlfn.XLOOKUP(G130, $T$2:$T$183,$U$2:$U$183,"Unknown",0)</f>
        <v>22</v>
      </c>
      <c r="J130" s="2">
        <v>5200</v>
      </c>
      <c r="K130" s="2">
        <v>6.74</v>
      </c>
      <c r="L130" s="4">
        <v>32999</v>
      </c>
      <c r="M130" s="4">
        <v>13999</v>
      </c>
      <c r="N130" s="4">
        <v>1199</v>
      </c>
      <c r="O130" s="4">
        <v>189</v>
      </c>
      <c r="P130" s="4">
        <v>699</v>
      </c>
      <c r="Q130" t="s">
        <v>2368</v>
      </c>
      <c r="R130">
        <v>2023</v>
      </c>
      <c r="T130" t="s">
        <v>2376</v>
      </c>
      <c r="U130">
        <v>62</v>
      </c>
      <c r="V130" t="s">
        <v>2438</v>
      </c>
    </row>
    <row r="131" spans="1:22" x14ac:dyDescent="0.25">
      <c r="A131" t="s">
        <v>2134</v>
      </c>
      <c r="B131" t="s">
        <v>2236</v>
      </c>
      <c r="C131" s="2">
        <v>185</v>
      </c>
      <c r="D131" t="s">
        <v>18</v>
      </c>
      <c r="E131" t="s">
        <v>307</v>
      </c>
      <c r="F131" t="s">
        <v>753</v>
      </c>
      <c r="G131" s="5" t="s">
        <v>1723</v>
      </c>
      <c r="H131" t="s">
        <v>2439</v>
      </c>
      <c r="I131" s="6">
        <f t="shared" si="2"/>
        <v>30</v>
      </c>
      <c r="J131" s="2">
        <v>5800</v>
      </c>
      <c r="K131" s="2">
        <v>6.78</v>
      </c>
      <c r="L131" s="4">
        <v>74999</v>
      </c>
      <c r="M131" s="4">
        <v>28999</v>
      </c>
      <c r="N131" s="4">
        <v>1599</v>
      </c>
      <c r="O131" s="4">
        <v>299</v>
      </c>
      <c r="P131" s="4">
        <v>1099</v>
      </c>
      <c r="Q131" t="s">
        <v>2368</v>
      </c>
      <c r="R131">
        <v>2023</v>
      </c>
      <c r="T131" t="s">
        <v>1771</v>
      </c>
      <c r="U131">
        <v>60</v>
      </c>
      <c r="V131" t="s">
        <v>2438</v>
      </c>
    </row>
    <row r="132" spans="1:22" x14ac:dyDescent="0.25">
      <c r="A132" t="s">
        <v>2134</v>
      </c>
      <c r="B132" t="s">
        <v>2237</v>
      </c>
      <c r="C132" s="2">
        <v>179</v>
      </c>
      <c r="D132" t="s">
        <v>18</v>
      </c>
      <c r="E132" t="s">
        <v>307</v>
      </c>
      <c r="F132" t="s">
        <v>2221</v>
      </c>
      <c r="G132" s="5" t="s">
        <v>2381</v>
      </c>
      <c r="H132" t="s">
        <v>2439</v>
      </c>
      <c r="I132" s="6">
        <f t="shared" si="2"/>
        <v>20</v>
      </c>
      <c r="J132" s="2">
        <v>4500</v>
      </c>
      <c r="K132" s="2">
        <v>6.7</v>
      </c>
      <c r="L132" s="4">
        <v>54999</v>
      </c>
      <c r="M132" s="4">
        <v>21999</v>
      </c>
      <c r="N132" s="4">
        <v>1399</v>
      </c>
      <c r="O132" s="4">
        <v>249</v>
      </c>
      <c r="P132" s="4">
        <v>899</v>
      </c>
      <c r="Q132" t="s">
        <v>2368</v>
      </c>
      <c r="R132">
        <v>2023</v>
      </c>
      <c r="T132" t="s">
        <v>749</v>
      </c>
      <c r="U132">
        <v>65</v>
      </c>
      <c r="V132" t="s">
        <v>2438</v>
      </c>
    </row>
    <row r="133" spans="1:22" x14ac:dyDescent="0.25">
      <c r="A133" t="s">
        <v>2134</v>
      </c>
      <c r="B133" t="s">
        <v>2238</v>
      </c>
      <c r="C133" s="2">
        <v>191</v>
      </c>
      <c r="D133" t="s">
        <v>162</v>
      </c>
      <c r="E133" t="s">
        <v>508</v>
      </c>
      <c r="F133" t="s">
        <v>475</v>
      </c>
      <c r="G133" s="5" t="s">
        <v>2382</v>
      </c>
      <c r="H133" t="s">
        <v>2439</v>
      </c>
      <c r="I133" s="6">
        <f t="shared" si="2"/>
        <v>5</v>
      </c>
      <c r="J133" s="2">
        <v>5000</v>
      </c>
      <c r="K133" s="2">
        <v>6.52</v>
      </c>
      <c r="L133" s="4">
        <v>27999</v>
      </c>
      <c r="M133" s="4">
        <v>11499</v>
      </c>
      <c r="N133" s="4">
        <v>999</v>
      </c>
      <c r="O133" s="4">
        <v>149</v>
      </c>
      <c r="P133" s="4">
        <v>549</v>
      </c>
      <c r="Q133" t="s">
        <v>2368</v>
      </c>
      <c r="R133">
        <v>2023</v>
      </c>
      <c r="T133" t="s">
        <v>1648</v>
      </c>
      <c r="U133">
        <v>55</v>
      </c>
      <c r="V133" t="s">
        <v>2438</v>
      </c>
    </row>
    <row r="134" spans="1:22" x14ac:dyDescent="0.25">
      <c r="A134" t="s">
        <v>2134</v>
      </c>
      <c r="B134" t="s">
        <v>2239</v>
      </c>
      <c r="C134" s="2">
        <v>195</v>
      </c>
      <c r="D134" t="s">
        <v>18</v>
      </c>
      <c r="E134" t="s">
        <v>508</v>
      </c>
      <c r="F134" t="s">
        <v>580</v>
      </c>
      <c r="G134" s="5" t="s">
        <v>2383</v>
      </c>
      <c r="H134" t="s">
        <v>2439</v>
      </c>
      <c r="I134" s="6">
        <f t="shared" si="2"/>
        <v>22</v>
      </c>
      <c r="J134" s="2">
        <v>5200</v>
      </c>
      <c r="K134" s="2">
        <v>6.74</v>
      </c>
      <c r="L134" s="4">
        <v>32999</v>
      </c>
      <c r="M134" s="4">
        <v>13999</v>
      </c>
      <c r="N134" s="4">
        <v>1199</v>
      </c>
      <c r="O134" s="4">
        <v>189</v>
      </c>
      <c r="P134" s="4">
        <v>699</v>
      </c>
      <c r="Q134" t="s">
        <v>2368</v>
      </c>
      <c r="R134">
        <v>2023</v>
      </c>
      <c r="T134" t="s">
        <v>1172</v>
      </c>
      <c r="U134">
        <v>60</v>
      </c>
      <c r="V134" t="s">
        <v>2438</v>
      </c>
    </row>
    <row r="135" spans="1:22" x14ac:dyDescent="0.25">
      <c r="A135" t="s">
        <v>2134</v>
      </c>
      <c r="B135" t="s">
        <v>2244</v>
      </c>
      <c r="C135" s="2">
        <v>460</v>
      </c>
      <c r="D135" t="s">
        <v>162</v>
      </c>
      <c r="E135" t="s">
        <v>686</v>
      </c>
      <c r="F135" t="s">
        <v>508</v>
      </c>
      <c r="G135" s="5" t="s">
        <v>1623</v>
      </c>
      <c r="H135" t="s">
        <v>2439</v>
      </c>
      <c r="I135" s="6">
        <f t="shared" si="2"/>
        <v>20</v>
      </c>
      <c r="J135" s="2">
        <v>5100</v>
      </c>
      <c r="K135" s="2">
        <v>10.1</v>
      </c>
      <c r="L135" s="4">
        <v>49999</v>
      </c>
      <c r="M135" s="4">
        <v>17999</v>
      </c>
      <c r="N135" s="4">
        <v>1299</v>
      </c>
      <c r="O135" s="4">
        <v>199</v>
      </c>
      <c r="P135" s="4">
        <v>749</v>
      </c>
      <c r="Q135" t="s">
        <v>2369</v>
      </c>
      <c r="R135">
        <v>2020</v>
      </c>
      <c r="T135" t="s">
        <v>2416</v>
      </c>
      <c r="U135">
        <v>70</v>
      </c>
      <c r="V135" t="s">
        <v>2438</v>
      </c>
    </row>
    <row r="136" spans="1:22" x14ac:dyDescent="0.25">
      <c r="A136" t="s">
        <v>2134</v>
      </c>
      <c r="B136" t="s">
        <v>2247</v>
      </c>
      <c r="C136" s="2">
        <v>460</v>
      </c>
      <c r="D136" t="s">
        <v>256</v>
      </c>
      <c r="E136" t="s">
        <v>686</v>
      </c>
      <c r="F136" t="s">
        <v>508</v>
      </c>
      <c r="G136" s="5" t="s">
        <v>2384</v>
      </c>
      <c r="H136" t="s">
        <v>2439</v>
      </c>
      <c r="I136" s="6">
        <f t="shared" si="2"/>
        <v>4</v>
      </c>
      <c r="J136" s="2">
        <v>5100</v>
      </c>
      <c r="K136" s="2">
        <v>9.6999999999999993</v>
      </c>
      <c r="L136" s="4">
        <v>39999</v>
      </c>
      <c r="M136" s="4">
        <v>14999</v>
      </c>
      <c r="N136" s="4">
        <v>999</v>
      </c>
      <c r="O136" s="4">
        <v>159</v>
      </c>
      <c r="P136" s="4">
        <v>599</v>
      </c>
      <c r="Q136" t="s">
        <v>2369</v>
      </c>
      <c r="R136">
        <v>2020</v>
      </c>
      <c r="T136" t="s">
        <v>2419</v>
      </c>
      <c r="U136">
        <v>48</v>
      </c>
      <c r="V136" t="s">
        <v>2438</v>
      </c>
    </row>
    <row r="137" spans="1:22" x14ac:dyDescent="0.25">
      <c r="A137" t="s">
        <v>2134</v>
      </c>
      <c r="B137" t="s">
        <v>2249</v>
      </c>
      <c r="C137" s="2">
        <v>460</v>
      </c>
      <c r="D137" t="s">
        <v>162</v>
      </c>
      <c r="E137" t="s">
        <v>686</v>
      </c>
      <c r="F137" t="s">
        <v>508</v>
      </c>
      <c r="G137" s="5" t="s">
        <v>2385</v>
      </c>
      <c r="H137" t="s">
        <v>2439</v>
      </c>
      <c r="I137" s="6">
        <f t="shared" si="2"/>
        <v>10</v>
      </c>
      <c r="J137" s="2">
        <v>5100</v>
      </c>
      <c r="K137" s="2">
        <v>10.1</v>
      </c>
      <c r="L137" s="4">
        <v>54999</v>
      </c>
      <c r="M137" s="4">
        <v>19999</v>
      </c>
      <c r="N137" s="4">
        <v>1399</v>
      </c>
      <c r="O137" s="4">
        <v>229</v>
      </c>
      <c r="P137" s="4">
        <v>849</v>
      </c>
      <c r="Q137" t="s">
        <v>2369</v>
      </c>
      <c r="R137">
        <v>2021</v>
      </c>
      <c r="T137" t="s">
        <v>1701</v>
      </c>
      <c r="U137">
        <v>50</v>
      </c>
      <c r="V137" t="s">
        <v>2438</v>
      </c>
    </row>
    <row r="138" spans="1:22" x14ac:dyDescent="0.25">
      <c r="A138" t="s">
        <v>2134</v>
      </c>
      <c r="B138" t="s">
        <v>2257</v>
      </c>
      <c r="C138" s="2">
        <v>460</v>
      </c>
      <c r="D138" t="s">
        <v>162</v>
      </c>
      <c r="E138" t="s">
        <v>686</v>
      </c>
      <c r="F138" t="s">
        <v>508</v>
      </c>
      <c r="G138" s="5" t="s">
        <v>2385</v>
      </c>
      <c r="H138" t="s">
        <v>2439</v>
      </c>
      <c r="I138" s="6">
        <f t="shared" si="2"/>
        <v>10</v>
      </c>
      <c r="J138" s="2">
        <v>5100</v>
      </c>
      <c r="K138" s="2">
        <v>10.1</v>
      </c>
      <c r="L138" s="4">
        <v>44999</v>
      </c>
      <c r="M138" s="4">
        <v>16999</v>
      </c>
      <c r="N138" s="4">
        <v>1199</v>
      </c>
      <c r="O138" s="4">
        <v>189</v>
      </c>
      <c r="P138" s="4">
        <v>699</v>
      </c>
      <c r="Q138" t="s">
        <v>2369</v>
      </c>
      <c r="R138">
        <v>2022</v>
      </c>
      <c r="T138" t="s">
        <v>1581</v>
      </c>
      <c r="U138">
        <v>58</v>
      </c>
      <c r="V138" t="s">
        <v>2438</v>
      </c>
    </row>
    <row r="139" spans="1:22" x14ac:dyDescent="0.25">
      <c r="A139" t="s">
        <v>2134</v>
      </c>
      <c r="B139" t="s">
        <v>2258</v>
      </c>
      <c r="C139" s="2">
        <v>450</v>
      </c>
      <c r="D139" t="s">
        <v>256</v>
      </c>
      <c r="E139" t="s">
        <v>686</v>
      </c>
      <c r="F139" t="s">
        <v>508</v>
      </c>
      <c r="G139" s="5" t="s">
        <v>2388</v>
      </c>
      <c r="H139" t="s">
        <v>2439</v>
      </c>
      <c r="I139" s="6">
        <f t="shared" si="2"/>
        <v>5</v>
      </c>
      <c r="J139" s="2">
        <v>5000</v>
      </c>
      <c r="K139" s="2">
        <v>9.6999999999999993</v>
      </c>
      <c r="L139" s="4">
        <v>34999</v>
      </c>
      <c r="M139" s="4">
        <v>12999</v>
      </c>
      <c r="N139" s="4">
        <v>999</v>
      </c>
      <c r="O139" s="4">
        <v>149</v>
      </c>
      <c r="P139" s="4">
        <v>549</v>
      </c>
      <c r="Q139" t="s">
        <v>2369</v>
      </c>
      <c r="R139">
        <v>2022</v>
      </c>
      <c r="T139" t="s">
        <v>1552</v>
      </c>
      <c r="U139">
        <v>100</v>
      </c>
      <c r="V139" t="s">
        <v>2437</v>
      </c>
    </row>
    <row r="140" spans="1:22" x14ac:dyDescent="0.25">
      <c r="A140" t="s">
        <v>2134</v>
      </c>
      <c r="B140" t="s">
        <v>2264</v>
      </c>
      <c r="C140" s="2">
        <v>550</v>
      </c>
      <c r="D140" t="s">
        <v>68</v>
      </c>
      <c r="E140" t="s">
        <v>307</v>
      </c>
      <c r="F140" t="s">
        <v>475</v>
      </c>
      <c r="G140" s="5" t="s">
        <v>1723</v>
      </c>
      <c r="H140" t="s">
        <v>2439</v>
      </c>
      <c r="I140" s="6">
        <f t="shared" si="2"/>
        <v>30</v>
      </c>
      <c r="J140" s="2">
        <v>8300</v>
      </c>
      <c r="K140" s="2">
        <v>12.1</v>
      </c>
      <c r="L140" s="4">
        <v>84999</v>
      </c>
      <c r="M140" s="4">
        <v>34999</v>
      </c>
      <c r="N140" s="4">
        <v>2299</v>
      </c>
      <c r="O140" s="4">
        <v>399</v>
      </c>
      <c r="P140" s="4">
        <v>1499</v>
      </c>
      <c r="Q140" t="s">
        <v>2369</v>
      </c>
      <c r="R140">
        <v>2024</v>
      </c>
      <c r="T140" t="s">
        <v>451</v>
      </c>
      <c r="U140">
        <v>90</v>
      </c>
      <c r="V140" t="s">
        <v>2437</v>
      </c>
    </row>
    <row r="141" spans="1:22" x14ac:dyDescent="0.25">
      <c r="A141" t="s">
        <v>2134</v>
      </c>
      <c r="B141" t="s">
        <v>2271</v>
      </c>
      <c r="C141" s="2">
        <v>460</v>
      </c>
      <c r="D141" t="s">
        <v>162</v>
      </c>
      <c r="E141" t="s">
        <v>686</v>
      </c>
      <c r="F141" t="s">
        <v>508</v>
      </c>
      <c r="G141" s="5" t="s">
        <v>2385</v>
      </c>
      <c r="H141" t="s">
        <v>2439</v>
      </c>
      <c r="I141" s="6">
        <f t="shared" si="2"/>
        <v>10</v>
      </c>
      <c r="J141" s="2">
        <v>5100</v>
      </c>
      <c r="K141" s="2">
        <v>10.1</v>
      </c>
      <c r="L141" s="4">
        <v>44999</v>
      </c>
      <c r="M141" s="4">
        <v>16999</v>
      </c>
      <c r="N141" s="4">
        <v>1199</v>
      </c>
      <c r="O141" s="4">
        <v>189</v>
      </c>
      <c r="P141" s="4">
        <v>699</v>
      </c>
      <c r="Q141" t="s">
        <v>2369</v>
      </c>
      <c r="R141">
        <v>2023</v>
      </c>
      <c r="T141" t="s">
        <v>401</v>
      </c>
      <c r="U141">
        <v>95</v>
      </c>
      <c r="V141" t="s">
        <v>2437</v>
      </c>
    </row>
    <row r="142" spans="1:22" x14ac:dyDescent="0.25">
      <c r="A142" t="s">
        <v>2134</v>
      </c>
      <c r="B142" t="s">
        <v>2278</v>
      </c>
      <c r="C142" s="2">
        <v>450</v>
      </c>
      <c r="D142" t="s">
        <v>162</v>
      </c>
      <c r="E142" t="s">
        <v>686</v>
      </c>
      <c r="F142" t="s">
        <v>508</v>
      </c>
      <c r="G142" s="5" t="s">
        <v>2388</v>
      </c>
      <c r="H142" t="s">
        <v>2439</v>
      </c>
      <c r="I142" s="6">
        <f t="shared" si="2"/>
        <v>5</v>
      </c>
      <c r="J142" s="2">
        <v>5000</v>
      </c>
      <c r="K142" s="2">
        <v>9.6999999999999993</v>
      </c>
      <c r="L142" s="4">
        <v>34999</v>
      </c>
      <c r="M142" s="4">
        <v>12999</v>
      </c>
      <c r="N142" s="4">
        <v>999</v>
      </c>
      <c r="O142" s="4">
        <v>149</v>
      </c>
      <c r="P142" s="4">
        <v>549</v>
      </c>
      <c r="Q142" t="s">
        <v>2369</v>
      </c>
      <c r="R142">
        <v>2023</v>
      </c>
      <c r="T142" t="s">
        <v>737</v>
      </c>
      <c r="U142">
        <v>100</v>
      </c>
      <c r="V142" t="s">
        <v>2437</v>
      </c>
    </row>
    <row r="143" spans="1:22" x14ac:dyDescent="0.25">
      <c r="A143" t="s">
        <v>2134</v>
      </c>
      <c r="B143" t="s">
        <v>2279</v>
      </c>
      <c r="C143" s="2">
        <v>460</v>
      </c>
      <c r="D143" t="s">
        <v>256</v>
      </c>
      <c r="E143" t="s">
        <v>686</v>
      </c>
      <c r="F143" t="s">
        <v>508</v>
      </c>
      <c r="G143" s="5" t="s">
        <v>2388</v>
      </c>
      <c r="H143" t="s">
        <v>2439</v>
      </c>
      <c r="I143" s="6">
        <f t="shared" si="2"/>
        <v>5</v>
      </c>
      <c r="J143" s="2">
        <v>5100</v>
      </c>
      <c r="K143" s="2">
        <v>9.6999999999999993</v>
      </c>
      <c r="L143" s="4">
        <v>29999</v>
      </c>
      <c r="M143" s="4">
        <v>10999</v>
      </c>
      <c r="N143" s="4">
        <v>799</v>
      </c>
      <c r="O143" s="4">
        <v>129</v>
      </c>
      <c r="P143" s="4">
        <v>499</v>
      </c>
      <c r="Q143" t="s">
        <v>2369</v>
      </c>
      <c r="R143">
        <v>2023</v>
      </c>
      <c r="T143" t="s">
        <v>767</v>
      </c>
      <c r="U143">
        <v>92</v>
      </c>
      <c r="V143" t="s">
        <v>2437</v>
      </c>
    </row>
    <row r="144" spans="1:22" x14ac:dyDescent="0.25">
      <c r="A144" t="s">
        <v>2134</v>
      </c>
      <c r="B144" t="s">
        <v>2140</v>
      </c>
      <c r="C144" s="2">
        <v>190</v>
      </c>
      <c r="D144" t="s">
        <v>68</v>
      </c>
      <c r="E144" t="s">
        <v>461</v>
      </c>
      <c r="F144" t="s">
        <v>580</v>
      </c>
      <c r="G144" s="5" t="s">
        <v>2141</v>
      </c>
      <c r="H144" t="s">
        <v>2437</v>
      </c>
      <c r="I144" s="6">
        <f t="shared" si="2"/>
        <v>80</v>
      </c>
      <c r="J144" s="2">
        <v>4000</v>
      </c>
      <c r="K144" s="2">
        <v>6.57</v>
      </c>
      <c r="L144" s="4">
        <v>94999</v>
      </c>
      <c r="M144" s="4">
        <v>39999</v>
      </c>
      <c r="N144" s="4">
        <v>3999</v>
      </c>
      <c r="O144" s="4">
        <v>599</v>
      </c>
      <c r="P144" s="4">
        <v>2199</v>
      </c>
      <c r="Q144" t="s">
        <v>2368</v>
      </c>
      <c r="R144">
        <v>2020</v>
      </c>
      <c r="T144" t="s">
        <v>1785</v>
      </c>
      <c r="U144">
        <v>92</v>
      </c>
      <c r="V144" t="s">
        <v>2437</v>
      </c>
    </row>
    <row r="145" spans="1:22" x14ac:dyDescent="0.25">
      <c r="A145" t="s">
        <v>2134</v>
      </c>
      <c r="B145" t="s">
        <v>2142</v>
      </c>
      <c r="C145" s="2">
        <v>192</v>
      </c>
      <c r="D145" t="s">
        <v>375</v>
      </c>
      <c r="E145" t="s">
        <v>461</v>
      </c>
      <c r="F145" t="s">
        <v>580</v>
      </c>
      <c r="G145" s="5" t="s">
        <v>2141</v>
      </c>
      <c r="H145" t="s">
        <v>2437</v>
      </c>
      <c r="I145" s="6">
        <f t="shared" si="2"/>
        <v>80</v>
      </c>
      <c r="J145" s="2">
        <v>4000</v>
      </c>
      <c r="K145" s="2">
        <v>6.57</v>
      </c>
      <c r="L145" s="4">
        <v>109999</v>
      </c>
      <c r="M145" s="4">
        <v>45999</v>
      </c>
      <c r="N145" s="4">
        <v>4499</v>
      </c>
      <c r="O145" s="4">
        <v>699</v>
      </c>
      <c r="P145" s="4">
        <v>2599</v>
      </c>
      <c r="Q145" t="s">
        <v>2368</v>
      </c>
      <c r="R145">
        <v>2020</v>
      </c>
      <c r="T145" t="s">
        <v>2330</v>
      </c>
      <c r="U145">
        <v>95</v>
      </c>
      <c r="V145" t="s">
        <v>2437</v>
      </c>
    </row>
    <row r="146" spans="1:22" x14ac:dyDescent="0.25">
      <c r="A146" t="s">
        <v>2134</v>
      </c>
      <c r="B146" t="s">
        <v>2155</v>
      </c>
      <c r="C146" s="2">
        <v>213</v>
      </c>
      <c r="D146" t="s">
        <v>68</v>
      </c>
      <c r="E146" t="s">
        <v>461</v>
      </c>
      <c r="F146" t="s">
        <v>1756</v>
      </c>
      <c r="G146" s="5" t="s">
        <v>2141</v>
      </c>
      <c r="H146" t="s">
        <v>2437</v>
      </c>
      <c r="I146" s="6">
        <f t="shared" si="2"/>
        <v>80</v>
      </c>
      <c r="J146" s="2">
        <v>4200</v>
      </c>
      <c r="K146" s="2">
        <v>6.57</v>
      </c>
      <c r="L146" s="4">
        <v>74999</v>
      </c>
      <c r="M146" s="4">
        <v>29999</v>
      </c>
      <c r="N146" s="4">
        <v>3499</v>
      </c>
      <c r="O146" s="4">
        <v>549</v>
      </c>
      <c r="P146" s="4">
        <v>1999</v>
      </c>
      <c r="Q146" t="s">
        <v>2368</v>
      </c>
      <c r="R146">
        <v>2020</v>
      </c>
      <c r="T146" t="s">
        <v>2415</v>
      </c>
      <c r="U146">
        <v>98</v>
      </c>
      <c r="V146" t="s">
        <v>2437</v>
      </c>
    </row>
    <row r="147" spans="1:22" x14ac:dyDescent="0.25">
      <c r="A147" t="s">
        <v>2134</v>
      </c>
      <c r="B147" t="s">
        <v>2169</v>
      </c>
      <c r="C147" s="2">
        <v>202</v>
      </c>
      <c r="D147" t="s">
        <v>68</v>
      </c>
      <c r="E147" t="s">
        <v>475</v>
      </c>
      <c r="F147" t="s">
        <v>580</v>
      </c>
      <c r="G147" s="5" t="s">
        <v>639</v>
      </c>
      <c r="H147" t="s">
        <v>2437</v>
      </c>
      <c r="I147" s="6">
        <f t="shared" si="2"/>
        <v>85</v>
      </c>
      <c r="J147" s="2">
        <v>4600</v>
      </c>
      <c r="K147" s="2">
        <v>6.76</v>
      </c>
      <c r="L147" s="4">
        <v>159999</v>
      </c>
      <c r="M147" s="4">
        <v>64999</v>
      </c>
      <c r="N147" s="4">
        <v>4599</v>
      </c>
      <c r="O147" s="4">
        <v>899</v>
      </c>
      <c r="P147" s="4">
        <v>3299</v>
      </c>
      <c r="Q147" t="s">
        <v>2368</v>
      </c>
      <c r="R147">
        <v>2021</v>
      </c>
      <c r="T147" t="s">
        <v>834</v>
      </c>
      <c r="U147">
        <v>75</v>
      </c>
      <c r="V147" t="s">
        <v>2437</v>
      </c>
    </row>
    <row r="148" spans="1:22" x14ac:dyDescent="0.25">
      <c r="A148" t="s">
        <v>2134</v>
      </c>
      <c r="B148" t="s">
        <v>2172</v>
      </c>
      <c r="C148" s="2">
        <v>213</v>
      </c>
      <c r="D148" t="s">
        <v>68</v>
      </c>
      <c r="E148" t="s">
        <v>475</v>
      </c>
      <c r="F148" t="s">
        <v>580</v>
      </c>
      <c r="G148" s="5" t="s">
        <v>2375</v>
      </c>
      <c r="H148" t="s">
        <v>2437</v>
      </c>
      <c r="I148" s="6">
        <f t="shared" si="2"/>
        <v>88</v>
      </c>
      <c r="J148" s="2">
        <v>4600</v>
      </c>
      <c r="K148" s="2">
        <v>6.76</v>
      </c>
      <c r="L148" s="4">
        <v>189999</v>
      </c>
      <c r="M148" s="4">
        <v>74999</v>
      </c>
      <c r="N148" s="4">
        <v>5499</v>
      </c>
      <c r="O148" s="4">
        <v>1099</v>
      </c>
      <c r="P148" s="4">
        <v>3999</v>
      </c>
      <c r="Q148" t="s">
        <v>2368</v>
      </c>
      <c r="R148">
        <v>2021</v>
      </c>
      <c r="T148" t="s">
        <v>795</v>
      </c>
      <c r="U148">
        <v>80</v>
      </c>
      <c r="V148" t="s">
        <v>2437</v>
      </c>
    </row>
    <row r="149" spans="1:22" x14ac:dyDescent="0.25">
      <c r="A149" t="s">
        <v>2134</v>
      </c>
      <c r="B149" t="s">
        <v>2174</v>
      </c>
      <c r="C149" s="2">
        <v>236</v>
      </c>
      <c r="D149" t="s">
        <v>375</v>
      </c>
      <c r="E149" t="s">
        <v>475</v>
      </c>
      <c r="F149" t="s">
        <v>580</v>
      </c>
      <c r="G149" s="5" t="s">
        <v>2375</v>
      </c>
      <c r="H149" t="s">
        <v>2437</v>
      </c>
      <c r="I149" s="6">
        <f t="shared" si="2"/>
        <v>88</v>
      </c>
      <c r="J149" s="2">
        <v>4600</v>
      </c>
      <c r="K149" s="2">
        <v>6.76</v>
      </c>
      <c r="L149" s="4">
        <v>219999</v>
      </c>
      <c r="M149" s="4">
        <v>84999</v>
      </c>
      <c r="N149" s="4">
        <v>6499</v>
      </c>
      <c r="O149" s="4">
        <v>1299</v>
      </c>
      <c r="P149" s="4">
        <v>4599</v>
      </c>
      <c r="Q149" t="s">
        <v>2368</v>
      </c>
      <c r="R149">
        <v>2021</v>
      </c>
      <c r="T149" t="s">
        <v>804</v>
      </c>
      <c r="U149">
        <v>82</v>
      </c>
      <c r="V149" t="s">
        <v>2437</v>
      </c>
    </row>
    <row r="150" spans="1:22" x14ac:dyDescent="0.25">
      <c r="A150" t="s">
        <v>2134</v>
      </c>
      <c r="B150" t="s">
        <v>2186</v>
      </c>
      <c r="C150" s="2">
        <v>199</v>
      </c>
      <c r="D150" t="s">
        <v>68</v>
      </c>
      <c r="E150" t="s">
        <v>19</v>
      </c>
      <c r="F150" t="s">
        <v>580</v>
      </c>
      <c r="G150" s="5" t="s">
        <v>451</v>
      </c>
      <c r="H150" t="s">
        <v>2437</v>
      </c>
      <c r="I150" s="6">
        <f t="shared" si="2"/>
        <v>90</v>
      </c>
      <c r="J150" s="2">
        <v>4800</v>
      </c>
      <c r="K150" s="2">
        <v>6.81</v>
      </c>
      <c r="L150" s="4">
        <v>179999</v>
      </c>
      <c r="M150" s="4">
        <v>72999</v>
      </c>
      <c r="N150" s="4">
        <v>4699</v>
      </c>
      <c r="O150" s="4">
        <v>899</v>
      </c>
      <c r="P150" s="4">
        <v>3299</v>
      </c>
      <c r="Q150" t="s">
        <v>2368</v>
      </c>
      <c r="R150">
        <v>2022</v>
      </c>
      <c r="T150" t="s">
        <v>639</v>
      </c>
      <c r="U150">
        <v>85</v>
      </c>
      <c r="V150" t="s">
        <v>2437</v>
      </c>
    </row>
    <row r="151" spans="1:22" x14ac:dyDescent="0.25">
      <c r="A151" t="s">
        <v>2134</v>
      </c>
      <c r="B151" t="s">
        <v>2189</v>
      </c>
      <c r="C151" s="2">
        <v>215</v>
      </c>
      <c r="D151" t="s">
        <v>68</v>
      </c>
      <c r="E151" t="s">
        <v>19</v>
      </c>
      <c r="F151" t="s">
        <v>580</v>
      </c>
      <c r="G151" s="5" t="s">
        <v>451</v>
      </c>
      <c r="H151" t="s">
        <v>2437</v>
      </c>
      <c r="I151" s="6">
        <f t="shared" si="2"/>
        <v>90</v>
      </c>
      <c r="J151" s="2">
        <v>4600</v>
      </c>
      <c r="K151" s="2">
        <v>6.81</v>
      </c>
      <c r="L151" s="4">
        <v>209999</v>
      </c>
      <c r="M151" s="4">
        <v>84999</v>
      </c>
      <c r="N151" s="4">
        <v>5499</v>
      </c>
      <c r="O151" s="4">
        <v>1099</v>
      </c>
      <c r="P151" s="4">
        <v>3999</v>
      </c>
      <c r="Q151" t="s">
        <v>2368</v>
      </c>
      <c r="R151">
        <v>2022</v>
      </c>
      <c r="T151" t="s">
        <v>1748</v>
      </c>
      <c r="U151">
        <v>85</v>
      </c>
      <c r="V151" t="s">
        <v>2437</v>
      </c>
    </row>
    <row r="152" spans="1:22" x14ac:dyDescent="0.25">
      <c r="A152" t="s">
        <v>2134</v>
      </c>
      <c r="B152" t="s">
        <v>2190</v>
      </c>
      <c r="C152" s="2">
        <v>242</v>
      </c>
      <c r="D152" t="s">
        <v>375</v>
      </c>
      <c r="E152" t="s">
        <v>19</v>
      </c>
      <c r="F152" t="s">
        <v>580</v>
      </c>
      <c r="G152" s="5" t="s">
        <v>451</v>
      </c>
      <c r="H152" t="s">
        <v>2437</v>
      </c>
      <c r="I152" s="6">
        <f t="shared" si="2"/>
        <v>90</v>
      </c>
      <c r="J152" s="2">
        <v>4600</v>
      </c>
      <c r="K152" s="2">
        <v>6.81</v>
      </c>
      <c r="L152" s="4">
        <v>249999</v>
      </c>
      <c r="M152" s="4">
        <v>99999</v>
      </c>
      <c r="N152" s="4">
        <v>6799</v>
      </c>
      <c r="O152" s="4">
        <v>1299</v>
      </c>
      <c r="P152" s="4">
        <v>4599</v>
      </c>
      <c r="Q152" t="s">
        <v>2368</v>
      </c>
      <c r="R152">
        <v>2022</v>
      </c>
      <c r="T152" t="s">
        <v>2375</v>
      </c>
      <c r="U152">
        <v>88</v>
      </c>
      <c r="V152" t="s">
        <v>2437</v>
      </c>
    </row>
    <row r="153" spans="1:22" x14ac:dyDescent="0.25">
      <c r="A153" t="s">
        <v>2134</v>
      </c>
      <c r="B153" t="s">
        <v>2192</v>
      </c>
      <c r="C153" s="2">
        <v>288</v>
      </c>
      <c r="D153" t="s">
        <v>375</v>
      </c>
      <c r="E153" t="s">
        <v>2194</v>
      </c>
      <c r="F153" t="s">
        <v>580</v>
      </c>
      <c r="G153" s="5" t="s">
        <v>451</v>
      </c>
      <c r="H153" t="s">
        <v>2437</v>
      </c>
      <c r="I153" s="6">
        <f t="shared" si="2"/>
        <v>90</v>
      </c>
      <c r="J153" s="2">
        <v>4750</v>
      </c>
      <c r="K153" s="2">
        <v>7.9</v>
      </c>
      <c r="L153" s="4">
        <v>349999</v>
      </c>
      <c r="M153" s="4">
        <v>149999</v>
      </c>
      <c r="N153" s="4">
        <v>9999</v>
      </c>
      <c r="O153" s="4">
        <v>1799</v>
      </c>
      <c r="P153" s="4">
        <v>6599</v>
      </c>
      <c r="Q153" t="s">
        <v>2368</v>
      </c>
      <c r="R153">
        <v>2022</v>
      </c>
      <c r="T153" t="s">
        <v>1727</v>
      </c>
      <c r="U153">
        <v>88</v>
      </c>
      <c r="V153" t="s">
        <v>2437</v>
      </c>
    </row>
    <row r="154" spans="1:22" x14ac:dyDescent="0.25">
      <c r="A154" t="s">
        <v>2134</v>
      </c>
      <c r="B154" t="s">
        <v>2200</v>
      </c>
      <c r="C154" s="2">
        <v>209</v>
      </c>
      <c r="D154" t="s">
        <v>375</v>
      </c>
      <c r="E154" t="s">
        <v>580</v>
      </c>
      <c r="F154" t="s">
        <v>2197</v>
      </c>
      <c r="G154" s="5" t="s">
        <v>2379</v>
      </c>
      <c r="H154" t="s">
        <v>2437</v>
      </c>
      <c r="I154" s="6">
        <f t="shared" si="2"/>
        <v>90</v>
      </c>
      <c r="J154" s="2">
        <v>4500</v>
      </c>
      <c r="K154" s="2">
        <v>6.78</v>
      </c>
      <c r="L154" s="4">
        <v>179999</v>
      </c>
      <c r="M154" s="4">
        <v>69999</v>
      </c>
      <c r="N154" s="4">
        <v>4299</v>
      </c>
      <c r="O154" s="4">
        <v>799</v>
      </c>
      <c r="P154" s="4">
        <v>3199</v>
      </c>
      <c r="Q154" t="s">
        <v>2368</v>
      </c>
      <c r="R154">
        <v>2022</v>
      </c>
      <c r="T154" t="s">
        <v>2440</v>
      </c>
      <c r="U154">
        <v>40</v>
      </c>
      <c r="V154" t="s">
        <v>2438</v>
      </c>
    </row>
    <row r="155" spans="1:22" x14ac:dyDescent="0.25">
      <c r="A155" t="s">
        <v>2134</v>
      </c>
      <c r="B155" t="s">
        <v>2205</v>
      </c>
      <c r="C155" s="2">
        <v>204</v>
      </c>
      <c r="D155" t="s">
        <v>68</v>
      </c>
      <c r="E155" t="s">
        <v>19</v>
      </c>
      <c r="F155" t="s">
        <v>580</v>
      </c>
      <c r="G155" s="5" t="s">
        <v>401</v>
      </c>
      <c r="H155" t="s">
        <v>2437</v>
      </c>
      <c r="I155" s="6">
        <f t="shared" si="2"/>
        <v>95</v>
      </c>
      <c r="J155" s="2">
        <v>5100</v>
      </c>
      <c r="K155" s="2">
        <v>6.81</v>
      </c>
      <c r="L155" s="4">
        <v>199999</v>
      </c>
      <c r="M155" s="4">
        <v>79999</v>
      </c>
      <c r="N155" s="4">
        <v>4999</v>
      </c>
      <c r="O155" s="4">
        <v>999</v>
      </c>
      <c r="P155" s="4">
        <v>3599</v>
      </c>
      <c r="Q155" t="s">
        <v>2368</v>
      </c>
      <c r="R155">
        <v>2023</v>
      </c>
      <c r="T155" t="s">
        <v>1723</v>
      </c>
      <c r="U155">
        <v>30</v>
      </c>
      <c r="V155" t="s">
        <v>2439</v>
      </c>
    </row>
    <row r="156" spans="1:22" x14ac:dyDescent="0.25">
      <c r="A156" t="s">
        <v>2134</v>
      </c>
      <c r="B156" t="s">
        <v>2206</v>
      </c>
      <c r="C156" s="2">
        <v>219</v>
      </c>
      <c r="D156" t="s">
        <v>375</v>
      </c>
      <c r="E156" t="s">
        <v>19</v>
      </c>
      <c r="F156" t="s">
        <v>580</v>
      </c>
      <c r="G156" s="5" t="s">
        <v>401</v>
      </c>
      <c r="H156" t="s">
        <v>2437</v>
      </c>
      <c r="I156" s="6">
        <f t="shared" si="2"/>
        <v>95</v>
      </c>
      <c r="J156" s="2">
        <v>5100</v>
      </c>
      <c r="K156" s="2">
        <v>6.81</v>
      </c>
      <c r="L156" s="4">
        <v>249999</v>
      </c>
      <c r="M156" s="4">
        <v>99999</v>
      </c>
      <c r="N156" s="4">
        <v>6199</v>
      </c>
      <c r="O156" s="4">
        <v>1199</v>
      </c>
      <c r="P156" s="4">
        <v>4399</v>
      </c>
      <c r="Q156" t="s">
        <v>2368</v>
      </c>
      <c r="R156">
        <v>2023</v>
      </c>
      <c r="T156" t="s">
        <v>1676</v>
      </c>
      <c r="U156">
        <v>35</v>
      </c>
      <c r="V156" t="s">
        <v>2439</v>
      </c>
    </row>
    <row r="157" spans="1:22" x14ac:dyDescent="0.25">
      <c r="A157" t="s">
        <v>2134</v>
      </c>
      <c r="B157" t="s">
        <v>2208</v>
      </c>
      <c r="C157" s="2">
        <v>234</v>
      </c>
      <c r="D157" t="s">
        <v>759</v>
      </c>
      <c r="E157" t="s">
        <v>19</v>
      </c>
      <c r="F157" t="s">
        <v>580</v>
      </c>
      <c r="G157" s="5" t="s">
        <v>401</v>
      </c>
      <c r="H157" t="s">
        <v>2437</v>
      </c>
      <c r="I157" s="6">
        <f t="shared" si="2"/>
        <v>95</v>
      </c>
      <c r="J157" s="2">
        <v>5450</v>
      </c>
      <c r="K157" s="2">
        <v>6.81</v>
      </c>
      <c r="L157" s="4">
        <v>299999</v>
      </c>
      <c r="M157" s="4">
        <v>119999</v>
      </c>
      <c r="N157" s="4">
        <v>7499</v>
      </c>
      <c r="O157" s="4">
        <v>1399</v>
      </c>
      <c r="P157" s="4">
        <v>5199</v>
      </c>
      <c r="Q157" t="s">
        <v>2368</v>
      </c>
      <c r="R157">
        <v>2023</v>
      </c>
      <c r="T157" t="s">
        <v>2409</v>
      </c>
      <c r="U157">
        <v>25</v>
      </c>
      <c r="V157" t="s">
        <v>2439</v>
      </c>
    </row>
    <row r="158" spans="1:22" x14ac:dyDescent="0.25">
      <c r="A158" t="s">
        <v>2134</v>
      </c>
      <c r="B158" t="s">
        <v>2210</v>
      </c>
      <c r="C158" s="2">
        <v>267</v>
      </c>
      <c r="D158" t="s">
        <v>375</v>
      </c>
      <c r="E158" t="s">
        <v>585</v>
      </c>
      <c r="F158" t="s">
        <v>580</v>
      </c>
      <c r="G158" s="5" t="s">
        <v>767</v>
      </c>
      <c r="H158" t="s">
        <v>2437</v>
      </c>
      <c r="I158" s="6">
        <f t="shared" si="2"/>
        <v>92</v>
      </c>
      <c r="J158" s="2">
        <v>5000</v>
      </c>
      <c r="K158" s="2">
        <v>7.9</v>
      </c>
      <c r="L158" s="4">
        <v>369999</v>
      </c>
      <c r="M158" s="4">
        <v>149999</v>
      </c>
      <c r="N158" s="4">
        <v>9999</v>
      </c>
      <c r="O158" s="4">
        <v>1699</v>
      </c>
      <c r="P158" s="4">
        <v>6199</v>
      </c>
      <c r="Q158" t="s">
        <v>2368</v>
      </c>
      <c r="R158">
        <v>2023</v>
      </c>
      <c r="T158" t="s">
        <v>1698</v>
      </c>
      <c r="U158">
        <v>28</v>
      </c>
      <c r="V158" t="s">
        <v>2439</v>
      </c>
    </row>
    <row r="159" spans="1:22" x14ac:dyDescent="0.25">
      <c r="A159" t="s">
        <v>2134</v>
      </c>
      <c r="B159" t="s">
        <v>2216</v>
      </c>
      <c r="C159" s="2">
        <v>193</v>
      </c>
      <c r="D159" t="s">
        <v>375</v>
      </c>
      <c r="E159" t="s">
        <v>580</v>
      </c>
      <c r="F159" t="s">
        <v>2215</v>
      </c>
      <c r="G159" s="5" t="s">
        <v>767</v>
      </c>
      <c r="H159" t="s">
        <v>2437</v>
      </c>
      <c r="I159" s="6">
        <f t="shared" si="2"/>
        <v>92</v>
      </c>
      <c r="J159" s="2">
        <v>4800</v>
      </c>
      <c r="K159" s="2">
        <v>6.78</v>
      </c>
      <c r="L159" s="4">
        <v>169999</v>
      </c>
      <c r="M159" s="4">
        <v>69999</v>
      </c>
      <c r="N159" s="4">
        <v>4199</v>
      </c>
      <c r="O159" s="4">
        <v>799</v>
      </c>
      <c r="P159" s="4">
        <v>3099</v>
      </c>
      <c r="Q159" t="s">
        <v>2368</v>
      </c>
      <c r="R159">
        <v>2022</v>
      </c>
      <c r="T159" t="s">
        <v>1161</v>
      </c>
      <c r="U159">
        <v>26</v>
      </c>
      <c r="V159" t="s">
        <v>2439</v>
      </c>
    </row>
    <row r="160" spans="1:22" x14ac:dyDescent="0.25">
      <c r="A160" t="s">
        <v>2134</v>
      </c>
      <c r="B160" t="s">
        <v>2225</v>
      </c>
      <c r="C160" s="2">
        <v>203</v>
      </c>
      <c r="D160" t="s">
        <v>68</v>
      </c>
      <c r="E160" t="s">
        <v>19</v>
      </c>
      <c r="F160" t="s">
        <v>580</v>
      </c>
      <c r="G160" s="5" t="s">
        <v>737</v>
      </c>
      <c r="H160" t="s">
        <v>2437</v>
      </c>
      <c r="I160" s="6">
        <f t="shared" si="2"/>
        <v>100</v>
      </c>
      <c r="J160" s="2">
        <v>5200</v>
      </c>
      <c r="K160" s="2">
        <v>6.81</v>
      </c>
      <c r="L160" s="4">
        <v>219999</v>
      </c>
      <c r="M160" s="4">
        <v>89999</v>
      </c>
      <c r="N160" s="4">
        <v>5499</v>
      </c>
      <c r="O160" s="4">
        <v>1099</v>
      </c>
      <c r="P160" s="4">
        <v>3999</v>
      </c>
      <c r="Q160" t="s">
        <v>2368</v>
      </c>
      <c r="R160">
        <v>2024</v>
      </c>
      <c r="T160" t="s">
        <v>721</v>
      </c>
      <c r="U160">
        <v>1</v>
      </c>
      <c r="V160" t="s">
        <v>2439</v>
      </c>
    </row>
    <row r="161" spans="1:22" x14ac:dyDescent="0.25">
      <c r="A161" t="s">
        <v>2134</v>
      </c>
      <c r="B161" t="s">
        <v>2227</v>
      </c>
      <c r="C161" s="2">
        <v>219</v>
      </c>
      <c r="D161" t="s">
        <v>375</v>
      </c>
      <c r="E161" t="s">
        <v>19</v>
      </c>
      <c r="F161" t="s">
        <v>580</v>
      </c>
      <c r="G161" s="5" t="s">
        <v>737</v>
      </c>
      <c r="H161" t="s">
        <v>2437</v>
      </c>
      <c r="I161" s="6">
        <f t="shared" si="2"/>
        <v>100</v>
      </c>
      <c r="J161" s="2">
        <v>5500</v>
      </c>
      <c r="K161" s="2">
        <v>6.81</v>
      </c>
      <c r="L161" s="4">
        <v>269999</v>
      </c>
      <c r="M161" s="4">
        <v>109999</v>
      </c>
      <c r="N161" s="4">
        <v>6999</v>
      </c>
      <c r="O161" s="4">
        <v>1299</v>
      </c>
      <c r="P161" s="4">
        <v>4699</v>
      </c>
      <c r="Q161" t="s">
        <v>2368</v>
      </c>
      <c r="R161">
        <v>2024</v>
      </c>
      <c r="T161" t="s">
        <v>1997</v>
      </c>
      <c r="U161">
        <v>2</v>
      </c>
      <c r="V161" t="s">
        <v>2439</v>
      </c>
    </row>
    <row r="162" spans="1:22" x14ac:dyDescent="0.25">
      <c r="A162" t="s">
        <v>2134</v>
      </c>
      <c r="B162" t="s">
        <v>2228</v>
      </c>
      <c r="C162" s="2">
        <v>234</v>
      </c>
      <c r="D162" t="s">
        <v>759</v>
      </c>
      <c r="E162" t="s">
        <v>19</v>
      </c>
      <c r="F162" t="s">
        <v>580</v>
      </c>
      <c r="G162" s="5" t="s">
        <v>737</v>
      </c>
      <c r="H162" t="s">
        <v>2437</v>
      </c>
      <c r="I162" s="6">
        <f t="shared" si="2"/>
        <v>100</v>
      </c>
      <c r="J162" s="2">
        <v>5550</v>
      </c>
      <c r="K162" s="2">
        <v>6.81</v>
      </c>
      <c r="L162" s="4">
        <v>319999</v>
      </c>
      <c r="M162" s="4">
        <v>129999</v>
      </c>
      <c r="N162" s="4">
        <v>8199</v>
      </c>
      <c r="O162" s="4">
        <v>1499</v>
      </c>
      <c r="P162" s="4">
        <v>5499</v>
      </c>
      <c r="Q162" t="s">
        <v>2368</v>
      </c>
      <c r="R162">
        <v>2024</v>
      </c>
      <c r="T162" t="s">
        <v>1626</v>
      </c>
      <c r="U162">
        <v>3</v>
      </c>
      <c r="V162" t="s">
        <v>2439</v>
      </c>
    </row>
    <row r="163" spans="1:22" x14ac:dyDescent="0.25">
      <c r="A163" t="s">
        <v>2134</v>
      </c>
      <c r="B163" t="s">
        <v>2230</v>
      </c>
      <c r="C163" s="2">
        <v>231</v>
      </c>
      <c r="D163" t="s">
        <v>375</v>
      </c>
      <c r="E163" t="s">
        <v>585</v>
      </c>
      <c r="F163" t="s">
        <v>580</v>
      </c>
      <c r="G163" s="5" t="s">
        <v>401</v>
      </c>
      <c r="H163" t="s">
        <v>2437</v>
      </c>
      <c r="I163" s="6">
        <f t="shared" si="2"/>
        <v>95</v>
      </c>
      <c r="J163" s="2">
        <v>5000</v>
      </c>
      <c r="K163" s="2">
        <v>7.92</v>
      </c>
      <c r="L163" s="4">
        <v>389999</v>
      </c>
      <c r="M163" s="4">
        <v>159999</v>
      </c>
      <c r="N163" s="4">
        <v>10999</v>
      </c>
      <c r="O163" s="4">
        <v>1899</v>
      </c>
      <c r="P163" s="4">
        <v>6999</v>
      </c>
      <c r="Q163" t="s">
        <v>2368</v>
      </c>
      <c r="R163">
        <v>2024</v>
      </c>
      <c r="T163" t="s">
        <v>1714</v>
      </c>
      <c r="U163">
        <v>4</v>
      </c>
      <c r="V163" t="s">
        <v>2439</v>
      </c>
    </row>
    <row r="164" spans="1:22" x14ac:dyDescent="0.25">
      <c r="A164" t="s">
        <v>2134</v>
      </c>
      <c r="B164" t="s">
        <v>2234</v>
      </c>
      <c r="C164" s="2">
        <v>192</v>
      </c>
      <c r="D164" t="s">
        <v>375</v>
      </c>
      <c r="E164" t="s">
        <v>580</v>
      </c>
      <c r="F164" t="s">
        <v>897</v>
      </c>
      <c r="G164" s="5" t="s">
        <v>767</v>
      </c>
      <c r="H164" t="s">
        <v>2437</v>
      </c>
      <c r="I164" s="6">
        <f t="shared" si="2"/>
        <v>92</v>
      </c>
      <c r="J164" s="2">
        <v>5000</v>
      </c>
      <c r="K164" s="2">
        <v>6.78</v>
      </c>
      <c r="L164" s="4">
        <v>169999</v>
      </c>
      <c r="M164" s="4">
        <v>64999</v>
      </c>
      <c r="N164" s="4">
        <v>3999</v>
      </c>
      <c r="O164" s="4">
        <v>699</v>
      </c>
      <c r="P164" s="4">
        <v>2799</v>
      </c>
      <c r="Q164" t="s">
        <v>2368</v>
      </c>
      <c r="R164">
        <v>2023</v>
      </c>
      <c r="T164" t="s">
        <v>2093</v>
      </c>
      <c r="U164">
        <v>5</v>
      </c>
      <c r="V164" t="s">
        <v>2439</v>
      </c>
    </row>
    <row r="165" spans="1:22" x14ac:dyDescent="0.25">
      <c r="A165" t="s">
        <v>2134</v>
      </c>
      <c r="B165" t="s">
        <v>2240</v>
      </c>
      <c r="C165" s="2">
        <v>203</v>
      </c>
      <c r="D165" t="s">
        <v>68</v>
      </c>
      <c r="E165" t="s">
        <v>19</v>
      </c>
      <c r="F165" t="s">
        <v>580</v>
      </c>
      <c r="G165" s="5" t="s">
        <v>737</v>
      </c>
      <c r="H165" t="s">
        <v>2437</v>
      </c>
      <c r="I165" s="6">
        <f t="shared" si="2"/>
        <v>100</v>
      </c>
      <c r="J165" s="2">
        <v>5200</v>
      </c>
      <c r="K165" s="2">
        <v>6.81</v>
      </c>
      <c r="L165" s="4">
        <v>219999</v>
      </c>
      <c r="M165" s="4">
        <v>89999</v>
      </c>
      <c r="N165" s="4">
        <v>5499</v>
      </c>
      <c r="O165" s="4">
        <v>1099</v>
      </c>
      <c r="P165" s="4">
        <v>3999</v>
      </c>
      <c r="Q165" t="s">
        <v>2368</v>
      </c>
      <c r="R165">
        <v>2024</v>
      </c>
      <c r="T165" t="s">
        <v>1469</v>
      </c>
      <c r="U165">
        <v>6</v>
      </c>
      <c r="V165" t="s">
        <v>2439</v>
      </c>
    </row>
    <row r="166" spans="1:22" x14ac:dyDescent="0.25">
      <c r="A166" t="s">
        <v>2134</v>
      </c>
      <c r="B166" t="s">
        <v>2241</v>
      </c>
      <c r="C166" s="2">
        <v>219</v>
      </c>
      <c r="D166" t="s">
        <v>375</v>
      </c>
      <c r="E166" t="s">
        <v>19</v>
      </c>
      <c r="F166" t="s">
        <v>580</v>
      </c>
      <c r="G166" s="5" t="s">
        <v>737</v>
      </c>
      <c r="H166" t="s">
        <v>2437</v>
      </c>
      <c r="I166" s="6">
        <f t="shared" si="2"/>
        <v>100</v>
      </c>
      <c r="J166" s="2">
        <v>5500</v>
      </c>
      <c r="K166" s="2">
        <v>6.81</v>
      </c>
      <c r="L166" s="4">
        <v>269999</v>
      </c>
      <c r="M166" s="4">
        <v>109999</v>
      </c>
      <c r="N166" s="4">
        <v>6999</v>
      </c>
      <c r="O166" s="4">
        <v>1299</v>
      </c>
      <c r="P166" s="4">
        <v>4699</v>
      </c>
      <c r="Q166" t="s">
        <v>2368</v>
      </c>
      <c r="R166">
        <v>2024</v>
      </c>
      <c r="T166" t="s">
        <v>1536</v>
      </c>
      <c r="U166">
        <v>8</v>
      </c>
      <c r="V166" t="s">
        <v>2439</v>
      </c>
    </row>
    <row r="167" spans="1:22" x14ac:dyDescent="0.25">
      <c r="A167" t="s">
        <v>2134</v>
      </c>
      <c r="B167" t="s">
        <v>2242</v>
      </c>
      <c r="C167" s="2">
        <v>234</v>
      </c>
      <c r="D167" t="s">
        <v>759</v>
      </c>
      <c r="E167" t="s">
        <v>19</v>
      </c>
      <c r="F167" t="s">
        <v>580</v>
      </c>
      <c r="G167" s="5" t="s">
        <v>737</v>
      </c>
      <c r="H167" t="s">
        <v>2437</v>
      </c>
      <c r="I167" s="6">
        <f t="shared" si="2"/>
        <v>100</v>
      </c>
      <c r="J167" s="2">
        <v>5550</v>
      </c>
      <c r="K167" s="2">
        <v>6.81</v>
      </c>
      <c r="L167" s="4">
        <v>319999</v>
      </c>
      <c r="M167" s="4">
        <v>129999</v>
      </c>
      <c r="N167" s="4">
        <v>8199</v>
      </c>
      <c r="O167" s="4">
        <v>1499</v>
      </c>
      <c r="P167" s="4">
        <v>5499</v>
      </c>
      <c r="Q167" t="s">
        <v>2368</v>
      </c>
      <c r="R167">
        <v>2024</v>
      </c>
      <c r="T167" t="s">
        <v>692</v>
      </c>
      <c r="U167">
        <v>10</v>
      </c>
      <c r="V167" t="s">
        <v>2439</v>
      </c>
    </row>
    <row r="168" spans="1:22" x14ac:dyDescent="0.25">
      <c r="A168" t="s">
        <v>2134</v>
      </c>
      <c r="B168" t="s">
        <v>2243</v>
      </c>
      <c r="C168" s="2">
        <v>231</v>
      </c>
      <c r="D168" t="s">
        <v>375</v>
      </c>
      <c r="E168" t="s">
        <v>585</v>
      </c>
      <c r="F168" t="s">
        <v>580</v>
      </c>
      <c r="G168" s="5" t="s">
        <v>401</v>
      </c>
      <c r="H168" t="s">
        <v>2437</v>
      </c>
      <c r="I168" s="6">
        <f t="shared" si="2"/>
        <v>95</v>
      </c>
      <c r="J168" s="2">
        <v>5000</v>
      </c>
      <c r="K168" s="2">
        <v>7.92</v>
      </c>
      <c r="L168" s="4">
        <v>389999</v>
      </c>
      <c r="M168" s="4">
        <v>159999</v>
      </c>
      <c r="N168" s="4">
        <v>10999</v>
      </c>
      <c r="O168" s="4">
        <v>1899</v>
      </c>
      <c r="P168" s="4">
        <v>6999</v>
      </c>
      <c r="Q168" t="s">
        <v>2368</v>
      </c>
      <c r="R168">
        <v>2024</v>
      </c>
      <c r="T168" t="s">
        <v>1619</v>
      </c>
      <c r="U168">
        <v>12</v>
      </c>
      <c r="V168" t="s">
        <v>2439</v>
      </c>
    </row>
    <row r="169" spans="1:22" x14ac:dyDescent="0.25">
      <c r="A169" t="s">
        <v>2134</v>
      </c>
      <c r="B169" t="s">
        <v>2261</v>
      </c>
      <c r="C169" s="2">
        <v>530</v>
      </c>
      <c r="D169" t="s">
        <v>68</v>
      </c>
      <c r="E169" t="s">
        <v>307</v>
      </c>
      <c r="F169" t="s">
        <v>475</v>
      </c>
      <c r="G169" s="5" t="s">
        <v>2379</v>
      </c>
      <c r="H169" t="s">
        <v>2437</v>
      </c>
      <c r="I169" s="6">
        <f t="shared" si="2"/>
        <v>90</v>
      </c>
      <c r="J169" s="2">
        <v>8500</v>
      </c>
      <c r="K169" s="2">
        <v>12.1</v>
      </c>
      <c r="L169" s="4">
        <v>129999</v>
      </c>
      <c r="M169" s="4">
        <v>54999</v>
      </c>
      <c r="N169" s="4">
        <v>3599</v>
      </c>
      <c r="O169" s="4">
        <v>649</v>
      </c>
      <c r="P169" s="4">
        <v>2299</v>
      </c>
      <c r="Q169" t="s">
        <v>2369</v>
      </c>
      <c r="R169">
        <v>2023</v>
      </c>
      <c r="T169" t="s">
        <v>1694</v>
      </c>
      <c r="U169">
        <v>15</v>
      </c>
      <c r="V169" t="s">
        <v>2439</v>
      </c>
    </row>
    <row r="170" spans="1:22" x14ac:dyDescent="0.25">
      <c r="A170" t="s">
        <v>2134</v>
      </c>
      <c r="B170" t="s">
        <v>2272</v>
      </c>
      <c r="C170" s="2">
        <v>590</v>
      </c>
      <c r="D170" t="s">
        <v>375</v>
      </c>
      <c r="E170" t="s">
        <v>307</v>
      </c>
      <c r="F170" t="s">
        <v>475</v>
      </c>
      <c r="G170" s="5" t="s">
        <v>767</v>
      </c>
      <c r="H170" t="s">
        <v>2437</v>
      </c>
      <c r="I170" s="6">
        <f t="shared" si="2"/>
        <v>92</v>
      </c>
      <c r="J170" s="2">
        <v>10000</v>
      </c>
      <c r="K170" s="2">
        <v>13</v>
      </c>
      <c r="L170" s="4">
        <v>149999</v>
      </c>
      <c r="M170" s="4">
        <v>64999</v>
      </c>
      <c r="N170" s="4">
        <v>3999</v>
      </c>
      <c r="O170" s="4">
        <v>799</v>
      </c>
      <c r="P170" s="4">
        <v>2999</v>
      </c>
      <c r="Q170" t="s">
        <v>2369</v>
      </c>
      <c r="R170">
        <v>2023</v>
      </c>
      <c r="T170" t="s">
        <v>680</v>
      </c>
      <c r="U170">
        <v>40</v>
      </c>
      <c r="V170" t="s">
        <v>2438</v>
      </c>
    </row>
    <row r="171" spans="1:22" x14ac:dyDescent="0.25">
      <c r="A171" t="s">
        <v>2134</v>
      </c>
      <c r="B171" t="s">
        <v>2276</v>
      </c>
      <c r="C171" s="2">
        <v>580</v>
      </c>
      <c r="D171" t="s">
        <v>759</v>
      </c>
      <c r="E171" t="s">
        <v>19</v>
      </c>
      <c r="F171" t="s">
        <v>585</v>
      </c>
      <c r="G171" s="5" t="s">
        <v>401</v>
      </c>
      <c r="H171" t="s">
        <v>2437</v>
      </c>
      <c r="I171" s="6">
        <f t="shared" si="2"/>
        <v>95</v>
      </c>
      <c r="J171" s="2">
        <v>10500</v>
      </c>
      <c r="K171" s="2">
        <v>13.2</v>
      </c>
      <c r="L171" s="4">
        <v>179999</v>
      </c>
      <c r="M171" s="4">
        <v>74999</v>
      </c>
      <c r="N171" s="4">
        <v>4499</v>
      </c>
      <c r="O171" s="4">
        <v>899</v>
      </c>
      <c r="P171" s="4">
        <v>3299</v>
      </c>
      <c r="Q171" t="s">
        <v>2369</v>
      </c>
      <c r="R171">
        <v>2024</v>
      </c>
      <c r="T171" t="s">
        <v>1730</v>
      </c>
      <c r="U171">
        <v>40</v>
      </c>
      <c r="V171" t="s">
        <v>2438</v>
      </c>
    </row>
    <row r="172" spans="1:22" x14ac:dyDescent="0.25">
      <c r="A172" t="s">
        <v>2134</v>
      </c>
      <c r="B172" t="s">
        <v>2282</v>
      </c>
      <c r="C172" s="2">
        <v>530</v>
      </c>
      <c r="D172" t="s">
        <v>68</v>
      </c>
      <c r="E172" t="s">
        <v>307</v>
      </c>
      <c r="F172" t="s">
        <v>475</v>
      </c>
      <c r="G172" s="5" t="s">
        <v>2379</v>
      </c>
      <c r="H172" t="s">
        <v>2437</v>
      </c>
      <c r="I172" s="6">
        <f t="shared" si="2"/>
        <v>90</v>
      </c>
      <c r="J172" s="2">
        <v>8500</v>
      </c>
      <c r="K172" s="2">
        <v>12.1</v>
      </c>
      <c r="L172" s="4">
        <v>129999</v>
      </c>
      <c r="M172" s="4">
        <v>54999</v>
      </c>
      <c r="N172" s="4">
        <v>3599</v>
      </c>
      <c r="O172" s="4">
        <v>649</v>
      </c>
      <c r="P172" s="4">
        <v>2299</v>
      </c>
      <c r="Q172" t="s">
        <v>2369</v>
      </c>
      <c r="R172">
        <v>2024</v>
      </c>
      <c r="T172" t="s">
        <v>2387</v>
      </c>
      <c r="U172">
        <v>32</v>
      </c>
      <c r="V172" t="s">
        <v>2438</v>
      </c>
    </row>
    <row r="173" spans="1:22" x14ac:dyDescent="0.25">
      <c r="A173" t="s">
        <v>2134</v>
      </c>
      <c r="B173" t="s">
        <v>2283</v>
      </c>
      <c r="C173" s="2">
        <v>610</v>
      </c>
      <c r="D173" t="s">
        <v>375</v>
      </c>
      <c r="E173" t="s">
        <v>19</v>
      </c>
      <c r="F173" t="s">
        <v>585</v>
      </c>
      <c r="G173" s="5" t="s">
        <v>737</v>
      </c>
      <c r="H173" t="s">
        <v>2437</v>
      </c>
      <c r="I173" s="6">
        <f t="shared" si="2"/>
        <v>100</v>
      </c>
      <c r="J173" s="2">
        <v>10500</v>
      </c>
      <c r="K173" s="2">
        <v>13.5</v>
      </c>
      <c r="L173" s="4">
        <v>199999</v>
      </c>
      <c r="M173" s="4">
        <v>84999</v>
      </c>
      <c r="N173" s="4">
        <v>4999</v>
      </c>
      <c r="O173" s="4">
        <v>999</v>
      </c>
      <c r="P173" s="4">
        <v>3799</v>
      </c>
      <c r="Q173" t="s">
        <v>2369</v>
      </c>
      <c r="R173">
        <v>2024</v>
      </c>
      <c r="T173" t="s">
        <v>1169</v>
      </c>
      <c r="U173">
        <v>32</v>
      </c>
      <c r="V173" t="s">
        <v>2438</v>
      </c>
    </row>
    <row r="174" spans="1:22" x14ac:dyDescent="0.25">
      <c r="A174" t="s">
        <v>2134</v>
      </c>
      <c r="B174" t="s">
        <v>2289</v>
      </c>
      <c r="C174" s="2">
        <v>590</v>
      </c>
      <c r="D174" t="s">
        <v>375</v>
      </c>
      <c r="E174" t="s">
        <v>19</v>
      </c>
      <c r="F174" t="s">
        <v>585</v>
      </c>
      <c r="G174" s="5" t="s">
        <v>737</v>
      </c>
      <c r="H174" t="s">
        <v>2437</v>
      </c>
      <c r="I174" s="6">
        <f t="shared" si="2"/>
        <v>100</v>
      </c>
      <c r="J174" s="2">
        <v>10500</v>
      </c>
      <c r="K174" s="2">
        <v>13</v>
      </c>
      <c r="L174" s="4">
        <v>149999</v>
      </c>
      <c r="M174" s="4">
        <v>64999</v>
      </c>
      <c r="N174" s="4">
        <v>3999</v>
      </c>
      <c r="O174" s="4">
        <v>799</v>
      </c>
      <c r="P174" s="4">
        <v>2999</v>
      </c>
      <c r="Q174" t="s">
        <v>2369</v>
      </c>
      <c r="R174">
        <v>2024</v>
      </c>
      <c r="T174" t="s">
        <v>2317</v>
      </c>
      <c r="U174">
        <v>65</v>
      </c>
      <c r="V174" t="s">
        <v>2438</v>
      </c>
    </row>
    <row r="175" spans="1:22" x14ac:dyDescent="0.25">
      <c r="A175" t="s">
        <v>2134</v>
      </c>
      <c r="B175" t="s">
        <v>2290</v>
      </c>
      <c r="C175" s="2">
        <v>530</v>
      </c>
      <c r="D175" t="s">
        <v>68</v>
      </c>
      <c r="E175" t="s">
        <v>307</v>
      </c>
      <c r="F175" t="s">
        <v>475</v>
      </c>
      <c r="G175" s="5" t="s">
        <v>2379</v>
      </c>
      <c r="H175" t="s">
        <v>2437</v>
      </c>
      <c r="I175" s="6">
        <f t="shared" si="2"/>
        <v>90</v>
      </c>
      <c r="J175" s="2">
        <v>8500</v>
      </c>
      <c r="K175" s="2">
        <v>12.1</v>
      </c>
      <c r="L175" s="4">
        <v>129999</v>
      </c>
      <c r="M175" s="4">
        <v>54999</v>
      </c>
      <c r="N175" s="4">
        <v>3599</v>
      </c>
      <c r="O175" s="4">
        <v>649</v>
      </c>
      <c r="P175" s="4">
        <v>2299</v>
      </c>
      <c r="Q175" t="s">
        <v>2369</v>
      </c>
      <c r="R175">
        <v>2024</v>
      </c>
      <c r="T175" t="s">
        <v>2418</v>
      </c>
      <c r="U175">
        <v>70</v>
      </c>
      <c r="V175" t="s">
        <v>2438</v>
      </c>
    </row>
    <row r="176" spans="1:22" x14ac:dyDescent="0.25">
      <c r="A176" t="s">
        <v>2134</v>
      </c>
      <c r="B176" t="s">
        <v>2135</v>
      </c>
      <c r="C176" s="2">
        <v>175</v>
      </c>
      <c r="D176" t="s">
        <v>162</v>
      </c>
      <c r="E176" t="s">
        <v>307</v>
      </c>
      <c r="F176" t="s">
        <v>20</v>
      </c>
      <c r="G176" s="5" t="s">
        <v>2136</v>
      </c>
      <c r="H176" t="s">
        <v>2438</v>
      </c>
      <c r="I176" s="6">
        <f t="shared" si="2"/>
        <v>25</v>
      </c>
      <c r="J176" s="2">
        <v>3750</v>
      </c>
      <c r="K176" s="2">
        <v>6.5</v>
      </c>
      <c r="L176" s="4">
        <v>39999</v>
      </c>
      <c r="M176" s="4">
        <v>15999</v>
      </c>
      <c r="N176" s="4">
        <v>1499</v>
      </c>
      <c r="O176" s="4">
        <v>219</v>
      </c>
      <c r="P176" s="4">
        <v>799</v>
      </c>
      <c r="Q176" t="s">
        <v>2368</v>
      </c>
      <c r="R176">
        <v>2020</v>
      </c>
      <c r="T176" t="s">
        <v>2301</v>
      </c>
      <c r="U176">
        <v>48</v>
      </c>
      <c r="V176" t="s">
        <v>2438</v>
      </c>
    </row>
    <row r="177" spans="1:22" x14ac:dyDescent="0.25">
      <c r="A177" t="s">
        <v>2134</v>
      </c>
      <c r="B177" t="s">
        <v>2138</v>
      </c>
      <c r="C177" s="2">
        <v>185</v>
      </c>
      <c r="D177" t="s">
        <v>68</v>
      </c>
      <c r="E177" t="s">
        <v>461</v>
      </c>
      <c r="F177" t="s">
        <v>1756</v>
      </c>
      <c r="G177" s="5" t="s">
        <v>2139</v>
      </c>
      <c r="H177" t="s">
        <v>2438</v>
      </c>
      <c r="I177" s="6">
        <f t="shared" si="2"/>
        <v>45</v>
      </c>
      <c r="J177" s="2">
        <v>4000</v>
      </c>
      <c r="K177" s="2">
        <v>6.53</v>
      </c>
      <c r="L177" s="4">
        <v>74999</v>
      </c>
      <c r="M177" s="4">
        <v>29999</v>
      </c>
      <c r="N177" s="4">
        <v>2999</v>
      </c>
      <c r="O177" s="4">
        <v>449</v>
      </c>
      <c r="P177" s="4">
        <v>1599</v>
      </c>
      <c r="Q177" t="s">
        <v>2368</v>
      </c>
      <c r="R177">
        <v>2020</v>
      </c>
      <c r="T177" t="s">
        <v>2406</v>
      </c>
      <c r="U177">
        <v>38</v>
      </c>
      <c r="V177" t="s">
        <v>2438</v>
      </c>
    </row>
    <row r="178" spans="1:22" x14ac:dyDescent="0.25">
      <c r="A178" t="s">
        <v>2134</v>
      </c>
      <c r="B178" t="s">
        <v>2143</v>
      </c>
      <c r="C178" s="2">
        <v>190</v>
      </c>
      <c r="D178" t="s">
        <v>18</v>
      </c>
      <c r="E178" t="s">
        <v>585</v>
      </c>
      <c r="F178" t="s">
        <v>907</v>
      </c>
      <c r="G178" s="5" t="s">
        <v>2144</v>
      </c>
      <c r="H178" t="s">
        <v>2438</v>
      </c>
      <c r="I178" s="6">
        <f t="shared" si="2"/>
        <v>40</v>
      </c>
      <c r="J178" s="2">
        <v>4000</v>
      </c>
      <c r="K178" s="2">
        <v>6.5</v>
      </c>
      <c r="L178" s="4">
        <v>54999</v>
      </c>
      <c r="M178" s="4">
        <v>22999</v>
      </c>
      <c r="N178" s="4">
        <v>2299</v>
      </c>
      <c r="O178" s="4">
        <v>349</v>
      </c>
      <c r="P178" s="4">
        <v>1299</v>
      </c>
      <c r="Q178" t="s">
        <v>2368</v>
      </c>
      <c r="R178">
        <v>2020</v>
      </c>
      <c r="T178" t="s">
        <v>843</v>
      </c>
      <c r="U178">
        <v>70</v>
      </c>
      <c r="V178" t="s">
        <v>2437</v>
      </c>
    </row>
    <row r="179" spans="1:22" x14ac:dyDescent="0.25">
      <c r="A179" t="s">
        <v>2134</v>
      </c>
      <c r="B179" t="s">
        <v>2145</v>
      </c>
      <c r="C179" s="2">
        <v>203</v>
      </c>
      <c r="D179" t="s">
        <v>18</v>
      </c>
      <c r="E179" t="s">
        <v>585</v>
      </c>
      <c r="F179" t="s">
        <v>1756</v>
      </c>
      <c r="G179" s="5" t="s">
        <v>2144</v>
      </c>
      <c r="H179" t="s">
        <v>2438</v>
      </c>
      <c r="I179" s="6">
        <f t="shared" si="2"/>
        <v>40</v>
      </c>
      <c r="J179" s="2">
        <v>4300</v>
      </c>
      <c r="K179" s="2">
        <v>6.63</v>
      </c>
      <c r="L179" s="4">
        <v>48999</v>
      </c>
      <c r="M179" s="4">
        <v>19999</v>
      </c>
      <c r="N179" s="4">
        <v>2099</v>
      </c>
      <c r="O179" s="4">
        <v>319</v>
      </c>
      <c r="P179" s="4">
        <v>1149</v>
      </c>
      <c r="Q179" t="s">
        <v>2368</v>
      </c>
      <c r="R179">
        <v>2020</v>
      </c>
      <c r="T179" t="s">
        <v>848</v>
      </c>
      <c r="U179">
        <v>65</v>
      </c>
      <c r="V179" t="s">
        <v>2437</v>
      </c>
    </row>
    <row r="180" spans="1:22" x14ac:dyDescent="0.25">
      <c r="A180" t="s">
        <v>2134</v>
      </c>
      <c r="B180" t="s">
        <v>2148</v>
      </c>
      <c r="C180" s="2">
        <v>227</v>
      </c>
      <c r="D180" t="s">
        <v>68</v>
      </c>
      <c r="E180" t="s">
        <v>307</v>
      </c>
      <c r="F180" t="s">
        <v>20</v>
      </c>
      <c r="G180" s="5" t="s">
        <v>2372</v>
      </c>
      <c r="H180" t="s">
        <v>2438</v>
      </c>
      <c r="I180" s="6">
        <f t="shared" si="2"/>
        <v>35</v>
      </c>
      <c r="J180" s="2">
        <v>5000</v>
      </c>
      <c r="K180" s="2">
        <v>7.09</v>
      </c>
      <c r="L180" s="4">
        <v>64999</v>
      </c>
      <c r="M180" s="4">
        <v>25999</v>
      </c>
      <c r="N180" s="4">
        <v>2499</v>
      </c>
      <c r="O180" s="4">
        <v>379</v>
      </c>
      <c r="P180" s="4">
        <v>1399</v>
      </c>
      <c r="Q180" t="s">
        <v>2368</v>
      </c>
      <c r="R180">
        <v>2020</v>
      </c>
      <c r="T180" t="s">
        <v>956</v>
      </c>
      <c r="U180">
        <v>17</v>
      </c>
      <c r="V180" t="s">
        <v>2439</v>
      </c>
    </row>
    <row r="181" spans="1:22" x14ac:dyDescent="0.25">
      <c r="A181" t="s">
        <v>2134</v>
      </c>
      <c r="B181" t="s">
        <v>2152</v>
      </c>
      <c r="C181" s="2">
        <v>213</v>
      </c>
      <c r="D181" t="s">
        <v>18</v>
      </c>
      <c r="E181" t="s">
        <v>585</v>
      </c>
      <c r="F181" t="s">
        <v>907</v>
      </c>
      <c r="G181" s="5" t="s">
        <v>2372</v>
      </c>
      <c r="H181" t="s">
        <v>2438</v>
      </c>
      <c r="I181" s="6">
        <f t="shared" si="2"/>
        <v>35</v>
      </c>
      <c r="J181" s="2">
        <v>4300</v>
      </c>
      <c r="K181" s="2">
        <v>6.81</v>
      </c>
      <c r="L181" s="4">
        <v>49999</v>
      </c>
      <c r="M181" s="4">
        <v>21999</v>
      </c>
      <c r="N181" s="4">
        <v>2299</v>
      </c>
      <c r="O181" s="4">
        <v>349</v>
      </c>
      <c r="P181" s="4">
        <v>1249</v>
      </c>
      <c r="Q181" t="s">
        <v>2368</v>
      </c>
      <c r="R181">
        <v>2020</v>
      </c>
      <c r="T181" t="s">
        <v>2379</v>
      </c>
      <c r="U181">
        <v>90</v>
      </c>
      <c r="V181" t="s">
        <v>2437</v>
      </c>
    </row>
    <row r="182" spans="1:22" x14ac:dyDescent="0.25">
      <c r="A182" t="s">
        <v>2134</v>
      </c>
      <c r="B182" t="s">
        <v>2156</v>
      </c>
      <c r="C182" s="2">
        <v>206</v>
      </c>
      <c r="D182" t="s">
        <v>162</v>
      </c>
      <c r="E182" t="s">
        <v>307</v>
      </c>
      <c r="F182" t="s">
        <v>20</v>
      </c>
      <c r="G182" s="5" t="s">
        <v>2157</v>
      </c>
      <c r="H182" t="s">
        <v>2438</v>
      </c>
      <c r="I182" s="6">
        <f t="shared" si="2"/>
        <v>22</v>
      </c>
      <c r="J182" s="2">
        <v>5000</v>
      </c>
      <c r="K182" s="2">
        <v>6.67</v>
      </c>
      <c r="L182" s="4">
        <v>34999</v>
      </c>
      <c r="M182" s="4">
        <v>13999</v>
      </c>
      <c r="N182" s="4">
        <v>1499</v>
      </c>
      <c r="O182" s="4">
        <v>229</v>
      </c>
      <c r="P182" s="4">
        <v>849</v>
      </c>
      <c r="Q182" t="s">
        <v>2368</v>
      </c>
      <c r="R182">
        <v>2020</v>
      </c>
      <c r="T182" t="s">
        <v>1210</v>
      </c>
      <c r="U182">
        <v>92</v>
      </c>
      <c r="V182" t="s">
        <v>2437</v>
      </c>
    </row>
    <row r="183" spans="1:22" x14ac:dyDescent="0.25">
      <c r="A183" t="s">
        <v>2134</v>
      </c>
      <c r="B183" t="s">
        <v>2158</v>
      </c>
      <c r="C183" s="2">
        <v>189</v>
      </c>
      <c r="D183" t="s">
        <v>68</v>
      </c>
      <c r="E183" t="s">
        <v>585</v>
      </c>
      <c r="F183" t="s">
        <v>580</v>
      </c>
      <c r="G183" s="5" t="s">
        <v>1252</v>
      </c>
      <c r="H183" t="s">
        <v>2438</v>
      </c>
      <c r="I183" s="6">
        <f t="shared" si="2"/>
        <v>32</v>
      </c>
      <c r="J183" s="2">
        <v>4000</v>
      </c>
      <c r="K183" s="2">
        <v>6.72</v>
      </c>
      <c r="L183" s="4">
        <v>89999</v>
      </c>
      <c r="M183" s="4">
        <v>37999</v>
      </c>
      <c r="N183" s="4">
        <v>3999</v>
      </c>
      <c r="O183" s="4">
        <v>599</v>
      </c>
      <c r="P183" s="4">
        <v>2199</v>
      </c>
      <c r="Q183" t="s">
        <v>2368</v>
      </c>
      <c r="R183">
        <v>2021</v>
      </c>
      <c r="T183" t="s">
        <v>1159</v>
      </c>
      <c r="U183">
        <v>15</v>
      </c>
      <c r="V183" t="s">
        <v>2439</v>
      </c>
    </row>
    <row r="184" spans="1:22" x14ac:dyDescent="0.25">
      <c r="A184" t="s">
        <v>2134</v>
      </c>
      <c r="B184" t="s">
        <v>2160</v>
      </c>
      <c r="C184" s="2">
        <v>175</v>
      </c>
      <c r="D184" t="s">
        <v>68</v>
      </c>
      <c r="E184" t="s">
        <v>461</v>
      </c>
      <c r="F184" t="s">
        <v>753</v>
      </c>
      <c r="G184" s="5" t="s">
        <v>708</v>
      </c>
      <c r="H184" t="s">
        <v>2438</v>
      </c>
      <c r="I184" s="6">
        <f t="shared" si="2"/>
        <v>60</v>
      </c>
      <c r="J184" s="2">
        <v>4300</v>
      </c>
      <c r="K184" s="2">
        <v>6.57</v>
      </c>
      <c r="L184" s="4">
        <v>89999</v>
      </c>
      <c r="M184" s="4">
        <v>37999</v>
      </c>
      <c r="N184" s="4">
        <v>2699</v>
      </c>
      <c r="O184" s="4">
        <v>549</v>
      </c>
      <c r="P184" s="4">
        <v>2049</v>
      </c>
      <c r="Q184" t="s">
        <v>2368</v>
      </c>
      <c r="R184">
        <v>2021</v>
      </c>
    </row>
    <row r="185" spans="1:22" x14ac:dyDescent="0.25">
      <c r="A185" t="s">
        <v>2134</v>
      </c>
      <c r="B185" t="s">
        <v>2162</v>
      </c>
      <c r="C185" s="2">
        <v>187</v>
      </c>
      <c r="D185" t="s">
        <v>68</v>
      </c>
      <c r="E185" t="s">
        <v>461</v>
      </c>
      <c r="F185" t="s">
        <v>753</v>
      </c>
      <c r="G185" s="5" t="s">
        <v>708</v>
      </c>
      <c r="H185" t="s">
        <v>2438</v>
      </c>
      <c r="I185" s="6">
        <f t="shared" si="2"/>
        <v>60</v>
      </c>
      <c r="J185" s="2">
        <v>4000</v>
      </c>
      <c r="K185" s="2">
        <v>6.72</v>
      </c>
      <c r="L185" s="4">
        <v>109999</v>
      </c>
      <c r="M185" s="4">
        <v>44999</v>
      </c>
      <c r="N185" s="4">
        <v>3699</v>
      </c>
      <c r="O185" s="4">
        <v>649</v>
      </c>
      <c r="P185" s="4">
        <v>2499</v>
      </c>
      <c r="Q185" t="s">
        <v>2368</v>
      </c>
      <c r="R185">
        <v>2021</v>
      </c>
    </row>
    <row r="186" spans="1:22" x14ac:dyDescent="0.25">
      <c r="A186" t="s">
        <v>2134</v>
      </c>
      <c r="B186" t="s">
        <v>2163</v>
      </c>
      <c r="C186" s="2">
        <v>191</v>
      </c>
      <c r="D186" t="s">
        <v>68</v>
      </c>
      <c r="E186" t="s">
        <v>585</v>
      </c>
      <c r="F186" t="s">
        <v>753</v>
      </c>
      <c r="G186" s="5" t="s">
        <v>915</v>
      </c>
      <c r="H186" t="s">
        <v>2438</v>
      </c>
      <c r="I186" s="6">
        <f t="shared" si="2"/>
        <v>28</v>
      </c>
      <c r="J186" s="2">
        <v>4000</v>
      </c>
      <c r="K186" s="2">
        <v>6.78</v>
      </c>
      <c r="L186" s="4">
        <v>74999</v>
      </c>
      <c r="M186" s="4">
        <v>29999</v>
      </c>
      <c r="N186" s="4">
        <v>2399</v>
      </c>
      <c r="O186" s="4">
        <v>449</v>
      </c>
      <c r="P186" s="4">
        <v>1699</v>
      </c>
      <c r="Q186" t="s">
        <v>2368</v>
      </c>
      <c r="R186">
        <v>2021</v>
      </c>
    </row>
    <row r="187" spans="1:22" x14ac:dyDescent="0.25">
      <c r="A187" t="s">
        <v>2134</v>
      </c>
      <c r="B187" t="s">
        <v>2164</v>
      </c>
      <c r="C187" s="2">
        <v>192</v>
      </c>
      <c r="D187" t="s">
        <v>18</v>
      </c>
      <c r="E187" t="s">
        <v>585</v>
      </c>
      <c r="F187" t="s">
        <v>907</v>
      </c>
      <c r="G187" s="5" t="s">
        <v>915</v>
      </c>
      <c r="H187" t="s">
        <v>2438</v>
      </c>
      <c r="I187" s="6">
        <f t="shared" si="2"/>
        <v>28</v>
      </c>
      <c r="J187" s="2">
        <v>4300</v>
      </c>
      <c r="K187" s="2">
        <v>6.67</v>
      </c>
      <c r="L187" s="4">
        <v>64999</v>
      </c>
      <c r="M187" s="4">
        <v>25999</v>
      </c>
      <c r="N187" s="4">
        <v>2299</v>
      </c>
      <c r="O187" s="4">
        <v>379</v>
      </c>
      <c r="P187" s="4">
        <v>1399</v>
      </c>
      <c r="Q187" t="s">
        <v>2368</v>
      </c>
      <c r="R187">
        <v>2021</v>
      </c>
    </row>
    <row r="188" spans="1:22" x14ac:dyDescent="0.25">
      <c r="A188" t="s">
        <v>2134</v>
      </c>
      <c r="B188" t="s">
        <v>2166</v>
      </c>
      <c r="C188" s="2">
        <v>179</v>
      </c>
      <c r="D188" t="s">
        <v>68</v>
      </c>
      <c r="E188" t="s">
        <v>585</v>
      </c>
      <c r="F188" t="s">
        <v>907</v>
      </c>
      <c r="G188" s="5" t="s">
        <v>2374</v>
      </c>
      <c r="H188" t="s">
        <v>2438</v>
      </c>
      <c r="I188" s="6">
        <f t="shared" si="2"/>
        <v>36</v>
      </c>
      <c r="J188" s="2">
        <v>3800</v>
      </c>
      <c r="K188" s="2">
        <v>6.53</v>
      </c>
      <c r="L188" s="4">
        <v>49999</v>
      </c>
      <c r="M188" s="4">
        <v>19999</v>
      </c>
      <c r="N188" s="4">
        <v>2099</v>
      </c>
      <c r="O188" s="4">
        <v>319</v>
      </c>
      <c r="P188" s="4">
        <v>1149</v>
      </c>
      <c r="Q188" t="s">
        <v>2368</v>
      </c>
      <c r="R188">
        <v>2021</v>
      </c>
    </row>
    <row r="189" spans="1:22" x14ac:dyDescent="0.25">
      <c r="A189" t="s">
        <v>2134</v>
      </c>
      <c r="B189" t="s">
        <v>2176</v>
      </c>
      <c r="C189" s="2">
        <v>179</v>
      </c>
      <c r="D189" t="s">
        <v>68</v>
      </c>
      <c r="E189" t="s">
        <v>461</v>
      </c>
      <c r="F189" t="s">
        <v>753</v>
      </c>
      <c r="G189" s="5" t="s">
        <v>708</v>
      </c>
      <c r="H189" t="s">
        <v>2438</v>
      </c>
      <c r="I189" s="6">
        <f t="shared" si="2"/>
        <v>60</v>
      </c>
      <c r="J189" s="2">
        <v>4800</v>
      </c>
      <c r="K189" s="2">
        <v>6.67</v>
      </c>
      <c r="L189" s="4">
        <v>99999</v>
      </c>
      <c r="M189" s="4">
        <v>41999</v>
      </c>
      <c r="N189" s="4">
        <v>2699</v>
      </c>
      <c r="O189" s="4">
        <v>549</v>
      </c>
      <c r="P189" s="4">
        <v>2049</v>
      </c>
      <c r="Q189" t="s">
        <v>2368</v>
      </c>
      <c r="R189">
        <v>2021</v>
      </c>
    </row>
    <row r="190" spans="1:22" x14ac:dyDescent="0.25">
      <c r="A190" t="s">
        <v>2134</v>
      </c>
      <c r="B190" t="s">
        <v>2177</v>
      </c>
      <c r="C190" s="2">
        <v>192</v>
      </c>
      <c r="D190" t="s">
        <v>68</v>
      </c>
      <c r="E190" t="s">
        <v>580</v>
      </c>
      <c r="F190" t="s">
        <v>753</v>
      </c>
      <c r="G190" s="5" t="s">
        <v>2376</v>
      </c>
      <c r="H190" t="s">
        <v>2438</v>
      </c>
      <c r="I190" s="6">
        <f t="shared" si="2"/>
        <v>62</v>
      </c>
      <c r="J190" s="2">
        <v>4800</v>
      </c>
      <c r="K190" s="2">
        <v>6.78</v>
      </c>
      <c r="L190" s="4">
        <v>124999</v>
      </c>
      <c r="M190" s="4">
        <v>49999</v>
      </c>
      <c r="N190" s="4">
        <v>3699</v>
      </c>
      <c r="O190" s="4">
        <v>649</v>
      </c>
      <c r="P190" s="4">
        <v>2599</v>
      </c>
      <c r="Q190" t="s">
        <v>2368</v>
      </c>
      <c r="R190">
        <v>2021</v>
      </c>
    </row>
    <row r="191" spans="1:22" x14ac:dyDescent="0.25">
      <c r="A191" t="s">
        <v>2134</v>
      </c>
      <c r="B191" t="s">
        <v>2179</v>
      </c>
      <c r="C191" s="2">
        <v>191</v>
      </c>
      <c r="D191" t="s">
        <v>68</v>
      </c>
      <c r="E191" t="s">
        <v>585</v>
      </c>
      <c r="F191" t="s">
        <v>907</v>
      </c>
      <c r="G191" s="5" t="s">
        <v>915</v>
      </c>
      <c r="H191" t="s">
        <v>2438</v>
      </c>
      <c r="I191" s="6">
        <f t="shared" si="2"/>
        <v>28</v>
      </c>
      <c r="J191" s="2">
        <v>4300</v>
      </c>
      <c r="K191" s="2">
        <v>6.67</v>
      </c>
      <c r="L191" s="4">
        <v>74999</v>
      </c>
      <c r="M191" s="4">
        <v>29999</v>
      </c>
      <c r="N191" s="4">
        <v>2399</v>
      </c>
      <c r="O191" s="4">
        <v>449</v>
      </c>
      <c r="P191" s="4">
        <v>1699</v>
      </c>
      <c r="Q191" t="s">
        <v>2368</v>
      </c>
      <c r="R191">
        <v>2021</v>
      </c>
    </row>
    <row r="192" spans="1:22" x14ac:dyDescent="0.25">
      <c r="A192" t="s">
        <v>2134</v>
      </c>
      <c r="B192" t="s">
        <v>2180</v>
      </c>
      <c r="C192" s="2">
        <v>189</v>
      </c>
      <c r="D192" t="s">
        <v>18</v>
      </c>
      <c r="E192" t="s">
        <v>585</v>
      </c>
      <c r="F192" t="s">
        <v>20</v>
      </c>
      <c r="G192" s="5" t="s">
        <v>680</v>
      </c>
      <c r="H192" t="s">
        <v>2438</v>
      </c>
      <c r="I192" s="6">
        <f t="shared" si="2"/>
        <v>40</v>
      </c>
      <c r="J192" s="2">
        <v>4800</v>
      </c>
      <c r="K192" s="2">
        <v>6.81</v>
      </c>
      <c r="L192" s="4">
        <v>69999</v>
      </c>
      <c r="M192" s="4">
        <v>27999</v>
      </c>
      <c r="N192" s="4">
        <v>2099</v>
      </c>
      <c r="O192" s="4">
        <v>379</v>
      </c>
      <c r="P192" s="4">
        <v>1299</v>
      </c>
      <c r="Q192" t="s">
        <v>2368</v>
      </c>
      <c r="R192">
        <v>2021</v>
      </c>
    </row>
    <row r="193" spans="1:18" x14ac:dyDescent="0.25">
      <c r="A193" t="s">
        <v>2134</v>
      </c>
      <c r="B193" t="s">
        <v>2181</v>
      </c>
      <c r="C193" s="2">
        <v>175</v>
      </c>
      <c r="D193" t="s">
        <v>18</v>
      </c>
      <c r="E193" t="s">
        <v>585</v>
      </c>
      <c r="F193" t="s">
        <v>20</v>
      </c>
      <c r="G193" s="5" t="s">
        <v>2377</v>
      </c>
      <c r="H193" t="s">
        <v>2438</v>
      </c>
      <c r="I193" s="6">
        <f t="shared" si="2"/>
        <v>25</v>
      </c>
      <c r="J193" s="2">
        <v>4000</v>
      </c>
      <c r="K193" s="2">
        <v>6.7</v>
      </c>
      <c r="L193" s="4">
        <v>54999</v>
      </c>
      <c r="M193" s="4">
        <v>22999</v>
      </c>
      <c r="N193" s="4">
        <v>1799</v>
      </c>
      <c r="O193" s="4">
        <v>299</v>
      </c>
      <c r="P193" s="4">
        <v>1099</v>
      </c>
      <c r="Q193" t="s">
        <v>2368</v>
      </c>
      <c r="R193">
        <v>2021</v>
      </c>
    </row>
    <row r="194" spans="1:18" x14ac:dyDescent="0.25">
      <c r="A194" t="s">
        <v>2134</v>
      </c>
      <c r="B194" t="s">
        <v>2182</v>
      </c>
      <c r="C194" s="2">
        <v>228</v>
      </c>
      <c r="D194" t="s">
        <v>68</v>
      </c>
      <c r="E194" t="s">
        <v>307</v>
      </c>
      <c r="F194" t="s">
        <v>907</v>
      </c>
      <c r="G194" s="5" t="s">
        <v>915</v>
      </c>
      <c r="H194" t="s">
        <v>2438</v>
      </c>
      <c r="I194" s="6">
        <f t="shared" ref="I194:I257" si="3">_xlfn.XLOOKUP(G194, $T$2:$T$183,$U$2:$U$183,"Unknown",0)</f>
        <v>28</v>
      </c>
      <c r="J194" s="2">
        <v>5000</v>
      </c>
      <c r="K194" s="2">
        <v>7.09</v>
      </c>
      <c r="L194" s="4">
        <v>89999</v>
      </c>
      <c r="M194" s="4">
        <v>35999</v>
      </c>
      <c r="N194" s="4">
        <v>2399</v>
      </c>
      <c r="O194" s="4">
        <v>499</v>
      </c>
      <c r="P194" s="4">
        <v>1899</v>
      </c>
      <c r="Q194" t="s">
        <v>2368</v>
      </c>
      <c r="R194">
        <v>2021</v>
      </c>
    </row>
    <row r="195" spans="1:18" x14ac:dyDescent="0.25">
      <c r="A195" t="s">
        <v>2134</v>
      </c>
      <c r="B195" t="s">
        <v>2196</v>
      </c>
      <c r="C195" s="2">
        <v>178</v>
      </c>
      <c r="D195" t="s">
        <v>68</v>
      </c>
      <c r="E195" t="s">
        <v>461</v>
      </c>
      <c r="F195" t="s">
        <v>2197</v>
      </c>
      <c r="G195" s="5" t="s">
        <v>2376</v>
      </c>
      <c r="H195" t="s">
        <v>2438</v>
      </c>
      <c r="I195" s="6">
        <f t="shared" si="3"/>
        <v>62</v>
      </c>
      <c r="J195" s="2">
        <v>4800</v>
      </c>
      <c r="K195" s="2">
        <v>6.67</v>
      </c>
      <c r="L195" s="4">
        <v>119999</v>
      </c>
      <c r="M195" s="4">
        <v>46999</v>
      </c>
      <c r="N195" s="4">
        <v>2699</v>
      </c>
      <c r="O195" s="4">
        <v>549</v>
      </c>
      <c r="P195" s="4">
        <v>2099</v>
      </c>
      <c r="Q195" t="s">
        <v>2368</v>
      </c>
      <c r="R195">
        <v>2022</v>
      </c>
    </row>
    <row r="196" spans="1:18" x14ac:dyDescent="0.25">
      <c r="A196" t="s">
        <v>2134</v>
      </c>
      <c r="B196" t="s">
        <v>2198</v>
      </c>
      <c r="C196" s="2">
        <v>192</v>
      </c>
      <c r="D196" t="s">
        <v>68</v>
      </c>
      <c r="E196" t="s">
        <v>580</v>
      </c>
      <c r="F196" t="s">
        <v>2197</v>
      </c>
      <c r="G196" s="5" t="s">
        <v>2378</v>
      </c>
      <c r="H196" t="s">
        <v>2438</v>
      </c>
      <c r="I196" s="6">
        <f t="shared" si="3"/>
        <v>65</v>
      </c>
      <c r="J196" s="2">
        <v>4500</v>
      </c>
      <c r="K196" s="2">
        <v>6.78</v>
      </c>
      <c r="L196" s="4">
        <v>149999</v>
      </c>
      <c r="M196" s="4">
        <v>59999</v>
      </c>
      <c r="N196" s="4">
        <v>3699</v>
      </c>
      <c r="O196" s="4">
        <v>699</v>
      </c>
      <c r="P196" s="4">
        <v>2699</v>
      </c>
      <c r="Q196" t="s">
        <v>2368</v>
      </c>
      <c r="R196">
        <v>2022</v>
      </c>
    </row>
    <row r="197" spans="1:18" x14ac:dyDescent="0.25">
      <c r="A197" t="s">
        <v>2134</v>
      </c>
      <c r="B197" t="s">
        <v>2201</v>
      </c>
      <c r="C197" s="2">
        <v>172</v>
      </c>
      <c r="D197" t="s">
        <v>18</v>
      </c>
      <c r="E197" t="s">
        <v>307</v>
      </c>
      <c r="F197" t="s">
        <v>580</v>
      </c>
      <c r="G197" s="5" t="s">
        <v>680</v>
      </c>
      <c r="H197" t="s">
        <v>2438</v>
      </c>
      <c r="I197" s="6">
        <f t="shared" si="3"/>
        <v>40</v>
      </c>
      <c r="J197" s="2">
        <v>5100</v>
      </c>
      <c r="K197" s="2">
        <v>6.67</v>
      </c>
      <c r="L197" s="4">
        <v>64999</v>
      </c>
      <c r="M197" s="4">
        <v>26999</v>
      </c>
      <c r="N197" s="4">
        <v>1499</v>
      </c>
      <c r="O197" s="4">
        <v>299</v>
      </c>
      <c r="P197" s="4">
        <v>1099</v>
      </c>
      <c r="Q197" t="s">
        <v>2368</v>
      </c>
      <c r="R197">
        <v>2022</v>
      </c>
    </row>
    <row r="198" spans="1:18" x14ac:dyDescent="0.25">
      <c r="A198" t="s">
        <v>2134</v>
      </c>
      <c r="B198" t="s">
        <v>2214</v>
      </c>
      <c r="C198" s="2">
        <v>180</v>
      </c>
      <c r="D198" t="s">
        <v>68</v>
      </c>
      <c r="E198" t="s">
        <v>461</v>
      </c>
      <c r="F198" t="s">
        <v>2215</v>
      </c>
      <c r="G198" s="5" t="s">
        <v>749</v>
      </c>
      <c r="H198" t="s">
        <v>2438</v>
      </c>
      <c r="I198" s="6">
        <f t="shared" si="3"/>
        <v>65</v>
      </c>
      <c r="J198" s="2">
        <v>4800</v>
      </c>
      <c r="K198" s="2">
        <v>6.67</v>
      </c>
      <c r="L198" s="4">
        <v>119999</v>
      </c>
      <c r="M198" s="4">
        <v>46999</v>
      </c>
      <c r="N198" s="4">
        <v>2699</v>
      </c>
      <c r="O198" s="4">
        <v>549</v>
      </c>
      <c r="P198" s="4">
        <v>2099</v>
      </c>
      <c r="Q198" t="s">
        <v>2368</v>
      </c>
      <c r="R198">
        <v>2022</v>
      </c>
    </row>
    <row r="199" spans="1:18" x14ac:dyDescent="0.25">
      <c r="A199" t="s">
        <v>2134</v>
      </c>
      <c r="B199" t="s">
        <v>2217</v>
      </c>
      <c r="C199" s="2">
        <v>175</v>
      </c>
      <c r="D199" t="s">
        <v>68</v>
      </c>
      <c r="E199" t="s">
        <v>461</v>
      </c>
      <c r="F199" t="s">
        <v>907</v>
      </c>
      <c r="G199" s="5" t="s">
        <v>915</v>
      </c>
      <c r="H199" t="s">
        <v>2438</v>
      </c>
      <c r="I199" s="6">
        <f t="shared" si="3"/>
        <v>28</v>
      </c>
      <c r="J199" s="2">
        <v>4600</v>
      </c>
      <c r="K199" s="2">
        <v>6.67</v>
      </c>
      <c r="L199" s="4">
        <v>84999</v>
      </c>
      <c r="M199" s="4">
        <v>34999</v>
      </c>
      <c r="N199" s="4">
        <v>1999</v>
      </c>
      <c r="O199" s="4">
        <v>399</v>
      </c>
      <c r="P199" s="4">
        <v>1599</v>
      </c>
      <c r="Q199" t="s">
        <v>2368</v>
      </c>
      <c r="R199">
        <v>2022</v>
      </c>
    </row>
    <row r="200" spans="1:18" x14ac:dyDescent="0.25">
      <c r="A200" t="s">
        <v>2134</v>
      </c>
      <c r="B200" t="s">
        <v>2232</v>
      </c>
      <c r="C200" s="2">
        <v>183</v>
      </c>
      <c r="D200" t="s">
        <v>375</v>
      </c>
      <c r="E200" t="s">
        <v>580</v>
      </c>
      <c r="F200" t="s">
        <v>897</v>
      </c>
      <c r="G200" s="5" t="s">
        <v>1648</v>
      </c>
      <c r="H200" t="s">
        <v>2438</v>
      </c>
      <c r="I200" s="6">
        <f t="shared" si="3"/>
        <v>55</v>
      </c>
      <c r="J200" s="2">
        <v>5000</v>
      </c>
      <c r="K200" s="2">
        <v>6.7</v>
      </c>
      <c r="L200" s="4">
        <v>139999</v>
      </c>
      <c r="M200" s="4">
        <v>54999</v>
      </c>
      <c r="N200" s="4">
        <v>2999</v>
      </c>
      <c r="O200" s="4">
        <v>599</v>
      </c>
      <c r="P200" s="4">
        <v>2199</v>
      </c>
      <c r="Q200" t="s">
        <v>2368</v>
      </c>
      <c r="R200">
        <v>2023</v>
      </c>
    </row>
    <row r="201" spans="1:18" x14ac:dyDescent="0.25">
      <c r="A201" t="s">
        <v>2134</v>
      </c>
      <c r="B201" t="s">
        <v>2235</v>
      </c>
      <c r="C201" s="2">
        <v>175</v>
      </c>
      <c r="D201" t="s">
        <v>68</v>
      </c>
      <c r="E201" t="s">
        <v>461</v>
      </c>
      <c r="F201" t="s">
        <v>907</v>
      </c>
      <c r="G201" s="5" t="s">
        <v>915</v>
      </c>
      <c r="H201" t="s">
        <v>2438</v>
      </c>
      <c r="I201" s="6">
        <f t="shared" si="3"/>
        <v>28</v>
      </c>
      <c r="J201" s="2">
        <v>4600</v>
      </c>
      <c r="K201" s="2">
        <v>6.67</v>
      </c>
      <c r="L201" s="4">
        <v>84999</v>
      </c>
      <c r="M201" s="4">
        <v>34999</v>
      </c>
      <c r="N201" s="4">
        <v>1999</v>
      </c>
      <c r="O201" s="4">
        <v>399</v>
      </c>
      <c r="P201" s="4">
        <v>1599</v>
      </c>
      <c r="Q201" t="s">
        <v>2368</v>
      </c>
      <c r="R201">
        <v>2023</v>
      </c>
    </row>
    <row r="202" spans="1:18" x14ac:dyDescent="0.25">
      <c r="A202" t="s">
        <v>2134</v>
      </c>
      <c r="B202" t="s">
        <v>2250</v>
      </c>
      <c r="C202" s="2">
        <v>480</v>
      </c>
      <c r="D202" t="s">
        <v>18</v>
      </c>
      <c r="E202" t="s">
        <v>307</v>
      </c>
      <c r="F202" t="s">
        <v>475</v>
      </c>
      <c r="G202" s="5" t="s">
        <v>2372</v>
      </c>
      <c r="H202" t="s">
        <v>2438</v>
      </c>
      <c r="I202" s="6">
        <f t="shared" si="3"/>
        <v>35</v>
      </c>
      <c r="J202" s="2">
        <v>7250</v>
      </c>
      <c r="K202" s="2">
        <v>10.4</v>
      </c>
      <c r="L202" s="4">
        <v>84999</v>
      </c>
      <c r="M202" s="4">
        <v>34999</v>
      </c>
      <c r="N202" s="4">
        <v>2199</v>
      </c>
      <c r="O202" s="4">
        <v>399</v>
      </c>
      <c r="P202" s="4">
        <v>1499</v>
      </c>
      <c r="Q202" t="s">
        <v>2369</v>
      </c>
      <c r="R202">
        <v>2021</v>
      </c>
    </row>
    <row r="203" spans="1:18" x14ac:dyDescent="0.25">
      <c r="A203" t="s">
        <v>2134</v>
      </c>
      <c r="B203" t="s">
        <v>2252</v>
      </c>
      <c r="C203" s="2">
        <v>485</v>
      </c>
      <c r="D203" t="s">
        <v>68</v>
      </c>
      <c r="E203" t="s">
        <v>307</v>
      </c>
      <c r="F203" t="s">
        <v>475</v>
      </c>
      <c r="G203" s="5" t="s">
        <v>2386</v>
      </c>
      <c r="H203" t="s">
        <v>2438</v>
      </c>
      <c r="I203" s="6">
        <f t="shared" si="3"/>
        <v>42</v>
      </c>
      <c r="J203" s="2">
        <v>7250</v>
      </c>
      <c r="K203" s="2">
        <v>11</v>
      </c>
      <c r="L203" s="4">
        <v>109999</v>
      </c>
      <c r="M203" s="4">
        <v>44999</v>
      </c>
      <c r="N203" s="4">
        <v>2899</v>
      </c>
      <c r="O203" s="4">
        <v>499</v>
      </c>
      <c r="P203" s="4">
        <v>1799</v>
      </c>
      <c r="Q203" t="s">
        <v>2369</v>
      </c>
      <c r="R203">
        <v>2021</v>
      </c>
    </row>
    <row r="204" spans="1:18" x14ac:dyDescent="0.25">
      <c r="A204" t="s">
        <v>2134</v>
      </c>
      <c r="B204" t="s">
        <v>2255</v>
      </c>
      <c r="C204" s="2">
        <v>520</v>
      </c>
      <c r="D204" t="s">
        <v>18</v>
      </c>
      <c r="E204" t="s">
        <v>508</v>
      </c>
      <c r="F204" t="s">
        <v>508</v>
      </c>
      <c r="G204" s="5" t="s">
        <v>2387</v>
      </c>
      <c r="H204" t="s">
        <v>2438</v>
      </c>
      <c r="I204" s="6">
        <f t="shared" si="3"/>
        <v>32</v>
      </c>
      <c r="J204" s="2">
        <v>7250</v>
      </c>
      <c r="K204" s="2">
        <v>12</v>
      </c>
      <c r="L204" s="4">
        <v>69999</v>
      </c>
      <c r="M204" s="4">
        <v>24999</v>
      </c>
      <c r="N204" s="4">
        <v>1599</v>
      </c>
      <c r="O204" s="4">
        <v>299</v>
      </c>
      <c r="P204" s="4">
        <v>1099</v>
      </c>
      <c r="Q204" t="s">
        <v>2369</v>
      </c>
      <c r="R204">
        <v>2022</v>
      </c>
    </row>
    <row r="205" spans="1:18" x14ac:dyDescent="0.25">
      <c r="A205" t="s">
        <v>2134</v>
      </c>
      <c r="B205" t="s">
        <v>2260</v>
      </c>
      <c r="C205" s="2">
        <v>510</v>
      </c>
      <c r="D205" t="s">
        <v>18</v>
      </c>
      <c r="E205" t="s">
        <v>508</v>
      </c>
      <c r="F205" t="s">
        <v>475</v>
      </c>
      <c r="G205" s="5" t="s">
        <v>2389</v>
      </c>
      <c r="H205" t="s">
        <v>2438</v>
      </c>
      <c r="I205" s="6">
        <f t="shared" si="3"/>
        <v>58</v>
      </c>
      <c r="J205" s="2">
        <v>7250</v>
      </c>
      <c r="K205" s="2">
        <v>11</v>
      </c>
      <c r="L205" s="4">
        <v>94999</v>
      </c>
      <c r="M205" s="4">
        <v>39999</v>
      </c>
      <c r="N205" s="4">
        <v>2499</v>
      </c>
      <c r="O205" s="4">
        <v>449</v>
      </c>
      <c r="P205" s="4">
        <v>1599</v>
      </c>
      <c r="Q205" t="s">
        <v>2369</v>
      </c>
      <c r="R205">
        <v>2023</v>
      </c>
    </row>
    <row r="206" spans="1:18" x14ac:dyDescent="0.25">
      <c r="A206" t="s">
        <v>2134</v>
      </c>
      <c r="B206" t="s">
        <v>2266</v>
      </c>
      <c r="C206" s="2">
        <v>560</v>
      </c>
      <c r="D206" t="s">
        <v>375</v>
      </c>
      <c r="E206" t="s">
        <v>307</v>
      </c>
      <c r="F206" t="s">
        <v>475</v>
      </c>
      <c r="G206" s="5" t="s">
        <v>1229</v>
      </c>
      <c r="H206" t="s">
        <v>2438</v>
      </c>
      <c r="I206" s="6">
        <f t="shared" si="3"/>
        <v>65</v>
      </c>
      <c r="J206" s="2">
        <v>9000</v>
      </c>
      <c r="K206" s="2">
        <v>12.6</v>
      </c>
      <c r="L206" s="4">
        <v>109999</v>
      </c>
      <c r="M206" s="4">
        <v>44999</v>
      </c>
      <c r="N206" s="4">
        <v>2999</v>
      </c>
      <c r="O206" s="4">
        <v>499</v>
      </c>
      <c r="P206" s="4">
        <v>1799</v>
      </c>
      <c r="Q206" t="s">
        <v>2369</v>
      </c>
      <c r="R206">
        <v>2024</v>
      </c>
    </row>
    <row r="207" spans="1:18" x14ac:dyDescent="0.25">
      <c r="A207" t="s">
        <v>2134</v>
      </c>
      <c r="B207" t="s">
        <v>2268</v>
      </c>
      <c r="C207" s="2">
        <v>495</v>
      </c>
      <c r="D207" t="s">
        <v>18</v>
      </c>
      <c r="E207" t="s">
        <v>508</v>
      </c>
      <c r="F207" t="s">
        <v>307</v>
      </c>
      <c r="G207" s="5" t="s">
        <v>1145</v>
      </c>
      <c r="H207" t="s">
        <v>2438</v>
      </c>
      <c r="I207" s="6">
        <f t="shared" si="3"/>
        <v>35</v>
      </c>
      <c r="J207" s="2">
        <v>7250</v>
      </c>
      <c r="K207" s="2">
        <v>11.5</v>
      </c>
      <c r="L207" s="4">
        <v>59999</v>
      </c>
      <c r="M207" s="4">
        <v>22999</v>
      </c>
      <c r="N207" s="4">
        <v>1599</v>
      </c>
      <c r="O207" s="4">
        <v>299</v>
      </c>
      <c r="P207" s="4">
        <v>1099</v>
      </c>
      <c r="Q207" t="s">
        <v>2369</v>
      </c>
      <c r="R207">
        <v>2023</v>
      </c>
    </row>
    <row r="208" spans="1:18" x14ac:dyDescent="0.25">
      <c r="A208" t="s">
        <v>2134</v>
      </c>
      <c r="B208" t="s">
        <v>2280</v>
      </c>
      <c r="C208" s="2">
        <v>505</v>
      </c>
      <c r="D208" t="s">
        <v>68</v>
      </c>
      <c r="E208" t="s">
        <v>307</v>
      </c>
      <c r="F208" t="s">
        <v>475</v>
      </c>
      <c r="G208" s="5" t="s">
        <v>1701</v>
      </c>
      <c r="H208" t="s">
        <v>2438</v>
      </c>
      <c r="I208" s="6">
        <f t="shared" si="3"/>
        <v>50</v>
      </c>
      <c r="J208" s="2">
        <v>8000</v>
      </c>
      <c r="K208" s="2">
        <v>11.6</v>
      </c>
      <c r="L208" s="4">
        <v>79999</v>
      </c>
      <c r="M208" s="4">
        <v>29999</v>
      </c>
      <c r="N208" s="4">
        <v>2199</v>
      </c>
      <c r="O208" s="4">
        <v>399</v>
      </c>
      <c r="P208" s="4">
        <v>1499</v>
      </c>
      <c r="Q208" t="s">
        <v>2369</v>
      </c>
      <c r="R208">
        <v>2024</v>
      </c>
    </row>
    <row r="209" spans="1:18" x14ac:dyDescent="0.25">
      <c r="A209" t="s">
        <v>2134</v>
      </c>
      <c r="B209" t="s">
        <v>2285</v>
      </c>
      <c r="C209" s="2">
        <v>475</v>
      </c>
      <c r="D209" t="s">
        <v>18</v>
      </c>
      <c r="E209" t="s">
        <v>508</v>
      </c>
      <c r="F209" t="s">
        <v>307</v>
      </c>
      <c r="G209" s="5" t="s">
        <v>1145</v>
      </c>
      <c r="H209" t="s">
        <v>2438</v>
      </c>
      <c r="I209" s="6">
        <f t="shared" si="3"/>
        <v>35</v>
      </c>
      <c r="J209" s="2">
        <v>8850</v>
      </c>
      <c r="K209" s="2">
        <v>12.1</v>
      </c>
      <c r="L209" s="4">
        <v>74999</v>
      </c>
      <c r="M209" s="4">
        <v>29999</v>
      </c>
      <c r="N209" s="4">
        <v>2299</v>
      </c>
      <c r="O209" s="4">
        <v>399</v>
      </c>
      <c r="P209" s="4">
        <v>1499</v>
      </c>
      <c r="Q209" t="s">
        <v>2369</v>
      </c>
      <c r="R209">
        <v>2024</v>
      </c>
    </row>
    <row r="210" spans="1:18" x14ac:dyDescent="0.25">
      <c r="A210" t="s">
        <v>2134</v>
      </c>
      <c r="B210" t="s">
        <v>2288</v>
      </c>
      <c r="C210" s="2">
        <v>485</v>
      </c>
      <c r="D210" t="s">
        <v>68</v>
      </c>
      <c r="E210" t="s">
        <v>307</v>
      </c>
      <c r="F210" t="s">
        <v>475</v>
      </c>
      <c r="G210" s="5" t="s">
        <v>1701</v>
      </c>
      <c r="H210" t="s">
        <v>2438</v>
      </c>
      <c r="I210" s="6">
        <f t="shared" si="3"/>
        <v>50</v>
      </c>
      <c r="J210" s="2">
        <v>9000</v>
      </c>
      <c r="K210" s="2">
        <v>12.6</v>
      </c>
      <c r="L210" s="4">
        <v>94999</v>
      </c>
      <c r="M210" s="4">
        <v>39999</v>
      </c>
      <c r="N210" s="4">
        <v>2999</v>
      </c>
      <c r="O210" s="4">
        <v>499</v>
      </c>
      <c r="P210" s="4">
        <v>1799</v>
      </c>
      <c r="Q210" t="s">
        <v>2369</v>
      </c>
      <c r="R210">
        <v>2024</v>
      </c>
    </row>
    <row r="211" spans="1:18" x14ac:dyDescent="0.25">
      <c r="A211" t="s">
        <v>1746</v>
      </c>
      <c r="B211" t="s">
        <v>1747</v>
      </c>
      <c r="C211" s="2">
        <v>181</v>
      </c>
      <c r="D211" t="s">
        <v>68</v>
      </c>
      <c r="E211" t="s">
        <v>475</v>
      </c>
      <c r="F211" t="s">
        <v>580</v>
      </c>
      <c r="G211" s="5" t="s">
        <v>1748</v>
      </c>
      <c r="H211" t="s">
        <v>2437</v>
      </c>
      <c r="I211" s="6">
        <f t="shared" si="3"/>
        <v>85</v>
      </c>
      <c r="J211" s="2">
        <v>4100</v>
      </c>
      <c r="K211" s="2">
        <v>6.5</v>
      </c>
      <c r="L211" s="4">
        <v>129999</v>
      </c>
      <c r="M211" s="4">
        <v>59999</v>
      </c>
      <c r="N211" s="4">
        <v>4488</v>
      </c>
      <c r="O211" s="4">
        <v>699</v>
      </c>
      <c r="P211" s="4">
        <v>2599</v>
      </c>
      <c r="Q211" t="s">
        <v>2368</v>
      </c>
      <c r="R211">
        <v>2021</v>
      </c>
    </row>
    <row r="212" spans="1:18" x14ac:dyDescent="0.25">
      <c r="A212" t="s">
        <v>1746</v>
      </c>
      <c r="B212" t="s">
        <v>1751</v>
      </c>
      <c r="C212" s="2">
        <v>195</v>
      </c>
      <c r="D212" t="s">
        <v>68</v>
      </c>
      <c r="E212" t="s">
        <v>475</v>
      </c>
      <c r="F212" t="s">
        <v>580</v>
      </c>
      <c r="G212" s="5" t="s">
        <v>1748</v>
      </c>
      <c r="H212" t="s">
        <v>2437</v>
      </c>
      <c r="I212" s="6">
        <f t="shared" si="3"/>
        <v>85</v>
      </c>
      <c r="J212" s="2">
        <v>4360</v>
      </c>
      <c r="K212" s="2">
        <v>6.6</v>
      </c>
      <c r="L212" s="4">
        <v>149999</v>
      </c>
      <c r="M212" s="4">
        <v>79999</v>
      </c>
      <c r="N212" s="4">
        <v>5988</v>
      </c>
      <c r="O212" s="4">
        <v>899</v>
      </c>
      <c r="P212" s="4">
        <v>3299</v>
      </c>
      <c r="Q212" t="s">
        <v>2368</v>
      </c>
      <c r="R212">
        <v>2021</v>
      </c>
    </row>
    <row r="213" spans="1:18" x14ac:dyDescent="0.25">
      <c r="A213" t="s">
        <v>1746</v>
      </c>
      <c r="B213" t="s">
        <v>1754</v>
      </c>
      <c r="C213" s="2">
        <v>190</v>
      </c>
      <c r="D213" t="s">
        <v>68</v>
      </c>
      <c r="E213" t="s">
        <v>1755</v>
      </c>
      <c r="F213" t="s">
        <v>1756</v>
      </c>
      <c r="G213" s="5" t="s">
        <v>1748</v>
      </c>
      <c r="H213" t="s">
        <v>2437</v>
      </c>
      <c r="I213" s="6">
        <f t="shared" si="3"/>
        <v>85</v>
      </c>
      <c r="J213" s="2">
        <v>4000</v>
      </c>
      <c r="K213" s="2">
        <v>6.9</v>
      </c>
      <c r="L213" s="4">
        <v>199999</v>
      </c>
      <c r="M213" s="4">
        <v>129999</v>
      </c>
      <c r="N213" s="4">
        <v>8988</v>
      </c>
      <c r="O213" s="4">
        <v>1299</v>
      </c>
      <c r="P213" s="4">
        <v>4799</v>
      </c>
      <c r="Q213" t="s">
        <v>2369</v>
      </c>
      <c r="R213">
        <v>2021</v>
      </c>
    </row>
    <row r="214" spans="1:18" x14ac:dyDescent="0.25">
      <c r="A214" t="s">
        <v>1746</v>
      </c>
      <c r="B214" t="s">
        <v>1761</v>
      </c>
      <c r="C214" s="2">
        <v>295</v>
      </c>
      <c r="D214" t="s">
        <v>68</v>
      </c>
      <c r="E214" t="s">
        <v>585</v>
      </c>
      <c r="F214" t="s">
        <v>580</v>
      </c>
      <c r="G214" s="5" t="s">
        <v>1763</v>
      </c>
      <c r="H214" t="s">
        <v>2437</v>
      </c>
      <c r="I214" s="6">
        <f t="shared" si="3"/>
        <v>85</v>
      </c>
      <c r="J214" s="2">
        <v>4500</v>
      </c>
      <c r="K214" s="2">
        <v>8</v>
      </c>
      <c r="L214" s="4">
        <v>349999</v>
      </c>
      <c r="M214" s="4">
        <v>249999</v>
      </c>
      <c r="N214" s="4">
        <v>17999</v>
      </c>
      <c r="O214" s="4">
        <v>2699</v>
      </c>
      <c r="P214" s="4">
        <v>9999</v>
      </c>
      <c r="Q214" t="s">
        <v>2369</v>
      </c>
      <c r="R214">
        <v>2021</v>
      </c>
    </row>
    <row r="215" spans="1:18" x14ac:dyDescent="0.25">
      <c r="A215" t="s">
        <v>1746</v>
      </c>
      <c r="B215" t="s">
        <v>1777</v>
      </c>
      <c r="C215" s="2">
        <v>255</v>
      </c>
      <c r="D215" t="s">
        <v>68</v>
      </c>
      <c r="E215" t="s">
        <v>1755</v>
      </c>
      <c r="F215" t="s">
        <v>580</v>
      </c>
      <c r="G215" s="5" t="s">
        <v>1748</v>
      </c>
      <c r="H215" t="s">
        <v>2437</v>
      </c>
      <c r="I215" s="6">
        <f t="shared" si="3"/>
        <v>85</v>
      </c>
      <c r="J215" s="2">
        <v>4600</v>
      </c>
      <c r="K215" s="2">
        <v>7.8</v>
      </c>
      <c r="L215" s="4">
        <v>299999</v>
      </c>
      <c r="M215" s="4">
        <v>199999</v>
      </c>
      <c r="N215" s="4">
        <v>14999</v>
      </c>
      <c r="O215" s="4">
        <v>2499</v>
      </c>
      <c r="P215" s="4">
        <v>8999</v>
      </c>
      <c r="Q215" t="s">
        <v>2369</v>
      </c>
      <c r="R215">
        <v>2022</v>
      </c>
    </row>
    <row r="216" spans="1:18" x14ac:dyDescent="0.25">
      <c r="A216" t="s">
        <v>1746</v>
      </c>
      <c r="B216" t="s">
        <v>1784</v>
      </c>
      <c r="C216" s="2">
        <v>202</v>
      </c>
      <c r="D216" t="s">
        <v>68</v>
      </c>
      <c r="E216" t="s">
        <v>475</v>
      </c>
      <c r="F216" t="s">
        <v>580</v>
      </c>
      <c r="G216" s="5" t="s">
        <v>1785</v>
      </c>
      <c r="H216" t="s">
        <v>2437</v>
      </c>
      <c r="I216" s="6">
        <f t="shared" si="3"/>
        <v>92</v>
      </c>
      <c r="J216" s="2">
        <v>4460</v>
      </c>
      <c r="K216" s="2">
        <v>6.7</v>
      </c>
      <c r="L216" s="4">
        <v>169999</v>
      </c>
      <c r="M216" s="4">
        <v>84999</v>
      </c>
      <c r="N216" s="4">
        <v>6299</v>
      </c>
      <c r="O216" s="4">
        <v>999</v>
      </c>
      <c r="P216" s="4">
        <v>3699</v>
      </c>
      <c r="Q216" t="s">
        <v>2368</v>
      </c>
      <c r="R216">
        <v>2022</v>
      </c>
    </row>
    <row r="217" spans="1:18" x14ac:dyDescent="0.25">
      <c r="A217" t="s">
        <v>1746</v>
      </c>
      <c r="B217" t="s">
        <v>1787</v>
      </c>
      <c r="C217" s="2">
        <v>205</v>
      </c>
      <c r="D217" t="s">
        <v>68</v>
      </c>
      <c r="E217" t="s">
        <v>475</v>
      </c>
      <c r="F217" t="s">
        <v>580</v>
      </c>
      <c r="G217" s="5" t="s">
        <v>1785</v>
      </c>
      <c r="H217" t="s">
        <v>2437</v>
      </c>
      <c r="I217" s="6">
        <f t="shared" si="3"/>
        <v>92</v>
      </c>
      <c r="J217" s="2">
        <v>4700</v>
      </c>
      <c r="K217" s="2">
        <v>6.74</v>
      </c>
      <c r="L217" s="4">
        <v>189999</v>
      </c>
      <c r="M217" s="4">
        <v>99999</v>
      </c>
      <c r="N217" s="4">
        <v>7299</v>
      </c>
      <c r="O217" s="4">
        <v>1199</v>
      </c>
      <c r="P217" s="4">
        <v>4399</v>
      </c>
      <c r="Q217" t="s">
        <v>2368</v>
      </c>
      <c r="R217">
        <v>2022</v>
      </c>
    </row>
    <row r="218" spans="1:18" x14ac:dyDescent="0.25">
      <c r="A218" t="s">
        <v>1746</v>
      </c>
      <c r="B218" t="s">
        <v>1792</v>
      </c>
      <c r="C218" s="2">
        <v>197</v>
      </c>
      <c r="D218" t="s">
        <v>68</v>
      </c>
      <c r="E218" t="s">
        <v>475</v>
      </c>
      <c r="F218" t="s">
        <v>1794</v>
      </c>
      <c r="G218" s="5" t="s">
        <v>1785</v>
      </c>
      <c r="H218" t="s">
        <v>2437</v>
      </c>
      <c r="I218" s="6">
        <f t="shared" si="3"/>
        <v>92</v>
      </c>
      <c r="J218" s="2">
        <v>4815</v>
      </c>
      <c r="K218" s="2">
        <v>6.67</v>
      </c>
      <c r="L218" s="4">
        <v>169999</v>
      </c>
      <c r="M218" s="4">
        <v>84999</v>
      </c>
      <c r="N218" s="4">
        <v>6988</v>
      </c>
      <c r="O218" s="4">
        <v>999</v>
      </c>
      <c r="P218" s="4">
        <v>3699</v>
      </c>
      <c r="Q218" t="s">
        <v>2368</v>
      </c>
      <c r="R218">
        <v>2023</v>
      </c>
    </row>
    <row r="219" spans="1:18" x14ac:dyDescent="0.25">
      <c r="A219" t="s">
        <v>1746</v>
      </c>
      <c r="B219" t="s">
        <v>1797</v>
      </c>
      <c r="C219" s="2">
        <v>200</v>
      </c>
      <c r="D219" t="s">
        <v>1798</v>
      </c>
      <c r="E219" t="s">
        <v>475</v>
      </c>
      <c r="F219" t="s">
        <v>1794</v>
      </c>
      <c r="G219" s="5" t="s">
        <v>1785</v>
      </c>
      <c r="H219" t="s">
        <v>2437</v>
      </c>
      <c r="I219" s="6">
        <f t="shared" si="3"/>
        <v>92</v>
      </c>
      <c r="J219" s="2">
        <v>4815</v>
      </c>
      <c r="K219" s="2">
        <v>6.67</v>
      </c>
      <c r="L219" s="4">
        <v>189999</v>
      </c>
      <c r="M219" s="4">
        <v>99999</v>
      </c>
      <c r="N219" s="4">
        <v>7988</v>
      </c>
      <c r="O219" s="4">
        <v>1099</v>
      </c>
      <c r="P219" s="4">
        <v>4199</v>
      </c>
      <c r="Q219" t="s">
        <v>2368</v>
      </c>
      <c r="R219">
        <v>2023</v>
      </c>
    </row>
    <row r="220" spans="1:18" x14ac:dyDescent="0.25">
      <c r="A220" t="s">
        <v>1746</v>
      </c>
      <c r="B220" t="s">
        <v>1800</v>
      </c>
      <c r="C220" s="2">
        <v>206</v>
      </c>
      <c r="D220" t="s">
        <v>1798</v>
      </c>
      <c r="E220" t="s">
        <v>475</v>
      </c>
      <c r="F220" t="s">
        <v>1801</v>
      </c>
      <c r="G220" s="5" t="s">
        <v>1785</v>
      </c>
      <c r="H220" t="s">
        <v>2437</v>
      </c>
      <c r="I220" s="6">
        <f t="shared" si="3"/>
        <v>92</v>
      </c>
      <c r="J220" s="2">
        <v>5100</v>
      </c>
      <c r="K220" s="2">
        <v>6.73</v>
      </c>
      <c r="L220" s="4">
        <v>219999</v>
      </c>
      <c r="M220" s="4">
        <v>119999</v>
      </c>
      <c r="N220" s="4">
        <v>8988</v>
      </c>
      <c r="O220" s="4">
        <v>1299</v>
      </c>
      <c r="P220" s="4">
        <v>4799</v>
      </c>
      <c r="Q220" t="s">
        <v>2368</v>
      </c>
      <c r="R220">
        <v>2023</v>
      </c>
    </row>
    <row r="221" spans="1:18" x14ac:dyDescent="0.25">
      <c r="A221" t="s">
        <v>1746</v>
      </c>
      <c r="B221" t="s">
        <v>1802</v>
      </c>
      <c r="C221" s="2">
        <v>239</v>
      </c>
      <c r="D221" t="s">
        <v>375</v>
      </c>
      <c r="E221" t="s">
        <v>307</v>
      </c>
      <c r="F221" t="s">
        <v>1803</v>
      </c>
      <c r="G221" s="5" t="s">
        <v>1785</v>
      </c>
      <c r="H221" t="s">
        <v>2437</v>
      </c>
      <c r="I221" s="6">
        <f t="shared" si="3"/>
        <v>92</v>
      </c>
      <c r="J221" s="2">
        <v>4800</v>
      </c>
      <c r="K221" s="2">
        <v>7.85</v>
      </c>
      <c r="L221" s="4">
        <v>349999</v>
      </c>
      <c r="M221" s="4">
        <v>249999</v>
      </c>
      <c r="N221" s="4">
        <v>13999</v>
      </c>
      <c r="O221" s="4">
        <v>2499</v>
      </c>
      <c r="P221" s="4">
        <v>9999</v>
      </c>
      <c r="Q221" t="s">
        <v>2369</v>
      </c>
      <c r="R221">
        <v>2023</v>
      </c>
    </row>
    <row r="222" spans="1:18" x14ac:dyDescent="0.25">
      <c r="A222" t="s">
        <v>1746</v>
      </c>
      <c r="B222" t="s">
        <v>1807</v>
      </c>
      <c r="C222" s="2">
        <v>209</v>
      </c>
      <c r="D222" t="s">
        <v>375</v>
      </c>
      <c r="E222" t="s">
        <v>475</v>
      </c>
      <c r="F222" t="s">
        <v>1808</v>
      </c>
      <c r="G222" s="5" t="s">
        <v>1809</v>
      </c>
      <c r="H222" t="s">
        <v>2437</v>
      </c>
      <c r="I222" s="6">
        <f t="shared" si="3"/>
        <v>88</v>
      </c>
      <c r="J222" s="2">
        <v>4750</v>
      </c>
      <c r="K222" s="2">
        <v>6.7</v>
      </c>
      <c r="L222" s="4">
        <v>199999</v>
      </c>
      <c r="M222" s="4">
        <v>109999</v>
      </c>
      <c r="N222" s="4">
        <v>6999</v>
      </c>
      <c r="O222" s="4">
        <v>1099</v>
      </c>
      <c r="P222" s="4">
        <v>4099</v>
      </c>
      <c r="Q222" t="s">
        <v>2368</v>
      </c>
      <c r="R222">
        <v>2023</v>
      </c>
    </row>
    <row r="223" spans="1:18" x14ac:dyDescent="0.25">
      <c r="A223" t="s">
        <v>1746</v>
      </c>
      <c r="B223" t="s">
        <v>1811</v>
      </c>
      <c r="C223" s="2">
        <v>225</v>
      </c>
      <c r="D223" t="s">
        <v>375</v>
      </c>
      <c r="E223" t="s">
        <v>475</v>
      </c>
      <c r="F223" t="s">
        <v>1813</v>
      </c>
      <c r="G223" s="5" t="s">
        <v>1809</v>
      </c>
      <c r="H223" t="s">
        <v>2437</v>
      </c>
      <c r="I223" s="6">
        <f t="shared" si="3"/>
        <v>88</v>
      </c>
      <c r="J223" s="2">
        <v>5000</v>
      </c>
      <c r="K223" s="2">
        <v>6.82</v>
      </c>
      <c r="L223" s="4">
        <v>229999</v>
      </c>
      <c r="M223" s="4">
        <v>129999</v>
      </c>
      <c r="N223" s="4">
        <v>7999</v>
      </c>
      <c r="O223" s="4">
        <v>1299</v>
      </c>
      <c r="P223" s="4">
        <v>4699</v>
      </c>
      <c r="Q223" t="s">
        <v>2368</v>
      </c>
      <c r="R223">
        <v>2023</v>
      </c>
    </row>
    <row r="224" spans="1:18" x14ac:dyDescent="0.25">
      <c r="A224" t="s">
        <v>1746</v>
      </c>
      <c r="B224" t="s">
        <v>1814</v>
      </c>
      <c r="C224" s="2">
        <v>235</v>
      </c>
      <c r="D224" t="s">
        <v>375</v>
      </c>
      <c r="E224" t="s">
        <v>475</v>
      </c>
      <c r="F224" t="s">
        <v>1815</v>
      </c>
      <c r="G224" s="5" t="s">
        <v>1809</v>
      </c>
      <c r="H224" t="s">
        <v>2437</v>
      </c>
      <c r="I224" s="6">
        <f t="shared" si="3"/>
        <v>88</v>
      </c>
      <c r="J224" s="2">
        <v>5200</v>
      </c>
      <c r="K224" s="2">
        <v>6.82</v>
      </c>
      <c r="L224" s="4">
        <v>249999</v>
      </c>
      <c r="M224" s="4">
        <v>149999</v>
      </c>
      <c r="N224" s="4">
        <v>8999</v>
      </c>
      <c r="O224" s="4">
        <v>1499</v>
      </c>
      <c r="P224" s="4">
        <v>5199</v>
      </c>
      <c r="Q224" t="s">
        <v>2368</v>
      </c>
      <c r="R224">
        <v>2023</v>
      </c>
    </row>
    <row r="225" spans="1:18" x14ac:dyDescent="0.25">
      <c r="A225" t="s">
        <v>1746</v>
      </c>
      <c r="B225" t="s">
        <v>1821</v>
      </c>
      <c r="C225" s="2">
        <v>220</v>
      </c>
      <c r="D225" t="s">
        <v>375</v>
      </c>
      <c r="E225" t="s">
        <v>475</v>
      </c>
      <c r="F225" t="s">
        <v>1823</v>
      </c>
      <c r="G225" s="5" t="s">
        <v>1824</v>
      </c>
      <c r="H225" t="s">
        <v>2437</v>
      </c>
      <c r="I225" s="6">
        <f t="shared" si="3"/>
        <v>90</v>
      </c>
      <c r="J225" s="2">
        <v>4900</v>
      </c>
      <c r="K225" s="2">
        <v>6.8</v>
      </c>
      <c r="L225" s="4">
        <v>169999</v>
      </c>
      <c r="M225" s="4">
        <v>84999</v>
      </c>
      <c r="N225" s="4">
        <v>6988</v>
      </c>
      <c r="O225" s="4">
        <v>999</v>
      </c>
      <c r="P225" s="4">
        <v>3699</v>
      </c>
      <c r="Q225" t="s">
        <v>2368</v>
      </c>
      <c r="R225">
        <v>2024</v>
      </c>
    </row>
    <row r="226" spans="1:18" x14ac:dyDescent="0.25">
      <c r="A226" t="s">
        <v>1746</v>
      </c>
      <c r="B226" t="s">
        <v>1826</v>
      </c>
      <c r="C226" s="2">
        <v>220</v>
      </c>
      <c r="D226" t="s">
        <v>375</v>
      </c>
      <c r="E226" t="s">
        <v>475</v>
      </c>
      <c r="F226" t="s">
        <v>1827</v>
      </c>
      <c r="G226" s="5" t="s">
        <v>1824</v>
      </c>
      <c r="H226" t="s">
        <v>2437</v>
      </c>
      <c r="I226" s="6">
        <f t="shared" si="3"/>
        <v>90</v>
      </c>
      <c r="J226" s="2">
        <v>5050</v>
      </c>
      <c r="K226" s="2">
        <v>6.8</v>
      </c>
      <c r="L226" s="4">
        <v>189999</v>
      </c>
      <c r="M226" s="4">
        <v>99999</v>
      </c>
      <c r="N226" s="4">
        <v>7988</v>
      </c>
      <c r="O226" s="4">
        <v>1099</v>
      </c>
      <c r="P226" s="4">
        <v>4199</v>
      </c>
      <c r="Q226" t="s">
        <v>2368</v>
      </c>
      <c r="R226">
        <v>2024</v>
      </c>
    </row>
    <row r="227" spans="1:18" x14ac:dyDescent="0.25">
      <c r="A227" t="s">
        <v>1746</v>
      </c>
      <c r="B227" t="s">
        <v>1829</v>
      </c>
      <c r="C227" s="2">
        <v>220</v>
      </c>
      <c r="D227" t="s">
        <v>375</v>
      </c>
      <c r="E227" t="s">
        <v>475</v>
      </c>
      <c r="F227" t="s">
        <v>1827</v>
      </c>
      <c r="G227" s="5" t="s">
        <v>1824</v>
      </c>
      <c r="H227" t="s">
        <v>2437</v>
      </c>
      <c r="I227" s="6">
        <f t="shared" si="3"/>
        <v>90</v>
      </c>
      <c r="J227" s="2">
        <v>5050</v>
      </c>
      <c r="K227" s="2">
        <v>6.8</v>
      </c>
      <c r="L227" s="4">
        <v>209999</v>
      </c>
      <c r="M227" s="4">
        <v>114999</v>
      </c>
      <c r="N227" s="4">
        <v>8988</v>
      </c>
      <c r="O227" s="4">
        <v>1199</v>
      </c>
      <c r="P227" s="4">
        <v>4699</v>
      </c>
      <c r="Q227" t="s">
        <v>2368</v>
      </c>
      <c r="R227">
        <v>2024</v>
      </c>
    </row>
    <row r="228" spans="1:18" x14ac:dyDescent="0.25">
      <c r="A228" t="s">
        <v>1746</v>
      </c>
      <c r="B228" t="s">
        <v>1830</v>
      </c>
      <c r="C228" s="2">
        <v>226</v>
      </c>
      <c r="D228" t="s">
        <v>759</v>
      </c>
      <c r="E228" t="s">
        <v>475</v>
      </c>
      <c r="F228" t="s">
        <v>1831</v>
      </c>
      <c r="G228" s="5" t="s">
        <v>1824</v>
      </c>
      <c r="H228" t="s">
        <v>2437</v>
      </c>
      <c r="I228" s="6">
        <f t="shared" si="3"/>
        <v>90</v>
      </c>
      <c r="J228" s="2">
        <v>5200</v>
      </c>
      <c r="K228" s="2">
        <v>6.8</v>
      </c>
      <c r="L228" s="4">
        <v>229999</v>
      </c>
      <c r="M228" s="4">
        <v>129999</v>
      </c>
      <c r="N228" s="4">
        <v>9988</v>
      </c>
      <c r="O228" s="4">
        <v>1299</v>
      </c>
      <c r="P228" s="4">
        <v>5199</v>
      </c>
      <c r="Q228" t="s">
        <v>2368</v>
      </c>
      <c r="R228">
        <v>2024</v>
      </c>
    </row>
    <row r="229" spans="1:18" x14ac:dyDescent="0.25">
      <c r="A229" t="s">
        <v>1746</v>
      </c>
      <c r="B229" t="s">
        <v>1833</v>
      </c>
      <c r="C229" s="2">
        <v>220</v>
      </c>
      <c r="D229" t="s">
        <v>375</v>
      </c>
      <c r="E229" t="s">
        <v>475</v>
      </c>
      <c r="F229" t="s">
        <v>61</v>
      </c>
      <c r="G229" s="5" t="s">
        <v>1824</v>
      </c>
      <c r="H229" t="s">
        <v>2437</v>
      </c>
      <c r="I229" s="6">
        <f t="shared" si="3"/>
        <v>90</v>
      </c>
      <c r="J229" s="2">
        <v>4900</v>
      </c>
      <c r="K229" s="2">
        <v>6.7</v>
      </c>
      <c r="L229" s="4">
        <v>179999</v>
      </c>
      <c r="M229" s="4">
        <v>89999</v>
      </c>
      <c r="N229" s="4">
        <v>5499</v>
      </c>
      <c r="O229" s="4">
        <v>899</v>
      </c>
      <c r="P229" s="4">
        <v>3399</v>
      </c>
      <c r="Q229" t="s">
        <v>2368</v>
      </c>
      <c r="R229">
        <v>2024</v>
      </c>
    </row>
    <row r="230" spans="1:18" x14ac:dyDescent="0.25">
      <c r="A230" t="s">
        <v>1746</v>
      </c>
      <c r="B230" t="s">
        <v>1834</v>
      </c>
      <c r="C230" s="2">
        <v>220</v>
      </c>
      <c r="D230" t="s">
        <v>375</v>
      </c>
      <c r="E230" t="s">
        <v>475</v>
      </c>
      <c r="F230" t="s">
        <v>1835</v>
      </c>
      <c r="G230" s="5" t="s">
        <v>1824</v>
      </c>
      <c r="H230" t="s">
        <v>2437</v>
      </c>
      <c r="I230" s="6">
        <f t="shared" si="3"/>
        <v>90</v>
      </c>
      <c r="J230" s="2">
        <v>5000</v>
      </c>
      <c r="K230" s="2">
        <v>6.8</v>
      </c>
      <c r="L230" s="4">
        <v>199999</v>
      </c>
      <c r="M230" s="4">
        <v>104999</v>
      </c>
      <c r="N230" s="4">
        <v>6499</v>
      </c>
      <c r="O230" s="4">
        <v>999</v>
      </c>
      <c r="P230" s="4">
        <v>3899</v>
      </c>
      <c r="Q230" t="s">
        <v>2368</v>
      </c>
      <c r="R230">
        <v>2024</v>
      </c>
    </row>
    <row r="231" spans="1:18" x14ac:dyDescent="0.25">
      <c r="A231" t="s">
        <v>1746</v>
      </c>
      <c r="B231" t="s">
        <v>1836</v>
      </c>
      <c r="C231" s="2">
        <v>220</v>
      </c>
      <c r="D231" t="s">
        <v>375</v>
      </c>
      <c r="E231" t="s">
        <v>475</v>
      </c>
      <c r="F231" t="s">
        <v>1835</v>
      </c>
      <c r="G231" s="5" t="s">
        <v>1824</v>
      </c>
      <c r="H231" t="s">
        <v>2437</v>
      </c>
      <c r="I231" s="6">
        <f t="shared" si="3"/>
        <v>90</v>
      </c>
      <c r="J231" s="2">
        <v>5000</v>
      </c>
      <c r="K231" s="2">
        <v>6.8</v>
      </c>
      <c r="L231" s="4">
        <v>219999</v>
      </c>
      <c r="M231" s="4">
        <v>119999</v>
      </c>
      <c r="N231" s="4">
        <v>7499</v>
      </c>
      <c r="O231" s="4">
        <v>1099</v>
      </c>
      <c r="P231" s="4">
        <v>4399</v>
      </c>
      <c r="Q231" t="s">
        <v>2368</v>
      </c>
      <c r="R231">
        <v>2024</v>
      </c>
    </row>
    <row r="232" spans="1:18" x14ac:dyDescent="0.25">
      <c r="A232" t="s">
        <v>1746</v>
      </c>
      <c r="B232" t="s">
        <v>1837</v>
      </c>
      <c r="C232" s="2">
        <v>241</v>
      </c>
      <c r="D232" t="s">
        <v>375</v>
      </c>
      <c r="E232" t="s">
        <v>307</v>
      </c>
      <c r="F232" t="s">
        <v>1823</v>
      </c>
      <c r="G232" s="5" t="s">
        <v>1824</v>
      </c>
      <c r="H232" t="s">
        <v>2437</v>
      </c>
      <c r="I232" s="6">
        <f t="shared" si="3"/>
        <v>90</v>
      </c>
      <c r="J232" s="2">
        <v>4800</v>
      </c>
      <c r="K232" s="2">
        <v>7.93</v>
      </c>
      <c r="L232" s="4">
        <v>349999</v>
      </c>
      <c r="M232" s="4">
        <v>249999</v>
      </c>
      <c r="N232" s="4">
        <v>12999</v>
      </c>
      <c r="O232" s="4">
        <v>2499</v>
      </c>
      <c r="P232" s="4">
        <v>9999</v>
      </c>
      <c r="Q232" t="s">
        <v>2368</v>
      </c>
      <c r="R232">
        <v>2024</v>
      </c>
    </row>
    <row r="233" spans="1:18" x14ac:dyDescent="0.25">
      <c r="A233" t="s">
        <v>1746</v>
      </c>
      <c r="B233" t="s">
        <v>1840</v>
      </c>
      <c r="C233" s="2">
        <v>168</v>
      </c>
      <c r="D233" t="s">
        <v>68</v>
      </c>
      <c r="E233" t="s">
        <v>1721</v>
      </c>
      <c r="F233" t="s">
        <v>527</v>
      </c>
      <c r="G233" s="5" t="s">
        <v>1809</v>
      </c>
      <c r="H233" t="s">
        <v>2437</v>
      </c>
      <c r="I233" s="6">
        <f t="shared" si="3"/>
        <v>88</v>
      </c>
      <c r="J233" s="2">
        <v>4500</v>
      </c>
      <c r="K233" s="2">
        <v>6.7</v>
      </c>
      <c r="L233" s="4">
        <v>89999</v>
      </c>
      <c r="M233" s="4">
        <v>44999</v>
      </c>
      <c r="N233" s="4">
        <v>2999</v>
      </c>
      <c r="O233" s="4">
        <v>499</v>
      </c>
      <c r="P233" s="4">
        <v>1899</v>
      </c>
      <c r="Q233" t="s">
        <v>2368</v>
      </c>
      <c r="R233">
        <v>2024</v>
      </c>
    </row>
    <row r="234" spans="1:18" x14ac:dyDescent="0.25">
      <c r="A234" t="s">
        <v>1746</v>
      </c>
      <c r="B234" t="s">
        <v>1841</v>
      </c>
      <c r="C234" s="2">
        <v>188</v>
      </c>
      <c r="D234" t="s">
        <v>68</v>
      </c>
      <c r="E234" t="s">
        <v>1842</v>
      </c>
      <c r="F234" t="s">
        <v>527</v>
      </c>
      <c r="G234" s="5" t="s">
        <v>1809</v>
      </c>
      <c r="H234" t="s">
        <v>2437</v>
      </c>
      <c r="I234" s="6">
        <f t="shared" si="3"/>
        <v>88</v>
      </c>
      <c r="J234" s="2">
        <v>4500</v>
      </c>
      <c r="K234" s="2">
        <v>6.78</v>
      </c>
      <c r="L234" s="4">
        <v>109999</v>
      </c>
      <c r="M234" s="4">
        <v>54999</v>
      </c>
      <c r="N234" s="4">
        <v>3499</v>
      </c>
      <c r="O234" s="4">
        <v>599</v>
      </c>
      <c r="P234" s="4">
        <v>2199</v>
      </c>
      <c r="Q234" t="s">
        <v>2368</v>
      </c>
      <c r="R234">
        <v>2024</v>
      </c>
    </row>
    <row r="235" spans="1:18" x14ac:dyDescent="0.25">
      <c r="A235" t="s">
        <v>1746</v>
      </c>
      <c r="B235" t="s">
        <v>1843</v>
      </c>
      <c r="C235" s="2">
        <v>245</v>
      </c>
      <c r="D235" t="s">
        <v>375</v>
      </c>
      <c r="E235" t="s">
        <v>475</v>
      </c>
      <c r="F235" t="s">
        <v>1845</v>
      </c>
      <c r="G235" s="5" t="s">
        <v>1824</v>
      </c>
      <c r="H235" t="s">
        <v>2437</v>
      </c>
      <c r="I235" s="6">
        <f t="shared" si="3"/>
        <v>90</v>
      </c>
      <c r="J235" s="2">
        <v>5000</v>
      </c>
      <c r="K235" s="2">
        <v>7.92</v>
      </c>
      <c r="L235" s="4">
        <v>359999</v>
      </c>
      <c r="M235" s="4">
        <v>259999</v>
      </c>
      <c r="N235" s="4">
        <v>13499</v>
      </c>
      <c r="O235" s="4">
        <v>2599</v>
      </c>
      <c r="P235" s="4">
        <v>10499</v>
      </c>
      <c r="Q235" t="s">
        <v>2368</v>
      </c>
      <c r="R235">
        <v>2024</v>
      </c>
    </row>
    <row r="236" spans="1:18" x14ac:dyDescent="0.25">
      <c r="A236" t="s">
        <v>1746</v>
      </c>
      <c r="B236" t="s">
        <v>1851</v>
      </c>
      <c r="C236" s="2">
        <v>245</v>
      </c>
      <c r="D236" t="s">
        <v>375</v>
      </c>
      <c r="E236" t="s">
        <v>475</v>
      </c>
      <c r="F236" t="s">
        <v>1845</v>
      </c>
      <c r="G236" s="5" t="s">
        <v>1824</v>
      </c>
      <c r="H236" t="s">
        <v>2437</v>
      </c>
      <c r="I236" s="6">
        <f t="shared" si="3"/>
        <v>90</v>
      </c>
      <c r="J236" s="2">
        <v>5000</v>
      </c>
      <c r="K236" s="2">
        <v>7.92</v>
      </c>
      <c r="L236" s="4">
        <v>389999</v>
      </c>
      <c r="M236" s="4">
        <v>274999</v>
      </c>
      <c r="N236" s="4">
        <v>14499</v>
      </c>
      <c r="O236" s="4">
        <v>2799</v>
      </c>
      <c r="P236" s="4">
        <v>11099</v>
      </c>
      <c r="Q236" t="s">
        <v>2368</v>
      </c>
      <c r="R236">
        <v>2024</v>
      </c>
    </row>
    <row r="237" spans="1:18" x14ac:dyDescent="0.25">
      <c r="A237" t="s">
        <v>1746</v>
      </c>
      <c r="B237" t="s">
        <v>1857</v>
      </c>
      <c r="C237" s="2">
        <v>170</v>
      </c>
      <c r="D237" t="s">
        <v>68</v>
      </c>
      <c r="E237" t="s">
        <v>580</v>
      </c>
      <c r="F237" t="s">
        <v>527</v>
      </c>
      <c r="G237" s="5" t="s">
        <v>1809</v>
      </c>
      <c r="H237" t="s">
        <v>2437</v>
      </c>
      <c r="I237" s="6">
        <f t="shared" si="3"/>
        <v>88</v>
      </c>
      <c r="J237" s="2">
        <v>4600</v>
      </c>
      <c r="K237" s="2">
        <v>6.7</v>
      </c>
      <c r="L237" s="4">
        <v>94999</v>
      </c>
      <c r="M237" s="4">
        <v>47999</v>
      </c>
      <c r="N237" s="4">
        <v>3199</v>
      </c>
      <c r="O237" s="4">
        <v>529</v>
      </c>
      <c r="P237" s="4">
        <v>1999</v>
      </c>
      <c r="Q237" t="s">
        <v>2368</v>
      </c>
      <c r="R237">
        <v>2024</v>
      </c>
    </row>
    <row r="238" spans="1:18" x14ac:dyDescent="0.25">
      <c r="A238" t="s">
        <v>1746</v>
      </c>
      <c r="B238" t="s">
        <v>1859</v>
      </c>
      <c r="C238" s="2">
        <v>170</v>
      </c>
      <c r="D238" t="s">
        <v>68</v>
      </c>
      <c r="E238" t="s">
        <v>580</v>
      </c>
      <c r="F238" t="s">
        <v>527</v>
      </c>
      <c r="G238" s="5" t="s">
        <v>1809</v>
      </c>
      <c r="H238" t="s">
        <v>2437</v>
      </c>
      <c r="I238" s="6">
        <f t="shared" si="3"/>
        <v>88</v>
      </c>
      <c r="J238" s="2">
        <v>4600</v>
      </c>
      <c r="K238" s="2">
        <v>6.7</v>
      </c>
      <c r="L238" s="4">
        <v>109999</v>
      </c>
      <c r="M238" s="4">
        <v>54999</v>
      </c>
      <c r="N238" s="4">
        <v>3699</v>
      </c>
      <c r="O238" s="4">
        <v>599</v>
      </c>
      <c r="P238" s="4">
        <v>2299</v>
      </c>
      <c r="Q238" t="s">
        <v>2368</v>
      </c>
      <c r="R238">
        <v>2024</v>
      </c>
    </row>
    <row r="239" spans="1:18" x14ac:dyDescent="0.25">
      <c r="A239" t="s">
        <v>1746</v>
      </c>
      <c r="B239" t="s">
        <v>1860</v>
      </c>
      <c r="C239" s="2">
        <v>190</v>
      </c>
      <c r="D239" t="s">
        <v>68</v>
      </c>
      <c r="E239" t="s">
        <v>1842</v>
      </c>
      <c r="F239" t="s">
        <v>527</v>
      </c>
      <c r="G239" s="5" t="s">
        <v>1809</v>
      </c>
      <c r="H239" t="s">
        <v>2437</v>
      </c>
      <c r="I239" s="6">
        <f t="shared" si="3"/>
        <v>88</v>
      </c>
      <c r="J239" s="2">
        <v>4600</v>
      </c>
      <c r="K239" s="2">
        <v>6.78</v>
      </c>
      <c r="L239" s="4">
        <v>119999</v>
      </c>
      <c r="M239" s="4">
        <v>59999</v>
      </c>
      <c r="N239" s="4">
        <v>3999</v>
      </c>
      <c r="O239" s="4">
        <v>649</v>
      </c>
      <c r="P239" s="4">
        <v>2399</v>
      </c>
      <c r="Q239" t="s">
        <v>2368</v>
      </c>
      <c r="R239">
        <v>2024</v>
      </c>
    </row>
    <row r="240" spans="1:18" x14ac:dyDescent="0.25">
      <c r="A240" t="s">
        <v>1746</v>
      </c>
      <c r="B240" t="s">
        <v>1861</v>
      </c>
      <c r="C240" s="2">
        <v>190</v>
      </c>
      <c r="D240" t="s">
        <v>68</v>
      </c>
      <c r="E240" t="s">
        <v>1842</v>
      </c>
      <c r="F240" t="s">
        <v>527</v>
      </c>
      <c r="G240" s="5" t="s">
        <v>1809</v>
      </c>
      <c r="H240" t="s">
        <v>2437</v>
      </c>
      <c r="I240" s="6">
        <f t="shared" si="3"/>
        <v>88</v>
      </c>
      <c r="J240" s="2">
        <v>4600</v>
      </c>
      <c r="K240" s="2">
        <v>6.78</v>
      </c>
      <c r="L240" s="4">
        <v>134999</v>
      </c>
      <c r="M240" s="4">
        <v>67999</v>
      </c>
      <c r="N240" s="4">
        <v>4499</v>
      </c>
      <c r="O240" s="4">
        <v>729</v>
      </c>
      <c r="P240" s="4">
        <v>2699</v>
      </c>
      <c r="Q240" t="s">
        <v>2368</v>
      </c>
      <c r="R240">
        <v>2024</v>
      </c>
    </row>
    <row r="241" spans="1:18" x14ac:dyDescent="0.25">
      <c r="A241" t="s">
        <v>1746</v>
      </c>
      <c r="B241" t="s">
        <v>1911</v>
      </c>
      <c r="C241" s="2">
        <v>508</v>
      </c>
      <c r="D241" t="s">
        <v>375</v>
      </c>
      <c r="E241" t="s">
        <v>585</v>
      </c>
      <c r="F241" t="s">
        <v>1912</v>
      </c>
      <c r="G241" s="5" t="s">
        <v>1809</v>
      </c>
      <c r="H241" t="s">
        <v>2437</v>
      </c>
      <c r="I241" s="6">
        <f t="shared" si="3"/>
        <v>88</v>
      </c>
      <c r="J241" s="2">
        <v>10100</v>
      </c>
      <c r="K241" s="2">
        <v>12.2</v>
      </c>
      <c r="L241" s="4">
        <v>161500</v>
      </c>
      <c r="M241" s="4">
        <v>49990</v>
      </c>
      <c r="N241" s="4">
        <v>4799</v>
      </c>
      <c r="O241" s="4">
        <v>999</v>
      </c>
      <c r="P241" s="4">
        <v>2199</v>
      </c>
      <c r="Q241" t="s">
        <v>2369</v>
      </c>
      <c r="R241">
        <v>2024</v>
      </c>
    </row>
    <row r="242" spans="1:18" x14ac:dyDescent="0.25">
      <c r="A242" t="s">
        <v>1746</v>
      </c>
      <c r="B242" t="s">
        <v>1917</v>
      </c>
      <c r="C242" s="2">
        <v>580</v>
      </c>
      <c r="D242" t="s">
        <v>375</v>
      </c>
      <c r="E242" t="s">
        <v>585</v>
      </c>
      <c r="F242" t="s">
        <v>1912</v>
      </c>
      <c r="G242" s="5" t="s">
        <v>1809</v>
      </c>
      <c r="H242" t="s">
        <v>2437</v>
      </c>
      <c r="I242" s="6">
        <f t="shared" si="3"/>
        <v>88</v>
      </c>
      <c r="J242" s="2">
        <v>10100</v>
      </c>
      <c r="K242" s="2">
        <v>13.2</v>
      </c>
      <c r="L242" s="4">
        <v>197000</v>
      </c>
      <c r="M242" s="4">
        <v>58590</v>
      </c>
      <c r="N242" s="4">
        <v>5199</v>
      </c>
      <c r="O242" s="4">
        <v>877</v>
      </c>
      <c r="P242" s="4">
        <v>2199</v>
      </c>
      <c r="Q242" t="s">
        <v>2369</v>
      </c>
      <c r="R242">
        <v>2024</v>
      </c>
    </row>
    <row r="243" spans="1:18" x14ac:dyDescent="0.25">
      <c r="A243" t="s">
        <v>1746</v>
      </c>
      <c r="B243" t="s">
        <v>1759</v>
      </c>
      <c r="C243" s="2">
        <v>188</v>
      </c>
      <c r="D243" t="s">
        <v>68</v>
      </c>
      <c r="E243" t="s">
        <v>475</v>
      </c>
      <c r="F243" t="s">
        <v>907</v>
      </c>
      <c r="G243" s="5" t="s">
        <v>1760</v>
      </c>
      <c r="H243" t="s">
        <v>2438</v>
      </c>
      <c r="I243" s="6">
        <f t="shared" si="3"/>
        <v>42</v>
      </c>
      <c r="J243" s="2">
        <v>4200</v>
      </c>
      <c r="K243" s="2">
        <v>6.5</v>
      </c>
      <c r="L243" s="4">
        <v>139999</v>
      </c>
      <c r="M243" s="4">
        <v>69999</v>
      </c>
      <c r="N243" s="4">
        <v>4599</v>
      </c>
      <c r="O243" s="4">
        <v>799</v>
      </c>
      <c r="P243" s="4">
        <v>2999</v>
      </c>
      <c r="Q243" t="s">
        <v>2368</v>
      </c>
      <c r="R243">
        <v>2021</v>
      </c>
    </row>
    <row r="244" spans="1:18" x14ac:dyDescent="0.25">
      <c r="A244" t="s">
        <v>1746</v>
      </c>
      <c r="B244" t="s">
        <v>1770</v>
      </c>
      <c r="C244" s="2">
        <v>175</v>
      </c>
      <c r="D244" t="s">
        <v>68</v>
      </c>
      <c r="E244" t="s">
        <v>461</v>
      </c>
      <c r="F244" t="s">
        <v>580</v>
      </c>
      <c r="G244" s="5" t="s">
        <v>1771</v>
      </c>
      <c r="H244" t="s">
        <v>2438</v>
      </c>
      <c r="I244" s="6">
        <f t="shared" si="3"/>
        <v>60</v>
      </c>
      <c r="J244" s="2">
        <v>4300</v>
      </c>
      <c r="K244" s="2">
        <v>6.57</v>
      </c>
      <c r="L244" s="4">
        <v>89999</v>
      </c>
      <c r="M244" s="4">
        <v>37999</v>
      </c>
      <c r="N244" s="4">
        <v>2699</v>
      </c>
      <c r="O244" s="4">
        <v>499</v>
      </c>
      <c r="P244" s="4">
        <v>1899</v>
      </c>
      <c r="Q244" t="s">
        <v>2368</v>
      </c>
      <c r="R244">
        <v>2021</v>
      </c>
    </row>
    <row r="245" spans="1:18" x14ac:dyDescent="0.25">
      <c r="A245" t="s">
        <v>1746</v>
      </c>
      <c r="B245" t="s">
        <v>1773</v>
      </c>
      <c r="C245" s="2">
        <v>186</v>
      </c>
      <c r="D245" t="s">
        <v>68</v>
      </c>
      <c r="E245" t="s">
        <v>1774</v>
      </c>
      <c r="F245" t="s">
        <v>580</v>
      </c>
      <c r="G245" s="5" t="s">
        <v>1771</v>
      </c>
      <c r="H245" t="s">
        <v>2438</v>
      </c>
      <c r="I245" s="6">
        <f t="shared" si="3"/>
        <v>60</v>
      </c>
      <c r="J245" s="2">
        <v>4000</v>
      </c>
      <c r="K245" s="2">
        <v>6.72</v>
      </c>
      <c r="L245" s="4">
        <v>109999</v>
      </c>
      <c r="M245" s="4">
        <v>44999</v>
      </c>
      <c r="N245" s="4">
        <v>3499</v>
      </c>
      <c r="O245" s="4">
        <v>599</v>
      </c>
      <c r="P245" s="4">
        <v>2199</v>
      </c>
      <c r="Q245" t="s">
        <v>2368</v>
      </c>
      <c r="R245">
        <v>2021</v>
      </c>
    </row>
    <row r="246" spans="1:18" x14ac:dyDescent="0.25">
      <c r="A246" t="s">
        <v>1746</v>
      </c>
      <c r="B246" t="s">
        <v>1775</v>
      </c>
      <c r="C246" s="2">
        <v>181</v>
      </c>
      <c r="D246" t="s">
        <v>68</v>
      </c>
      <c r="E246" t="s">
        <v>475</v>
      </c>
      <c r="F246" t="s">
        <v>580</v>
      </c>
      <c r="G246" s="5" t="s">
        <v>1771</v>
      </c>
      <c r="H246" t="s">
        <v>2438</v>
      </c>
      <c r="I246" s="6">
        <f t="shared" si="3"/>
        <v>60</v>
      </c>
      <c r="J246" s="2">
        <v>4100</v>
      </c>
      <c r="K246" s="2">
        <v>6.5</v>
      </c>
      <c r="L246" s="4">
        <v>119999</v>
      </c>
      <c r="M246" s="4">
        <v>54999</v>
      </c>
      <c r="N246" s="4">
        <v>4088</v>
      </c>
      <c r="O246" s="4">
        <v>649</v>
      </c>
      <c r="P246" s="4">
        <v>2399</v>
      </c>
      <c r="Q246" t="s">
        <v>2368</v>
      </c>
      <c r="R246">
        <v>2022</v>
      </c>
    </row>
    <row r="247" spans="1:18" x14ac:dyDescent="0.25">
      <c r="A247" t="s">
        <v>1746</v>
      </c>
      <c r="B247" t="s">
        <v>1788</v>
      </c>
      <c r="C247" s="2">
        <v>168</v>
      </c>
      <c r="D247" t="s">
        <v>68</v>
      </c>
      <c r="E247" t="s">
        <v>1721</v>
      </c>
      <c r="F247" t="s">
        <v>580</v>
      </c>
      <c r="G247" s="5" t="s">
        <v>1771</v>
      </c>
      <c r="H247" t="s">
        <v>2438</v>
      </c>
      <c r="I247" s="6">
        <f t="shared" si="3"/>
        <v>60</v>
      </c>
      <c r="J247" s="2">
        <v>4000</v>
      </c>
      <c r="K247" s="2">
        <v>6.67</v>
      </c>
      <c r="L247" s="4">
        <v>99999</v>
      </c>
      <c r="M247" s="4">
        <v>39999</v>
      </c>
      <c r="N247" s="4">
        <v>2699</v>
      </c>
      <c r="O247" s="4">
        <v>499</v>
      </c>
      <c r="P247" s="4">
        <v>1899</v>
      </c>
      <c r="Q247" t="s">
        <v>2368</v>
      </c>
      <c r="R247">
        <v>2022</v>
      </c>
    </row>
    <row r="248" spans="1:18" x14ac:dyDescent="0.25">
      <c r="A248" t="s">
        <v>1746</v>
      </c>
      <c r="B248" t="s">
        <v>1789</v>
      </c>
      <c r="C248" s="2">
        <v>191</v>
      </c>
      <c r="D248" t="s">
        <v>68</v>
      </c>
      <c r="E248" t="s">
        <v>1790</v>
      </c>
      <c r="F248" t="s">
        <v>580</v>
      </c>
      <c r="G248" s="5" t="s">
        <v>1771</v>
      </c>
      <c r="H248" t="s">
        <v>2438</v>
      </c>
      <c r="I248" s="6">
        <f t="shared" si="3"/>
        <v>60</v>
      </c>
      <c r="J248" s="2">
        <v>4500</v>
      </c>
      <c r="K248" s="2">
        <v>6.78</v>
      </c>
      <c r="L248" s="4">
        <v>119999</v>
      </c>
      <c r="M248" s="4">
        <v>49999</v>
      </c>
      <c r="N248" s="4">
        <v>3499</v>
      </c>
      <c r="O248" s="4">
        <v>599</v>
      </c>
      <c r="P248" s="4">
        <v>2199</v>
      </c>
      <c r="Q248" t="s">
        <v>2368</v>
      </c>
      <c r="R248">
        <v>2022</v>
      </c>
    </row>
    <row r="249" spans="1:18" x14ac:dyDescent="0.25">
      <c r="A249" t="s">
        <v>1746</v>
      </c>
      <c r="B249" t="s">
        <v>1791</v>
      </c>
      <c r="C249" s="2">
        <v>184</v>
      </c>
      <c r="D249" t="s">
        <v>68</v>
      </c>
      <c r="E249" t="s">
        <v>585</v>
      </c>
      <c r="F249" t="s">
        <v>753</v>
      </c>
      <c r="G249" s="5" t="s">
        <v>1169</v>
      </c>
      <c r="H249" t="s">
        <v>2438</v>
      </c>
      <c r="I249" s="6">
        <f t="shared" si="3"/>
        <v>32</v>
      </c>
      <c r="J249" s="2">
        <v>4500</v>
      </c>
      <c r="K249" s="2">
        <v>6.67</v>
      </c>
      <c r="L249" s="4">
        <v>79999</v>
      </c>
      <c r="M249" s="4">
        <v>34999</v>
      </c>
      <c r="N249" s="4">
        <v>2299</v>
      </c>
      <c r="O249" s="4">
        <v>399</v>
      </c>
      <c r="P249" s="4">
        <v>1499</v>
      </c>
      <c r="Q249" t="s">
        <v>2368</v>
      </c>
      <c r="R249">
        <v>2022</v>
      </c>
    </row>
    <row r="250" spans="1:18" x14ac:dyDescent="0.25">
      <c r="A250" t="s">
        <v>1746</v>
      </c>
      <c r="B250" t="s">
        <v>1816</v>
      </c>
      <c r="C250" s="2">
        <v>168</v>
      </c>
      <c r="D250" t="s">
        <v>68</v>
      </c>
      <c r="E250" t="s">
        <v>1721</v>
      </c>
      <c r="F250" t="s">
        <v>1817</v>
      </c>
      <c r="G250" s="5" t="s">
        <v>1771</v>
      </c>
      <c r="H250" t="s">
        <v>2438</v>
      </c>
      <c r="I250" s="6">
        <f t="shared" si="3"/>
        <v>60</v>
      </c>
      <c r="J250" s="2">
        <v>4500</v>
      </c>
      <c r="K250" s="2">
        <v>6.7</v>
      </c>
      <c r="L250" s="4">
        <v>89999</v>
      </c>
      <c r="M250" s="4">
        <v>44999</v>
      </c>
      <c r="N250" s="4">
        <v>2999</v>
      </c>
      <c r="O250" s="4">
        <v>499</v>
      </c>
      <c r="P250" s="4">
        <v>1899</v>
      </c>
      <c r="Q250" t="s">
        <v>2368</v>
      </c>
      <c r="R250">
        <v>2023</v>
      </c>
    </row>
    <row r="251" spans="1:18" x14ac:dyDescent="0.25">
      <c r="A251" t="s">
        <v>1746</v>
      </c>
      <c r="B251" t="s">
        <v>1818</v>
      </c>
      <c r="C251" s="2">
        <v>188</v>
      </c>
      <c r="D251" t="s">
        <v>68</v>
      </c>
      <c r="E251" t="s">
        <v>1819</v>
      </c>
      <c r="F251" t="s">
        <v>1817</v>
      </c>
      <c r="G251" s="5" t="s">
        <v>1771</v>
      </c>
      <c r="H251" t="s">
        <v>2438</v>
      </c>
      <c r="I251" s="6">
        <f t="shared" si="3"/>
        <v>60</v>
      </c>
      <c r="J251" s="2">
        <v>4500</v>
      </c>
      <c r="K251" s="2">
        <v>6.78</v>
      </c>
      <c r="L251" s="4">
        <v>109999</v>
      </c>
      <c r="M251" s="4">
        <v>54999</v>
      </c>
      <c r="N251" s="4">
        <v>3499</v>
      </c>
      <c r="O251" s="4">
        <v>599</v>
      </c>
      <c r="P251" s="4">
        <v>2199</v>
      </c>
      <c r="Q251" t="s">
        <v>2368</v>
      </c>
      <c r="R251">
        <v>2023</v>
      </c>
    </row>
    <row r="252" spans="1:18" x14ac:dyDescent="0.25">
      <c r="A252" t="s">
        <v>1746</v>
      </c>
      <c r="B252" t="s">
        <v>1820</v>
      </c>
      <c r="C252" s="2">
        <v>188</v>
      </c>
      <c r="D252" t="s">
        <v>375</v>
      </c>
      <c r="E252" t="s">
        <v>1819</v>
      </c>
      <c r="F252" t="s">
        <v>1817</v>
      </c>
      <c r="G252" s="5" t="s">
        <v>1771</v>
      </c>
      <c r="H252" t="s">
        <v>2438</v>
      </c>
      <c r="I252" s="6">
        <f t="shared" si="3"/>
        <v>60</v>
      </c>
      <c r="J252" s="2">
        <v>4500</v>
      </c>
      <c r="K252" s="2">
        <v>6.78</v>
      </c>
      <c r="L252" s="4">
        <v>129999</v>
      </c>
      <c r="M252" s="4">
        <v>64999</v>
      </c>
      <c r="N252" s="4">
        <v>3999</v>
      </c>
      <c r="O252" s="4">
        <v>699</v>
      </c>
      <c r="P252" s="4">
        <v>2499</v>
      </c>
      <c r="Q252" t="s">
        <v>2368</v>
      </c>
      <c r="R252">
        <v>2023</v>
      </c>
    </row>
    <row r="253" spans="1:18" x14ac:dyDescent="0.25">
      <c r="A253" t="s">
        <v>2041</v>
      </c>
      <c r="B253" t="s">
        <v>2042</v>
      </c>
      <c r="C253" s="2">
        <v>450</v>
      </c>
      <c r="D253" t="s">
        <v>18</v>
      </c>
      <c r="E253" t="s">
        <v>307</v>
      </c>
      <c r="F253" t="s">
        <v>475</v>
      </c>
      <c r="G253" s="5" t="s">
        <v>2390</v>
      </c>
      <c r="H253" t="s">
        <v>2439</v>
      </c>
      <c r="I253" s="6">
        <f t="shared" si="3"/>
        <v>22</v>
      </c>
      <c r="J253" s="2">
        <v>7000</v>
      </c>
      <c r="K253" s="2">
        <v>10.1</v>
      </c>
      <c r="L253" s="4">
        <v>54999</v>
      </c>
      <c r="M253" s="4">
        <v>21999</v>
      </c>
      <c r="N253" s="4">
        <v>1999</v>
      </c>
      <c r="O253" s="4">
        <v>299</v>
      </c>
      <c r="P253" s="4">
        <v>1099</v>
      </c>
      <c r="Q253" t="s">
        <v>2369</v>
      </c>
      <c r="R253">
        <v>2024</v>
      </c>
    </row>
    <row r="254" spans="1:18" x14ac:dyDescent="0.25">
      <c r="A254" t="s">
        <v>2041</v>
      </c>
      <c r="B254" t="s">
        <v>2046</v>
      </c>
      <c r="C254" s="2">
        <v>420</v>
      </c>
      <c r="D254" t="s">
        <v>162</v>
      </c>
      <c r="E254" t="s">
        <v>508</v>
      </c>
      <c r="F254" t="s">
        <v>307</v>
      </c>
      <c r="G254" s="5" t="s">
        <v>1714</v>
      </c>
      <c r="H254" t="s">
        <v>2439</v>
      </c>
      <c r="I254" s="6">
        <f t="shared" si="3"/>
        <v>4</v>
      </c>
      <c r="J254" s="2">
        <v>6000</v>
      </c>
      <c r="K254" s="2">
        <v>9.6999999999999993</v>
      </c>
      <c r="L254" s="4">
        <v>39999</v>
      </c>
      <c r="M254" s="4">
        <v>14999</v>
      </c>
      <c r="N254" s="4">
        <v>1399</v>
      </c>
      <c r="O254" s="4">
        <v>219</v>
      </c>
      <c r="P254" s="4">
        <v>799</v>
      </c>
      <c r="Q254" t="s">
        <v>2369</v>
      </c>
      <c r="R254">
        <v>2024</v>
      </c>
    </row>
    <row r="255" spans="1:18" x14ac:dyDescent="0.25">
      <c r="A255" t="s">
        <v>2041</v>
      </c>
      <c r="B255" t="s">
        <v>2051</v>
      </c>
      <c r="C255" s="2">
        <v>192</v>
      </c>
      <c r="D255" t="s">
        <v>18</v>
      </c>
      <c r="E255" t="s">
        <v>307</v>
      </c>
      <c r="F255" t="s">
        <v>580</v>
      </c>
      <c r="G255" s="5" t="s">
        <v>2391</v>
      </c>
      <c r="H255" t="s">
        <v>2439</v>
      </c>
      <c r="I255" s="6">
        <f t="shared" si="3"/>
        <v>12</v>
      </c>
      <c r="J255" s="2">
        <v>5000</v>
      </c>
      <c r="K255" s="2">
        <v>6.78</v>
      </c>
      <c r="L255" s="4">
        <v>39999</v>
      </c>
      <c r="M255" s="4">
        <v>14999</v>
      </c>
      <c r="N255" s="4">
        <v>1399</v>
      </c>
      <c r="O255" s="4">
        <v>219</v>
      </c>
      <c r="P255" s="4">
        <v>799</v>
      </c>
      <c r="Q255" t="s">
        <v>2368</v>
      </c>
      <c r="R255">
        <v>2024</v>
      </c>
    </row>
    <row r="256" spans="1:18" x14ac:dyDescent="0.25">
      <c r="A256" t="s">
        <v>2041</v>
      </c>
      <c r="B256" t="s">
        <v>2052</v>
      </c>
      <c r="C256" s="2">
        <v>190</v>
      </c>
      <c r="D256" t="s">
        <v>162</v>
      </c>
      <c r="E256" t="s">
        <v>307</v>
      </c>
      <c r="F256" t="s">
        <v>580</v>
      </c>
      <c r="G256" s="5" t="s">
        <v>1714</v>
      </c>
      <c r="H256" t="s">
        <v>2439</v>
      </c>
      <c r="I256" s="6">
        <f t="shared" si="3"/>
        <v>4</v>
      </c>
      <c r="J256" s="2">
        <v>5000</v>
      </c>
      <c r="K256" s="2">
        <v>6.6</v>
      </c>
      <c r="L256" s="4">
        <v>32999</v>
      </c>
      <c r="M256" s="4">
        <v>12499</v>
      </c>
      <c r="N256" s="4">
        <v>1199</v>
      </c>
      <c r="O256" s="4">
        <v>179</v>
      </c>
      <c r="P256" s="4">
        <v>699</v>
      </c>
      <c r="Q256" t="s">
        <v>2368</v>
      </c>
      <c r="R256">
        <v>2024</v>
      </c>
    </row>
    <row r="257" spans="1:18" x14ac:dyDescent="0.25">
      <c r="A257" t="s">
        <v>2041</v>
      </c>
      <c r="B257" t="s">
        <v>2055</v>
      </c>
      <c r="C257" s="2">
        <v>194</v>
      </c>
      <c r="D257" t="s">
        <v>68</v>
      </c>
      <c r="E257" t="s">
        <v>585</v>
      </c>
      <c r="F257" t="s">
        <v>580</v>
      </c>
      <c r="G257" s="5" t="s">
        <v>2390</v>
      </c>
      <c r="H257" t="s">
        <v>2439</v>
      </c>
      <c r="I257" s="6">
        <f t="shared" si="3"/>
        <v>22</v>
      </c>
      <c r="J257" s="2">
        <v>5000</v>
      </c>
      <c r="K257" s="2">
        <v>6.8</v>
      </c>
      <c r="L257" s="4">
        <v>45999</v>
      </c>
      <c r="M257" s="4">
        <v>17999</v>
      </c>
      <c r="N257" s="4">
        <v>1699</v>
      </c>
      <c r="O257" s="4">
        <v>269</v>
      </c>
      <c r="P257" s="4">
        <v>999</v>
      </c>
      <c r="Q257" t="s">
        <v>2368</v>
      </c>
      <c r="R257">
        <v>2024</v>
      </c>
    </row>
    <row r="258" spans="1:18" x14ac:dyDescent="0.25">
      <c r="A258" t="s">
        <v>2041</v>
      </c>
      <c r="B258" t="s">
        <v>2062</v>
      </c>
      <c r="C258" s="2">
        <v>196</v>
      </c>
      <c r="D258" t="s">
        <v>68</v>
      </c>
      <c r="E258" t="s">
        <v>461</v>
      </c>
      <c r="F258" t="s">
        <v>580</v>
      </c>
      <c r="G258" s="5" t="s">
        <v>2390</v>
      </c>
      <c r="H258" t="s">
        <v>2439</v>
      </c>
      <c r="I258" s="6">
        <f t="shared" ref="I258:I321" si="4">_xlfn.XLOOKUP(G258, $T$2:$T$183,$U$2:$U$183,"Unknown",0)</f>
        <v>22</v>
      </c>
      <c r="J258" s="2">
        <v>5000</v>
      </c>
      <c r="K258" s="2">
        <v>6.78</v>
      </c>
      <c r="L258" s="4">
        <v>42999</v>
      </c>
      <c r="M258" s="4">
        <v>16999</v>
      </c>
      <c r="N258" s="4">
        <v>1799</v>
      </c>
      <c r="O258" s="4">
        <v>279</v>
      </c>
      <c r="P258" s="4">
        <v>999</v>
      </c>
      <c r="Q258" t="s">
        <v>2368</v>
      </c>
      <c r="R258">
        <v>2024</v>
      </c>
    </row>
    <row r="259" spans="1:18" x14ac:dyDescent="0.25">
      <c r="A259" t="s">
        <v>2041</v>
      </c>
      <c r="B259" t="s">
        <v>2067</v>
      </c>
      <c r="C259" s="2">
        <v>196</v>
      </c>
      <c r="D259" t="s">
        <v>68</v>
      </c>
      <c r="E259" t="s">
        <v>461</v>
      </c>
      <c r="F259" t="s">
        <v>580</v>
      </c>
      <c r="G259" s="5" t="s">
        <v>2394</v>
      </c>
      <c r="H259" t="s">
        <v>2439</v>
      </c>
      <c r="I259" s="6">
        <f t="shared" si="4"/>
        <v>14</v>
      </c>
      <c r="J259" s="2">
        <v>5000</v>
      </c>
      <c r="K259" s="2">
        <v>6.78</v>
      </c>
      <c r="L259" s="4">
        <v>35999</v>
      </c>
      <c r="M259" s="4">
        <v>12499</v>
      </c>
      <c r="N259" s="4">
        <v>1199</v>
      </c>
      <c r="O259" s="4">
        <v>199</v>
      </c>
      <c r="P259" s="4">
        <v>749</v>
      </c>
      <c r="Q259" t="s">
        <v>2368</v>
      </c>
      <c r="R259">
        <v>2023</v>
      </c>
    </row>
    <row r="260" spans="1:18" x14ac:dyDescent="0.25">
      <c r="A260" t="s">
        <v>2041</v>
      </c>
      <c r="B260" t="s">
        <v>2069</v>
      </c>
      <c r="C260" s="2">
        <v>195</v>
      </c>
      <c r="D260" t="s">
        <v>162</v>
      </c>
      <c r="E260" t="s">
        <v>307</v>
      </c>
      <c r="F260" t="s">
        <v>475</v>
      </c>
      <c r="G260" s="5" t="s">
        <v>1714</v>
      </c>
      <c r="H260" t="s">
        <v>2439</v>
      </c>
      <c r="I260" s="6">
        <f t="shared" si="4"/>
        <v>4</v>
      </c>
      <c r="J260" s="2">
        <v>5000</v>
      </c>
      <c r="K260" s="2">
        <v>6.6</v>
      </c>
      <c r="L260" s="4">
        <v>28999</v>
      </c>
      <c r="M260" s="4">
        <v>10999</v>
      </c>
      <c r="N260" s="4">
        <v>999</v>
      </c>
      <c r="O260" s="4">
        <v>159</v>
      </c>
      <c r="P260" s="4">
        <v>599</v>
      </c>
      <c r="Q260" t="s">
        <v>2368</v>
      </c>
      <c r="R260">
        <v>2023</v>
      </c>
    </row>
    <row r="261" spans="1:18" x14ac:dyDescent="0.25">
      <c r="A261" t="s">
        <v>2041</v>
      </c>
      <c r="B261" t="s">
        <v>2071</v>
      </c>
      <c r="C261" s="2">
        <v>195</v>
      </c>
      <c r="D261" t="s">
        <v>68</v>
      </c>
      <c r="E261" t="s">
        <v>461</v>
      </c>
      <c r="F261" t="s">
        <v>753</v>
      </c>
      <c r="G261" s="5" t="s">
        <v>2390</v>
      </c>
      <c r="H261" t="s">
        <v>2439</v>
      </c>
      <c r="I261" s="6">
        <f t="shared" si="4"/>
        <v>22</v>
      </c>
      <c r="J261" s="2">
        <v>5000</v>
      </c>
      <c r="K261" s="2">
        <v>6.78</v>
      </c>
      <c r="L261" s="4">
        <v>39999</v>
      </c>
      <c r="M261" s="4">
        <v>14999</v>
      </c>
      <c r="N261" s="4">
        <v>1399</v>
      </c>
      <c r="O261" s="4">
        <v>229</v>
      </c>
      <c r="P261" s="4">
        <v>849</v>
      </c>
      <c r="Q261" t="s">
        <v>2368</v>
      </c>
      <c r="R261">
        <v>2023</v>
      </c>
    </row>
    <row r="262" spans="1:18" x14ac:dyDescent="0.25">
      <c r="A262" t="s">
        <v>2041</v>
      </c>
      <c r="B262" t="s">
        <v>2076</v>
      </c>
      <c r="C262" s="2">
        <v>190</v>
      </c>
      <c r="D262" t="s">
        <v>68</v>
      </c>
      <c r="E262" t="s">
        <v>461</v>
      </c>
      <c r="F262" t="s">
        <v>753</v>
      </c>
      <c r="G262" s="5" t="s">
        <v>2390</v>
      </c>
      <c r="H262" t="s">
        <v>2439</v>
      </c>
      <c r="I262" s="6">
        <f t="shared" si="4"/>
        <v>22</v>
      </c>
      <c r="J262" s="2">
        <v>5000</v>
      </c>
      <c r="K262" s="2">
        <v>6.78</v>
      </c>
      <c r="L262" s="4">
        <v>45999</v>
      </c>
      <c r="M262" s="4">
        <v>17999</v>
      </c>
      <c r="N262" s="4">
        <v>1799</v>
      </c>
      <c r="O262" s="4">
        <v>279</v>
      </c>
      <c r="P262" s="4">
        <v>999</v>
      </c>
      <c r="Q262" t="s">
        <v>2368</v>
      </c>
      <c r="R262">
        <v>2024</v>
      </c>
    </row>
    <row r="263" spans="1:18" x14ac:dyDescent="0.25">
      <c r="A263" t="s">
        <v>2041</v>
      </c>
      <c r="B263" t="s">
        <v>2078</v>
      </c>
      <c r="C263" s="2">
        <v>196</v>
      </c>
      <c r="D263" t="s">
        <v>68</v>
      </c>
      <c r="E263" t="s">
        <v>307</v>
      </c>
      <c r="F263" t="s">
        <v>580</v>
      </c>
      <c r="G263" s="5" t="s">
        <v>2394</v>
      </c>
      <c r="H263" t="s">
        <v>2439</v>
      </c>
      <c r="I263" s="6">
        <f t="shared" si="4"/>
        <v>14</v>
      </c>
      <c r="J263" s="2">
        <v>5000</v>
      </c>
      <c r="K263" s="2">
        <v>6.78</v>
      </c>
      <c r="L263" s="4">
        <v>35999</v>
      </c>
      <c r="M263" s="4">
        <v>12499</v>
      </c>
      <c r="N263" s="4">
        <v>1199</v>
      </c>
      <c r="O263" s="4">
        <v>199</v>
      </c>
      <c r="P263" s="4">
        <v>749</v>
      </c>
      <c r="Q263" t="s">
        <v>2368</v>
      </c>
      <c r="R263">
        <v>2023</v>
      </c>
    </row>
    <row r="264" spans="1:18" x14ac:dyDescent="0.25">
      <c r="A264" t="s">
        <v>2041</v>
      </c>
      <c r="B264" t="s">
        <v>2079</v>
      </c>
      <c r="C264" s="2">
        <v>191</v>
      </c>
      <c r="D264" t="s">
        <v>162</v>
      </c>
      <c r="E264" t="s">
        <v>307</v>
      </c>
      <c r="F264" t="s">
        <v>475</v>
      </c>
      <c r="G264" s="5" t="s">
        <v>1714</v>
      </c>
      <c r="H264" t="s">
        <v>2439</v>
      </c>
      <c r="I264" s="6">
        <f t="shared" si="4"/>
        <v>4</v>
      </c>
      <c r="J264" s="2">
        <v>5000</v>
      </c>
      <c r="K264" s="2">
        <v>6.6</v>
      </c>
      <c r="L264" s="4">
        <v>28999</v>
      </c>
      <c r="M264" s="4">
        <v>10999</v>
      </c>
      <c r="N264" s="4">
        <v>999</v>
      </c>
      <c r="O264" s="4">
        <v>159</v>
      </c>
      <c r="P264" s="4">
        <v>599</v>
      </c>
      <c r="Q264" t="s">
        <v>2368</v>
      </c>
      <c r="R264">
        <v>2023</v>
      </c>
    </row>
    <row r="265" spans="1:18" x14ac:dyDescent="0.25">
      <c r="A265" t="s">
        <v>2041</v>
      </c>
      <c r="B265" t="s">
        <v>2080</v>
      </c>
      <c r="C265" s="2">
        <v>191</v>
      </c>
      <c r="D265" t="s">
        <v>162</v>
      </c>
      <c r="E265" t="s">
        <v>307</v>
      </c>
      <c r="F265" t="s">
        <v>475</v>
      </c>
      <c r="G265" s="5" t="s">
        <v>1714</v>
      </c>
      <c r="H265" t="s">
        <v>2439</v>
      </c>
      <c r="I265" s="6">
        <f t="shared" si="4"/>
        <v>4</v>
      </c>
      <c r="J265" s="2">
        <v>5000</v>
      </c>
      <c r="K265" s="2">
        <v>6.6</v>
      </c>
      <c r="L265" s="4">
        <v>29999</v>
      </c>
      <c r="M265" s="4">
        <v>11499</v>
      </c>
      <c r="N265" s="4">
        <v>999</v>
      </c>
      <c r="O265" s="4">
        <v>159</v>
      </c>
      <c r="P265" s="4">
        <v>599</v>
      </c>
      <c r="Q265" t="s">
        <v>2368</v>
      </c>
      <c r="R265">
        <v>2023</v>
      </c>
    </row>
    <row r="266" spans="1:18" x14ac:dyDescent="0.25">
      <c r="A266" t="s">
        <v>2041</v>
      </c>
      <c r="B266" t="s">
        <v>2082</v>
      </c>
      <c r="C266" s="2">
        <v>205</v>
      </c>
      <c r="D266" t="s">
        <v>162</v>
      </c>
      <c r="E266" t="s">
        <v>307</v>
      </c>
      <c r="F266" t="s">
        <v>585</v>
      </c>
      <c r="G266" s="5" t="s">
        <v>2380</v>
      </c>
      <c r="H266" t="s">
        <v>2439</v>
      </c>
      <c r="I266" s="6">
        <f t="shared" si="4"/>
        <v>6</v>
      </c>
      <c r="J266" s="2">
        <v>6000</v>
      </c>
      <c r="K266" s="2">
        <v>6.82</v>
      </c>
      <c r="L266" s="4">
        <v>30999</v>
      </c>
      <c r="M266" s="4">
        <v>11999</v>
      </c>
      <c r="N266" s="4">
        <v>1099</v>
      </c>
      <c r="O266" s="4">
        <v>179</v>
      </c>
      <c r="P266" s="4">
        <v>649</v>
      </c>
      <c r="Q266" t="s">
        <v>2368</v>
      </c>
      <c r="R266">
        <v>2023</v>
      </c>
    </row>
    <row r="267" spans="1:18" x14ac:dyDescent="0.25">
      <c r="A267" t="s">
        <v>2041</v>
      </c>
      <c r="B267" t="s">
        <v>2091</v>
      </c>
      <c r="C267" s="2">
        <v>195</v>
      </c>
      <c r="D267" t="s">
        <v>18</v>
      </c>
      <c r="E267" t="s">
        <v>307</v>
      </c>
      <c r="F267" t="s">
        <v>475</v>
      </c>
      <c r="G267" s="5" t="s">
        <v>2391</v>
      </c>
      <c r="H267" t="s">
        <v>2439</v>
      </c>
      <c r="I267" s="6">
        <f t="shared" si="4"/>
        <v>12</v>
      </c>
      <c r="J267" s="2">
        <v>5000</v>
      </c>
      <c r="K267" s="2">
        <v>6.82</v>
      </c>
      <c r="L267" s="4">
        <v>28999</v>
      </c>
      <c r="M267" s="4">
        <v>11499</v>
      </c>
      <c r="N267" s="4">
        <v>1099</v>
      </c>
      <c r="O267" s="4">
        <v>179</v>
      </c>
      <c r="P267" s="4">
        <v>649</v>
      </c>
      <c r="Q267" t="s">
        <v>2368</v>
      </c>
      <c r="R267">
        <v>2022</v>
      </c>
    </row>
    <row r="268" spans="1:18" x14ac:dyDescent="0.25">
      <c r="A268" t="s">
        <v>2041</v>
      </c>
      <c r="B268" t="s">
        <v>2092</v>
      </c>
      <c r="C268" s="2">
        <v>209</v>
      </c>
      <c r="D268" t="s">
        <v>162</v>
      </c>
      <c r="E268" t="s">
        <v>307</v>
      </c>
      <c r="F268" t="s">
        <v>475</v>
      </c>
      <c r="G268" s="5" t="s">
        <v>2093</v>
      </c>
      <c r="H268" t="s">
        <v>2439</v>
      </c>
      <c r="I268" s="6">
        <f t="shared" si="4"/>
        <v>5</v>
      </c>
      <c r="J268" s="2">
        <v>6000</v>
      </c>
      <c r="K268" s="2">
        <v>6.82</v>
      </c>
      <c r="L268" s="4">
        <v>24999</v>
      </c>
      <c r="M268" s="4">
        <v>10499</v>
      </c>
      <c r="N268" s="4">
        <v>999</v>
      </c>
      <c r="O268" s="4">
        <v>159</v>
      </c>
      <c r="P268" s="4">
        <v>599</v>
      </c>
      <c r="Q268" t="s">
        <v>2368</v>
      </c>
      <c r="R268">
        <v>2022</v>
      </c>
    </row>
    <row r="269" spans="1:18" x14ac:dyDescent="0.25">
      <c r="A269" t="s">
        <v>2041</v>
      </c>
      <c r="B269" t="s">
        <v>2095</v>
      </c>
      <c r="C269" s="2">
        <v>191</v>
      </c>
      <c r="D269" t="s">
        <v>68</v>
      </c>
      <c r="E269" t="s">
        <v>307</v>
      </c>
      <c r="F269" t="s">
        <v>580</v>
      </c>
      <c r="G269" s="5" t="s">
        <v>1536</v>
      </c>
      <c r="H269" t="s">
        <v>2439</v>
      </c>
      <c r="I269" s="6">
        <f t="shared" si="4"/>
        <v>8</v>
      </c>
      <c r="J269" s="2">
        <v>5000</v>
      </c>
      <c r="K269" s="2">
        <v>6.6</v>
      </c>
      <c r="L269" s="4">
        <v>31999</v>
      </c>
      <c r="M269" s="4">
        <v>12999</v>
      </c>
      <c r="N269" s="4">
        <v>1199</v>
      </c>
      <c r="O269" s="4">
        <v>199</v>
      </c>
      <c r="P269" s="4">
        <v>749</v>
      </c>
      <c r="Q269" t="s">
        <v>2368</v>
      </c>
      <c r="R269">
        <v>2022</v>
      </c>
    </row>
    <row r="270" spans="1:18" x14ac:dyDescent="0.25">
      <c r="A270" t="s">
        <v>2041</v>
      </c>
      <c r="B270" t="s">
        <v>2097</v>
      </c>
      <c r="C270" s="2">
        <v>190</v>
      </c>
      <c r="D270" t="s">
        <v>162</v>
      </c>
      <c r="E270" t="s">
        <v>307</v>
      </c>
      <c r="F270" t="s">
        <v>475</v>
      </c>
      <c r="G270" s="5" t="s">
        <v>2396</v>
      </c>
      <c r="H270" t="s">
        <v>2439</v>
      </c>
      <c r="I270" s="6">
        <f t="shared" si="4"/>
        <v>2</v>
      </c>
      <c r="J270" s="2">
        <v>5000</v>
      </c>
      <c r="K270" s="2">
        <v>6.6</v>
      </c>
      <c r="L270" s="4">
        <v>22999</v>
      </c>
      <c r="M270" s="4">
        <v>9999</v>
      </c>
      <c r="N270" s="4">
        <v>899</v>
      </c>
      <c r="O270" s="4">
        <v>139</v>
      </c>
      <c r="P270" s="4">
        <v>499</v>
      </c>
      <c r="Q270" t="s">
        <v>2368</v>
      </c>
      <c r="R270">
        <v>2022</v>
      </c>
    </row>
    <row r="271" spans="1:18" x14ac:dyDescent="0.25">
      <c r="A271" t="s">
        <v>2041</v>
      </c>
      <c r="B271" t="s">
        <v>2098</v>
      </c>
      <c r="C271" s="2">
        <v>198</v>
      </c>
      <c r="D271" t="s">
        <v>18</v>
      </c>
      <c r="E271" t="s">
        <v>307</v>
      </c>
      <c r="F271" t="s">
        <v>580</v>
      </c>
      <c r="G271" s="5" t="s">
        <v>2391</v>
      </c>
      <c r="H271" t="s">
        <v>2439</v>
      </c>
      <c r="I271" s="6">
        <f t="shared" si="4"/>
        <v>12</v>
      </c>
      <c r="J271" s="2">
        <v>5000</v>
      </c>
      <c r="K271" s="2">
        <v>6.82</v>
      </c>
      <c r="L271" s="4">
        <v>30999</v>
      </c>
      <c r="M271" s="4">
        <v>12999</v>
      </c>
      <c r="N271" s="4">
        <v>1199</v>
      </c>
      <c r="O271" s="4">
        <v>199</v>
      </c>
      <c r="P271" s="4">
        <v>749</v>
      </c>
      <c r="Q271" t="s">
        <v>2368</v>
      </c>
      <c r="R271">
        <v>2022</v>
      </c>
    </row>
    <row r="272" spans="1:18" x14ac:dyDescent="0.25">
      <c r="A272" t="s">
        <v>2041</v>
      </c>
      <c r="B272" t="s">
        <v>2099</v>
      </c>
      <c r="C272" s="2">
        <v>209</v>
      </c>
      <c r="D272" t="s">
        <v>162</v>
      </c>
      <c r="E272" t="s">
        <v>307</v>
      </c>
      <c r="F272" t="s">
        <v>475</v>
      </c>
      <c r="G272" s="5" t="s">
        <v>2380</v>
      </c>
      <c r="H272" t="s">
        <v>2439</v>
      </c>
      <c r="I272" s="6">
        <f t="shared" si="4"/>
        <v>6</v>
      </c>
      <c r="J272" s="2">
        <v>6000</v>
      </c>
      <c r="K272" s="2">
        <v>6.82</v>
      </c>
      <c r="L272" s="4">
        <v>25999</v>
      </c>
      <c r="M272" s="4">
        <v>10999</v>
      </c>
      <c r="N272" s="4">
        <v>999</v>
      </c>
      <c r="O272" s="4">
        <v>159</v>
      </c>
      <c r="P272" s="4">
        <v>599</v>
      </c>
      <c r="Q272" t="s">
        <v>2368</v>
      </c>
      <c r="R272">
        <v>2022</v>
      </c>
    </row>
    <row r="273" spans="1:18" x14ac:dyDescent="0.25">
      <c r="A273" t="s">
        <v>2041</v>
      </c>
      <c r="B273" t="s">
        <v>2100</v>
      </c>
      <c r="C273" s="2">
        <v>202</v>
      </c>
      <c r="D273" t="s">
        <v>68</v>
      </c>
      <c r="E273" t="s">
        <v>307</v>
      </c>
      <c r="F273" t="s">
        <v>580</v>
      </c>
      <c r="G273" s="5" t="s">
        <v>2397</v>
      </c>
      <c r="H273" t="s">
        <v>2439</v>
      </c>
      <c r="I273" s="6">
        <f t="shared" si="4"/>
        <v>20</v>
      </c>
      <c r="J273" s="2">
        <v>5000</v>
      </c>
      <c r="K273" s="2">
        <v>6.78</v>
      </c>
      <c r="L273" s="4">
        <v>34999</v>
      </c>
      <c r="M273" s="4">
        <v>14999</v>
      </c>
      <c r="N273" s="4">
        <v>1399</v>
      </c>
      <c r="O273" s="4">
        <v>219</v>
      </c>
      <c r="P273" s="4">
        <v>799</v>
      </c>
      <c r="Q273" t="s">
        <v>2368</v>
      </c>
      <c r="R273">
        <v>2022</v>
      </c>
    </row>
    <row r="274" spans="1:18" x14ac:dyDescent="0.25">
      <c r="A274" t="s">
        <v>2041</v>
      </c>
      <c r="B274" t="s">
        <v>2102</v>
      </c>
      <c r="C274" s="2">
        <v>195</v>
      </c>
      <c r="D274" t="s">
        <v>162</v>
      </c>
      <c r="E274" t="s">
        <v>307</v>
      </c>
      <c r="F274" t="s">
        <v>475</v>
      </c>
      <c r="G274" s="5" t="s">
        <v>2398</v>
      </c>
      <c r="H274" t="s">
        <v>2439</v>
      </c>
      <c r="I274" s="6">
        <f t="shared" si="4"/>
        <v>3</v>
      </c>
      <c r="J274" s="2">
        <v>5000</v>
      </c>
      <c r="K274" s="2">
        <v>6.6</v>
      </c>
      <c r="L274" s="4">
        <v>21999</v>
      </c>
      <c r="M274" s="4">
        <v>9499</v>
      </c>
      <c r="N274" s="4">
        <v>899</v>
      </c>
      <c r="O274" s="4">
        <v>139</v>
      </c>
      <c r="P274" s="4">
        <v>499</v>
      </c>
      <c r="Q274" t="s">
        <v>2368</v>
      </c>
      <c r="R274">
        <v>2022</v>
      </c>
    </row>
    <row r="275" spans="1:18" x14ac:dyDescent="0.25">
      <c r="A275" t="s">
        <v>2041</v>
      </c>
      <c r="B275" t="s">
        <v>2103</v>
      </c>
      <c r="C275" s="2">
        <v>205</v>
      </c>
      <c r="D275" t="s">
        <v>162</v>
      </c>
      <c r="E275" t="s">
        <v>307</v>
      </c>
      <c r="F275" t="s">
        <v>20</v>
      </c>
      <c r="G275" s="5" t="s">
        <v>2399</v>
      </c>
      <c r="H275" t="s">
        <v>2439</v>
      </c>
      <c r="I275" s="6">
        <f t="shared" si="4"/>
        <v>8</v>
      </c>
      <c r="J275" s="2">
        <v>5000</v>
      </c>
      <c r="K275" s="2">
        <v>6.82</v>
      </c>
      <c r="L275" s="4">
        <v>23999</v>
      </c>
      <c r="M275" s="4">
        <v>10499</v>
      </c>
      <c r="N275" s="4">
        <v>999</v>
      </c>
      <c r="O275" s="4">
        <v>149</v>
      </c>
      <c r="P275" s="4">
        <v>549</v>
      </c>
      <c r="Q275" t="s">
        <v>2368</v>
      </c>
      <c r="R275">
        <v>2021</v>
      </c>
    </row>
    <row r="276" spans="1:18" x14ac:dyDescent="0.25">
      <c r="A276" t="s">
        <v>2041</v>
      </c>
      <c r="B276" t="s">
        <v>2105</v>
      </c>
      <c r="C276" s="2">
        <v>211</v>
      </c>
      <c r="D276" t="s">
        <v>18</v>
      </c>
      <c r="E276" t="s">
        <v>307</v>
      </c>
      <c r="F276" t="s">
        <v>20</v>
      </c>
      <c r="G276" s="5" t="s">
        <v>2391</v>
      </c>
      <c r="H276" t="s">
        <v>2439</v>
      </c>
      <c r="I276" s="6">
        <f t="shared" si="4"/>
        <v>12</v>
      </c>
      <c r="J276" s="2">
        <v>6000</v>
      </c>
      <c r="K276" s="2">
        <v>6.82</v>
      </c>
      <c r="L276" s="4">
        <v>25999</v>
      </c>
      <c r="M276" s="4">
        <v>11999</v>
      </c>
      <c r="N276" s="4">
        <v>1099</v>
      </c>
      <c r="O276" s="4">
        <v>169</v>
      </c>
      <c r="P276" s="4">
        <v>599</v>
      </c>
      <c r="Q276" t="s">
        <v>2368</v>
      </c>
      <c r="R276">
        <v>2021</v>
      </c>
    </row>
    <row r="277" spans="1:18" x14ac:dyDescent="0.25">
      <c r="A277" t="s">
        <v>2041</v>
      </c>
      <c r="B277" t="s">
        <v>2107</v>
      </c>
      <c r="C277" s="2">
        <v>211</v>
      </c>
      <c r="D277" t="s">
        <v>18</v>
      </c>
      <c r="E277" t="s">
        <v>307</v>
      </c>
      <c r="F277" t="s">
        <v>20</v>
      </c>
      <c r="G277" s="5" t="s">
        <v>2391</v>
      </c>
      <c r="H277" t="s">
        <v>2439</v>
      </c>
      <c r="I277" s="6">
        <f t="shared" si="4"/>
        <v>12</v>
      </c>
      <c r="J277" s="2">
        <v>6000</v>
      </c>
      <c r="K277" s="2">
        <v>6.82</v>
      </c>
      <c r="L277" s="4">
        <v>26999</v>
      </c>
      <c r="M277" s="4">
        <v>12499</v>
      </c>
      <c r="N277" s="4">
        <v>1199</v>
      </c>
      <c r="O277" s="4">
        <v>179</v>
      </c>
      <c r="P277" s="4">
        <v>649</v>
      </c>
      <c r="Q277" t="s">
        <v>2368</v>
      </c>
      <c r="R277">
        <v>2021</v>
      </c>
    </row>
    <row r="278" spans="1:18" x14ac:dyDescent="0.25">
      <c r="A278" t="s">
        <v>2041</v>
      </c>
      <c r="B278" t="s">
        <v>2108</v>
      </c>
      <c r="C278" s="2">
        <v>195</v>
      </c>
      <c r="D278" t="s">
        <v>256</v>
      </c>
      <c r="E278" t="s">
        <v>307</v>
      </c>
      <c r="F278" t="s">
        <v>475</v>
      </c>
      <c r="G278" s="5" t="s">
        <v>2400</v>
      </c>
      <c r="H278" t="s">
        <v>2439</v>
      </c>
      <c r="I278" s="6">
        <f t="shared" si="4"/>
        <v>3</v>
      </c>
      <c r="J278" s="2">
        <v>5000</v>
      </c>
      <c r="K278" s="2">
        <v>6.6</v>
      </c>
      <c r="L278" s="4">
        <v>19999</v>
      </c>
      <c r="M278" s="4">
        <v>7999</v>
      </c>
      <c r="N278" s="4">
        <v>699</v>
      </c>
      <c r="O278" s="4">
        <v>109</v>
      </c>
      <c r="P278" s="4">
        <v>399</v>
      </c>
      <c r="Q278" t="s">
        <v>2368</v>
      </c>
      <c r="R278">
        <v>2020</v>
      </c>
    </row>
    <row r="279" spans="1:18" x14ac:dyDescent="0.25">
      <c r="A279" t="s">
        <v>2041</v>
      </c>
      <c r="B279" t="s">
        <v>2113</v>
      </c>
      <c r="C279" s="2">
        <v>207</v>
      </c>
      <c r="D279" t="s">
        <v>162</v>
      </c>
      <c r="E279" t="s">
        <v>307</v>
      </c>
      <c r="F279" t="s">
        <v>475</v>
      </c>
      <c r="G279" s="5" t="s">
        <v>2398</v>
      </c>
      <c r="H279" t="s">
        <v>2439</v>
      </c>
      <c r="I279" s="6">
        <f t="shared" si="4"/>
        <v>3</v>
      </c>
      <c r="J279" s="2">
        <v>6000</v>
      </c>
      <c r="K279" s="2">
        <v>6.82</v>
      </c>
      <c r="L279" s="4">
        <v>22999</v>
      </c>
      <c r="M279" s="4">
        <v>9499</v>
      </c>
      <c r="N279" s="4">
        <v>899</v>
      </c>
      <c r="O279" s="4">
        <v>139</v>
      </c>
      <c r="P279" s="4">
        <v>499</v>
      </c>
      <c r="Q279" t="s">
        <v>2368</v>
      </c>
      <c r="R279">
        <v>2021</v>
      </c>
    </row>
    <row r="280" spans="1:18" x14ac:dyDescent="0.25">
      <c r="A280" t="s">
        <v>2041</v>
      </c>
      <c r="B280" t="s">
        <v>2114</v>
      </c>
      <c r="C280" s="2">
        <v>201</v>
      </c>
      <c r="D280" t="s">
        <v>162</v>
      </c>
      <c r="E280" t="s">
        <v>307</v>
      </c>
      <c r="F280" t="s">
        <v>475</v>
      </c>
      <c r="G280" s="5" t="s">
        <v>2399</v>
      </c>
      <c r="H280" t="s">
        <v>2439</v>
      </c>
      <c r="I280" s="6">
        <f t="shared" si="4"/>
        <v>8</v>
      </c>
      <c r="J280" s="2">
        <v>5200</v>
      </c>
      <c r="K280" s="2">
        <v>6.6</v>
      </c>
      <c r="L280" s="4">
        <v>24999</v>
      </c>
      <c r="M280" s="4">
        <v>10999</v>
      </c>
      <c r="N280" s="4">
        <v>999</v>
      </c>
      <c r="O280" s="4">
        <v>159</v>
      </c>
      <c r="P280" s="4">
        <v>599</v>
      </c>
      <c r="Q280" t="s">
        <v>2368</v>
      </c>
      <c r="R280">
        <v>2021</v>
      </c>
    </row>
    <row r="281" spans="1:18" x14ac:dyDescent="0.25">
      <c r="A281" t="s">
        <v>2041</v>
      </c>
      <c r="B281" t="s">
        <v>2115</v>
      </c>
      <c r="C281" s="2">
        <v>209</v>
      </c>
      <c r="D281" t="s">
        <v>162</v>
      </c>
      <c r="E281" t="s">
        <v>307</v>
      </c>
      <c r="F281" t="s">
        <v>475</v>
      </c>
      <c r="G281" s="5" t="s">
        <v>2401</v>
      </c>
      <c r="H281" t="s">
        <v>2439</v>
      </c>
      <c r="I281" s="6">
        <f t="shared" si="4"/>
        <v>4</v>
      </c>
      <c r="J281" s="2">
        <v>6000</v>
      </c>
      <c r="K281" s="2">
        <v>6.82</v>
      </c>
      <c r="L281" s="4">
        <v>25999</v>
      </c>
      <c r="M281" s="4">
        <v>11499</v>
      </c>
      <c r="N281" s="4">
        <v>1099</v>
      </c>
      <c r="O281" s="4">
        <v>169</v>
      </c>
      <c r="P281" s="4">
        <v>649</v>
      </c>
      <c r="Q281" t="s">
        <v>2368</v>
      </c>
      <c r="R281">
        <v>2021</v>
      </c>
    </row>
    <row r="282" spans="1:18" x14ac:dyDescent="0.25">
      <c r="A282" t="s">
        <v>2041</v>
      </c>
      <c r="B282" t="s">
        <v>2117</v>
      </c>
      <c r="C282" s="2">
        <v>205</v>
      </c>
      <c r="D282" t="s">
        <v>18</v>
      </c>
      <c r="E282" t="s">
        <v>307</v>
      </c>
      <c r="F282" t="s">
        <v>580</v>
      </c>
      <c r="G282" s="5" t="s">
        <v>2394</v>
      </c>
      <c r="H282" t="s">
        <v>2439</v>
      </c>
      <c r="I282" s="6">
        <f t="shared" si="4"/>
        <v>14</v>
      </c>
      <c r="J282" s="2">
        <v>5000</v>
      </c>
      <c r="K282" s="2">
        <v>6.78</v>
      </c>
      <c r="L282" s="4">
        <v>27999</v>
      </c>
      <c r="M282" s="4">
        <v>12999</v>
      </c>
      <c r="N282" s="4">
        <v>1299</v>
      </c>
      <c r="O282" s="4">
        <v>189</v>
      </c>
      <c r="P282" s="4">
        <v>699</v>
      </c>
      <c r="Q282" t="s">
        <v>2368</v>
      </c>
      <c r="R282">
        <v>2021</v>
      </c>
    </row>
    <row r="283" spans="1:18" x14ac:dyDescent="0.25">
      <c r="A283" t="s">
        <v>2041</v>
      </c>
      <c r="B283" t="s">
        <v>2118</v>
      </c>
      <c r="C283" s="2">
        <v>195</v>
      </c>
      <c r="D283" t="s">
        <v>613</v>
      </c>
      <c r="E283" t="s">
        <v>508</v>
      </c>
      <c r="F283" t="s">
        <v>307</v>
      </c>
      <c r="G283" s="5" t="s">
        <v>2402</v>
      </c>
      <c r="H283" t="s">
        <v>2439</v>
      </c>
      <c r="I283" s="6">
        <f t="shared" si="4"/>
        <v>1</v>
      </c>
      <c r="J283" s="2">
        <v>5000</v>
      </c>
      <c r="K283" s="2">
        <v>6.1</v>
      </c>
      <c r="L283" s="4">
        <v>15999</v>
      </c>
      <c r="M283" s="4">
        <v>5999</v>
      </c>
      <c r="N283" s="4">
        <v>499</v>
      </c>
      <c r="O283" s="4">
        <v>79</v>
      </c>
      <c r="P283" s="4">
        <v>299</v>
      </c>
      <c r="Q283" t="s">
        <v>2368</v>
      </c>
      <c r="R283">
        <v>2020</v>
      </c>
    </row>
    <row r="284" spans="1:18" x14ac:dyDescent="0.25">
      <c r="A284" t="s">
        <v>2041</v>
      </c>
      <c r="B284" t="s">
        <v>2125</v>
      </c>
      <c r="C284" s="2">
        <v>210</v>
      </c>
      <c r="D284" t="s">
        <v>18</v>
      </c>
      <c r="E284" t="s">
        <v>307</v>
      </c>
      <c r="F284" t="s">
        <v>20</v>
      </c>
      <c r="G284" s="5" t="s">
        <v>2385</v>
      </c>
      <c r="H284" t="s">
        <v>2439</v>
      </c>
      <c r="I284" s="6">
        <f t="shared" si="4"/>
        <v>10</v>
      </c>
      <c r="J284" s="2">
        <v>5200</v>
      </c>
      <c r="K284" s="2">
        <v>6.78</v>
      </c>
      <c r="L284" s="4">
        <v>29999</v>
      </c>
      <c r="M284" s="4">
        <v>12999</v>
      </c>
      <c r="N284" s="4">
        <v>1199</v>
      </c>
      <c r="O284" s="4">
        <v>199</v>
      </c>
      <c r="P284" s="4">
        <v>749</v>
      </c>
      <c r="Q284" t="s">
        <v>2368</v>
      </c>
      <c r="R284">
        <v>2020</v>
      </c>
    </row>
    <row r="285" spans="1:18" x14ac:dyDescent="0.25">
      <c r="A285" t="s">
        <v>2041</v>
      </c>
      <c r="B285" t="s">
        <v>2108</v>
      </c>
      <c r="C285" s="2">
        <v>195</v>
      </c>
      <c r="D285" t="s">
        <v>256</v>
      </c>
      <c r="E285" t="s">
        <v>307</v>
      </c>
      <c r="F285" t="s">
        <v>475</v>
      </c>
      <c r="G285" s="5" t="s">
        <v>2400</v>
      </c>
      <c r="H285" t="s">
        <v>2439</v>
      </c>
      <c r="I285" s="6">
        <f t="shared" si="4"/>
        <v>3</v>
      </c>
      <c r="J285" s="2">
        <v>5000</v>
      </c>
      <c r="K285" s="2">
        <v>6.6</v>
      </c>
      <c r="L285" s="4">
        <v>19999</v>
      </c>
      <c r="M285" s="4">
        <v>7999</v>
      </c>
      <c r="N285" s="4">
        <v>699</v>
      </c>
      <c r="O285" s="4">
        <v>109</v>
      </c>
      <c r="P285" s="4">
        <v>399</v>
      </c>
      <c r="Q285" t="s">
        <v>2368</v>
      </c>
      <c r="R285">
        <v>2020</v>
      </c>
    </row>
    <row r="286" spans="1:18" x14ac:dyDescent="0.25">
      <c r="A286" t="s">
        <v>2041</v>
      </c>
      <c r="B286" t="s">
        <v>2126</v>
      </c>
      <c r="C286" s="2">
        <v>210</v>
      </c>
      <c r="D286" t="s">
        <v>18</v>
      </c>
      <c r="E286" t="s">
        <v>585</v>
      </c>
      <c r="F286" t="s">
        <v>907</v>
      </c>
      <c r="G286" s="5" t="s">
        <v>2385</v>
      </c>
      <c r="H286" t="s">
        <v>2439</v>
      </c>
      <c r="I286" s="6">
        <f t="shared" si="4"/>
        <v>10</v>
      </c>
      <c r="J286" s="2">
        <v>5200</v>
      </c>
      <c r="K286" s="2">
        <v>6.95</v>
      </c>
      <c r="L286" s="4">
        <v>34999</v>
      </c>
      <c r="M286" s="4">
        <v>15999</v>
      </c>
      <c r="N286" s="4">
        <v>1499</v>
      </c>
      <c r="O286" s="4">
        <v>229</v>
      </c>
      <c r="P286" s="4">
        <v>899</v>
      </c>
      <c r="Q286" t="s">
        <v>2368</v>
      </c>
      <c r="R286">
        <v>2020</v>
      </c>
    </row>
    <row r="287" spans="1:18" x14ac:dyDescent="0.25">
      <c r="A287" t="s">
        <v>2041</v>
      </c>
      <c r="B287" t="s">
        <v>2128</v>
      </c>
      <c r="C287" s="2">
        <v>210</v>
      </c>
      <c r="D287" t="s">
        <v>68</v>
      </c>
      <c r="E287" t="s">
        <v>585</v>
      </c>
      <c r="F287" t="s">
        <v>20</v>
      </c>
      <c r="G287" s="5" t="s">
        <v>2403</v>
      </c>
      <c r="H287" t="s">
        <v>2439</v>
      </c>
      <c r="I287" s="6">
        <f t="shared" si="4"/>
        <v>15</v>
      </c>
      <c r="J287" s="2">
        <v>4500</v>
      </c>
      <c r="K287" s="2">
        <v>6.85</v>
      </c>
      <c r="L287" s="4">
        <v>39999</v>
      </c>
      <c r="M287" s="4">
        <v>17999</v>
      </c>
      <c r="N287" s="4">
        <v>1599</v>
      </c>
      <c r="O287" s="4">
        <v>249</v>
      </c>
      <c r="P287" s="4">
        <v>999</v>
      </c>
      <c r="Q287" t="s">
        <v>2368</v>
      </c>
      <c r="R287">
        <v>2020</v>
      </c>
    </row>
    <row r="288" spans="1:18" x14ac:dyDescent="0.25">
      <c r="A288" t="s">
        <v>2041</v>
      </c>
      <c r="B288" t="s">
        <v>2131</v>
      </c>
      <c r="C288" s="2">
        <v>204</v>
      </c>
      <c r="D288" t="s">
        <v>162</v>
      </c>
      <c r="E288" t="s">
        <v>307</v>
      </c>
      <c r="F288" t="s">
        <v>585</v>
      </c>
      <c r="G288" s="5" t="s">
        <v>2399</v>
      </c>
      <c r="H288" t="s">
        <v>2439</v>
      </c>
      <c r="I288" s="6">
        <f t="shared" si="4"/>
        <v>8</v>
      </c>
      <c r="J288" s="2">
        <v>5200</v>
      </c>
      <c r="K288" s="2">
        <v>6.78</v>
      </c>
      <c r="L288" s="4">
        <v>24999</v>
      </c>
      <c r="M288" s="4">
        <v>10999</v>
      </c>
      <c r="N288" s="4">
        <v>999</v>
      </c>
      <c r="O288" s="4">
        <v>159</v>
      </c>
      <c r="P288" s="4">
        <v>599</v>
      </c>
      <c r="Q288" t="s">
        <v>2368</v>
      </c>
      <c r="R288">
        <v>2020</v>
      </c>
    </row>
    <row r="289" spans="1:18" x14ac:dyDescent="0.25">
      <c r="A289" t="s">
        <v>2041</v>
      </c>
      <c r="B289" t="s">
        <v>2132</v>
      </c>
      <c r="C289" s="2">
        <v>205</v>
      </c>
      <c r="D289" t="s">
        <v>68</v>
      </c>
      <c r="E289" t="s">
        <v>20</v>
      </c>
      <c r="F289" t="s">
        <v>907</v>
      </c>
      <c r="G289" s="5" t="s">
        <v>2403</v>
      </c>
      <c r="H289" t="s">
        <v>2439</v>
      </c>
      <c r="I289" s="6">
        <f t="shared" si="4"/>
        <v>15</v>
      </c>
      <c r="J289" s="2">
        <v>4500</v>
      </c>
      <c r="K289" s="2">
        <v>6.85</v>
      </c>
      <c r="L289" s="4">
        <v>44999</v>
      </c>
      <c r="M289" s="4">
        <v>19999</v>
      </c>
      <c r="N289" s="4">
        <v>1799</v>
      </c>
      <c r="O289" s="4">
        <v>279</v>
      </c>
      <c r="P289" s="4">
        <v>1099</v>
      </c>
      <c r="Q289" t="s">
        <v>2368</v>
      </c>
      <c r="R289">
        <v>2020</v>
      </c>
    </row>
    <row r="290" spans="1:18" x14ac:dyDescent="0.25">
      <c r="A290" t="s">
        <v>2041</v>
      </c>
      <c r="B290" t="s">
        <v>2133</v>
      </c>
      <c r="C290" s="2">
        <v>195</v>
      </c>
      <c r="D290" t="s">
        <v>256</v>
      </c>
      <c r="E290" t="s">
        <v>307</v>
      </c>
      <c r="F290" t="s">
        <v>475</v>
      </c>
      <c r="G290" s="5" t="s">
        <v>2402</v>
      </c>
      <c r="H290" t="s">
        <v>2439</v>
      </c>
      <c r="I290" s="6">
        <f t="shared" si="4"/>
        <v>1</v>
      </c>
      <c r="J290" s="2">
        <v>5000</v>
      </c>
      <c r="K290" s="2">
        <v>6.6</v>
      </c>
      <c r="L290" s="4">
        <v>18999</v>
      </c>
      <c r="M290" s="4">
        <v>7499</v>
      </c>
      <c r="N290" s="4">
        <v>599</v>
      </c>
      <c r="O290" s="4">
        <v>99</v>
      </c>
      <c r="P290" s="4">
        <v>349</v>
      </c>
      <c r="Q290" t="s">
        <v>2368</v>
      </c>
      <c r="R290">
        <v>2020</v>
      </c>
    </row>
    <row r="291" spans="1:18" x14ac:dyDescent="0.25">
      <c r="A291" t="s">
        <v>2041</v>
      </c>
      <c r="B291" t="s">
        <v>2048</v>
      </c>
      <c r="C291" s="2">
        <v>480</v>
      </c>
      <c r="D291" t="s">
        <v>375</v>
      </c>
      <c r="E291" t="s">
        <v>461</v>
      </c>
      <c r="F291" t="s">
        <v>580</v>
      </c>
      <c r="G291" s="5" t="s">
        <v>1203</v>
      </c>
      <c r="H291" t="s">
        <v>2437</v>
      </c>
      <c r="I291" s="6">
        <f t="shared" si="4"/>
        <v>95</v>
      </c>
      <c r="J291" s="2">
        <v>9000</v>
      </c>
      <c r="K291" s="2">
        <v>11</v>
      </c>
      <c r="L291" s="4">
        <v>99999</v>
      </c>
      <c r="M291" s="4">
        <v>39999</v>
      </c>
      <c r="N291" s="4">
        <v>3499</v>
      </c>
      <c r="O291" s="4">
        <v>549</v>
      </c>
      <c r="P291" s="4">
        <v>1999</v>
      </c>
      <c r="Q291" t="s">
        <v>2369</v>
      </c>
      <c r="R291">
        <v>2024</v>
      </c>
    </row>
    <row r="292" spans="1:18" x14ac:dyDescent="0.25">
      <c r="A292" t="s">
        <v>2041</v>
      </c>
      <c r="B292" t="s">
        <v>2057</v>
      </c>
      <c r="C292" s="2">
        <v>196</v>
      </c>
      <c r="D292" t="s">
        <v>375</v>
      </c>
      <c r="E292" t="s">
        <v>461</v>
      </c>
      <c r="F292" t="s">
        <v>753</v>
      </c>
      <c r="G292" s="5" t="s">
        <v>1203</v>
      </c>
      <c r="H292" t="s">
        <v>2437</v>
      </c>
      <c r="I292" s="6">
        <f t="shared" si="4"/>
        <v>95</v>
      </c>
      <c r="J292" s="2">
        <v>5300</v>
      </c>
      <c r="K292" s="2">
        <v>6.9</v>
      </c>
      <c r="L292" s="4">
        <v>64999</v>
      </c>
      <c r="M292" s="4">
        <v>24999</v>
      </c>
      <c r="N292" s="4">
        <v>2499</v>
      </c>
      <c r="O292" s="4">
        <v>379</v>
      </c>
      <c r="P292" s="4">
        <v>1399</v>
      </c>
      <c r="Q292" t="s">
        <v>2368</v>
      </c>
      <c r="R292">
        <v>2024</v>
      </c>
    </row>
    <row r="293" spans="1:18" x14ac:dyDescent="0.25">
      <c r="A293" t="s">
        <v>2041</v>
      </c>
      <c r="B293" t="s">
        <v>2064</v>
      </c>
      <c r="C293" s="2">
        <v>195</v>
      </c>
      <c r="D293" t="s">
        <v>375</v>
      </c>
      <c r="E293" t="s">
        <v>461</v>
      </c>
      <c r="F293" t="s">
        <v>753</v>
      </c>
      <c r="G293" s="5" t="s">
        <v>2379</v>
      </c>
      <c r="H293" t="s">
        <v>2437</v>
      </c>
      <c r="I293" s="6">
        <f t="shared" si="4"/>
        <v>90</v>
      </c>
      <c r="J293" s="2">
        <v>5300</v>
      </c>
      <c r="K293" s="2">
        <v>6.8</v>
      </c>
      <c r="L293" s="4">
        <v>72999</v>
      </c>
      <c r="M293" s="4">
        <v>27999</v>
      </c>
      <c r="N293" s="4">
        <v>2499</v>
      </c>
      <c r="O293" s="4">
        <v>399</v>
      </c>
      <c r="P293" s="4">
        <v>1499</v>
      </c>
      <c r="Q293" t="s">
        <v>2368</v>
      </c>
      <c r="R293">
        <v>2024</v>
      </c>
    </row>
    <row r="294" spans="1:18" x14ac:dyDescent="0.25">
      <c r="A294" t="s">
        <v>2041</v>
      </c>
      <c r="B294" t="s">
        <v>2066</v>
      </c>
      <c r="C294" s="2">
        <v>196</v>
      </c>
      <c r="D294" t="s">
        <v>375</v>
      </c>
      <c r="E294" t="s">
        <v>461</v>
      </c>
      <c r="F294" t="s">
        <v>753</v>
      </c>
      <c r="G294" s="5" t="s">
        <v>1203</v>
      </c>
      <c r="H294" t="s">
        <v>2437</v>
      </c>
      <c r="I294" s="6">
        <f t="shared" si="4"/>
        <v>95</v>
      </c>
      <c r="J294" s="2">
        <v>5500</v>
      </c>
      <c r="K294" s="2">
        <v>6.9</v>
      </c>
      <c r="L294" s="4">
        <v>89999</v>
      </c>
      <c r="M294" s="4">
        <v>32999</v>
      </c>
      <c r="N294" s="4">
        <v>2999</v>
      </c>
      <c r="O294" s="4">
        <v>449</v>
      </c>
      <c r="P294" s="4">
        <v>1699</v>
      </c>
      <c r="Q294" t="s">
        <v>2368</v>
      </c>
      <c r="R294">
        <v>2024</v>
      </c>
    </row>
    <row r="295" spans="1:18" x14ac:dyDescent="0.25">
      <c r="A295" t="s">
        <v>2041</v>
      </c>
      <c r="B295" t="s">
        <v>2044</v>
      </c>
      <c r="C295" s="2">
        <v>470</v>
      </c>
      <c r="D295" t="s">
        <v>68</v>
      </c>
      <c r="E295" t="s">
        <v>585</v>
      </c>
      <c r="F295" t="s">
        <v>580</v>
      </c>
      <c r="G295" s="5" t="s">
        <v>2377</v>
      </c>
      <c r="H295" t="s">
        <v>2438</v>
      </c>
      <c r="I295" s="6">
        <f t="shared" si="4"/>
        <v>25</v>
      </c>
      <c r="J295" s="2">
        <v>8000</v>
      </c>
      <c r="K295" s="2">
        <v>10.4</v>
      </c>
      <c r="L295" s="4">
        <v>79999</v>
      </c>
      <c r="M295" s="4">
        <v>29999</v>
      </c>
      <c r="N295" s="4">
        <v>2499</v>
      </c>
      <c r="O295" s="4">
        <v>399</v>
      </c>
      <c r="P295" s="4">
        <v>1499</v>
      </c>
      <c r="Q295" t="s">
        <v>2369</v>
      </c>
      <c r="R295">
        <v>2024</v>
      </c>
    </row>
    <row r="296" spans="1:18" x14ac:dyDescent="0.25">
      <c r="A296" t="s">
        <v>2041</v>
      </c>
      <c r="B296" t="s">
        <v>2053</v>
      </c>
      <c r="C296" s="2">
        <v>195</v>
      </c>
      <c r="D296" t="s">
        <v>68</v>
      </c>
      <c r="E296" t="s">
        <v>585</v>
      </c>
      <c r="F296" t="s">
        <v>580</v>
      </c>
      <c r="G296" s="5" t="s">
        <v>2377</v>
      </c>
      <c r="H296" t="s">
        <v>2438</v>
      </c>
      <c r="I296" s="6">
        <f t="shared" si="4"/>
        <v>25</v>
      </c>
      <c r="J296" s="2">
        <v>5200</v>
      </c>
      <c r="K296" s="2">
        <v>6.78</v>
      </c>
      <c r="L296" s="4">
        <v>48999</v>
      </c>
      <c r="M296" s="4">
        <v>18999</v>
      </c>
      <c r="N296" s="4">
        <v>1799</v>
      </c>
      <c r="O296" s="4">
        <v>289</v>
      </c>
      <c r="P296" s="4">
        <v>1049</v>
      </c>
      <c r="Q296" t="s">
        <v>2368</v>
      </c>
      <c r="R296">
        <v>2024</v>
      </c>
    </row>
    <row r="297" spans="1:18" x14ac:dyDescent="0.25">
      <c r="A297" t="s">
        <v>2041</v>
      </c>
      <c r="B297" t="s">
        <v>2060</v>
      </c>
      <c r="C297" s="2">
        <v>198</v>
      </c>
      <c r="D297" t="s">
        <v>375</v>
      </c>
      <c r="E297" t="s">
        <v>461</v>
      </c>
      <c r="F297" t="s">
        <v>753</v>
      </c>
      <c r="G297" s="5" t="s">
        <v>2392</v>
      </c>
      <c r="H297" t="s">
        <v>2438</v>
      </c>
      <c r="I297" s="6">
        <f t="shared" si="4"/>
        <v>70</v>
      </c>
      <c r="J297" s="2">
        <v>5500</v>
      </c>
      <c r="K297" s="2">
        <v>6.9</v>
      </c>
      <c r="L297" s="4">
        <v>89999</v>
      </c>
      <c r="M297" s="4">
        <v>32999</v>
      </c>
      <c r="N297" s="4">
        <v>2999</v>
      </c>
      <c r="O297" s="4">
        <v>449</v>
      </c>
      <c r="P297" s="4">
        <v>1699</v>
      </c>
      <c r="Q297" t="s">
        <v>2368</v>
      </c>
      <c r="R297">
        <v>2024</v>
      </c>
    </row>
    <row r="298" spans="1:18" x14ac:dyDescent="0.25">
      <c r="A298" t="s">
        <v>2041</v>
      </c>
      <c r="B298" t="s">
        <v>2061</v>
      </c>
      <c r="C298" s="2">
        <v>198</v>
      </c>
      <c r="D298" t="s">
        <v>68</v>
      </c>
      <c r="E298" t="s">
        <v>461</v>
      </c>
      <c r="F298" t="s">
        <v>753</v>
      </c>
      <c r="G298" s="5" t="s">
        <v>2393</v>
      </c>
      <c r="H298" t="s">
        <v>2438</v>
      </c>
      <c r="I298" s="6">
        <f t="shared" si="4"/>
        <v>50</v>
      </c>
      <c r="J298" s="2">
        <v>5200</v>
      </c>
      <c r="K298" s="2">
        <v>6.8</v>
      </c>
      <c r="L298" s="4">
        <v>64999</v>
      </c>
      <c r="M298" s="4">
        <v>23999</v>
      </c>
      <c r="N298" s="4">
        <v>2299</v>
      </c>
      <c r="O298" s="4">
        <v>349</v>
      </c>
      <c r="P298" s="4">
        <v>1299</v>
      </c>
      <c r="Q298" t="s">
        <v>2368</v>
      </c>
      <c r="R298">
        <v>2024</v>
      </c>
    </row>
    <row r="299" spans="1:18" x14ac:dyDescent="0.25">
      <c r="A299" t="s">
        <v>2041</v>
      </c>
      <c r="B299" t="s">
        <v>2063</v>
      </c>
      <c r="C299" s="2">
        <v>195</v>
      </c>
      <c r="D299" t="s">
        <v>68</v>
      </c>
      <c r="E299" t="s">
        <v>461</v>
      </c>
      <c r="F299" t="s">
        <v>753</v>
      </c>
      <c r="G299" s="5" t="s">
        <v>1229</v>
      </c>
      <c r="H299" t="s">
        <v>2438</v>
      </c>
      <c r="I299" s="6">
        <f t="shared" si="4"/>
        <v>65</v>
      </c>
      <c r="J299" s="2">
        <v>5200</v>
      </c>
      <c r="K299" s="2">
        <v>6.8</v>
      </c>
      <c r="L299" s="4">
        <v>54999</v>
      </c>
      <c r="M299" s="4">
        <v>19999</v>
      </c>
      <c r="N299" s="4">
        <v>1999</v>
      </c>
      <c r="O299" s="4">
        <v>319</v>
      </c>
      <c r="P299" s="4">
        <v>1099</v>
      </c>
      <c r="Q299" t="s">
        <v>2368</v>
      </c>
      <c r="R299">
        <v>2024</v>
      </c>
    </row>
    <row r="300" spans="1:18" x14ac:dyDescent="0.25">
      <c r="A300" t="s">
        <v>2041</v>
      </c>
      <c r="B300" t="s">
        <v>2072</v>
      </c>
      <c r="C300" s="2">
        <v>195</v>
      </c>
      <c r="D300" t="s">
        <v>375</v>
      </c>
      <c r="E300" t="s">
        <v>580</v>
      </c>
      <c r="F300" t="s">
        <v>753</v>
      </c>
      <c r="G300" s="5" t="s">
        <v>2392</v>
      </c>
      <c r="H300" t="s">
        <v>2438</v>
      </c>
      <c r="I300" s="6">
        <f t="shared" si="4"/>
        <v>70</v>
      </c>
      <c r="J300" s="2">
        <v>5000</v>
      </c>
      <c r="K300" s="2">
        <v>6.78</v>
      </c>
      <c r="L300" s="4">
        <v>69999</v>
      </c>
      <c r="M300" s="4">
        <v>24999</v>
      </c>
      <c r="N300" s="4">
        <v>2199</v>
      </c>
      <c r="O300" s="4">
        <v>349</v>
      </c>
      <c r="P300" s="4">
        <v>1299</v>
      </c>
      <c r="Q300" t="s">
        <v>2368</v>
      </c>
      <c r="R300">
        <v>2024</v>
      </c>
    </row>
    <row r="301" spans="1:18" x14ac:dyDescent="0.25">
      <c r="A301" t="s">
        <v>2041</v>
      </c>
      <c r="B301" t="s">
        <v>2073</v>
      </c>
      <c r="C301" s="2">
        <v>195</v>
      </c>
      <c r="D301" t="s">
        <v>375</v>
      </c>
      <c r="E301" t="s">
        <v>580</v>
      </c>
      <c r="F301" t="s">
        <v>753</v>
      </c>
      <c r="G301" s="5" t="s">
        <v>2392</v>
      </c>
      <c r="H301" t="s">
        <v>2438</v>
      </c>
      <c r="I301" s="6">
        <f t="shared" si="4"/>
        <v>70</v>
      </c>
      <c r="J301" s="2">
        <v>5000</v>
      </c>
      <c r="K301" s="2">
        <v>6.78</v>
      </c>
      <c r="L301" s="4">
        <v>74999</v>
      </c>
      <c r="M301" s="4">
        <v>27999</v>
      </c>
      <c r="N301" s="4">
        <v>2299</v>
      </c>
      <c r="O301" s="4">
        <v>379</v>
      </c>
      <c r="P301" s="4">
        <v>1399</v>
      </c>
      <c r="Q301" t="s">
        <v>2368</v>
      </c>
      <c r="R301">
        <v>2024</v>
      </c>
    </row>
    <row r="302" spans="1:18" x14ac:dyDescent="0.25">
      <c r="A302" t="s">
        <v>2041</v>
      </c>
      <c r="B302" t="s">
        <v>2074</v>
      </c>
      <c r="C302" s="2">
        <v>190</v>
      </c>
      <c r="D302" t="s">
        <v>68</v>
      </c>
      <c r="E302" t="s">
        <v>461</v>
      </c>
      <c r="F302" t="s">
        <v>753</v>
      </c>
      <c r="G302" s="5" t="s">
        <v>708</v>
      </c>
      <c r="H302" t="s">
        <v>2438</v>
      </c>
      <c r="I302" s="6">
        <f t="shared" si="4"/>
        <v>60</v>
      </c>
      <c r="J302" s="2">
        <v>4500</v>
      </c>
      <c r="K302" s="2">
        <v>6.7</v>
      </c>
      <c r="L302" s="4">
        <v>89999</v>
      </c>
      <c r="M302" s="4">
        <v>32999</v>
      </c>
      <c r="N302" s="4">
        <v>2499</v>
      </c>
      <c r="O302" s="4">
        <v>399</v>
      </c>
      <c r="P302" s="4">
        <v>1499</v>
      </c>
      <c r="Q302" t="s">
        <v>2368</v>
      </c>
      <c r="R302">
        <v>2024</v>
      </c>
    </row>
    <row r="303" spans="1:18" x14ac:dyDescent="0.25">
      <c r="A303" t="s">
        <v>2041</v>
      </c>
      <c r="B303" t="s">
        <v>2077</v>
      </c>
      <c r="C303" s="2">
        <v>190</v>
      </c>
      <c r="D303" t="s">
        <v>375</v>
      </c>
      <c r="E303" t="s">
        <v>461</v>
      </c>
      <c r="F303" t="s">
        <v>753</v>
      </c>
      <c r="G303" s="5" t="s">
        <v>1229</v>
      </c>
      <c r="H303" t="s">
        <v>2438</v>
      </c>
      <c r="I303" s="6">
        <f t="shared" si="4"/>
        <v>65</v>
      </c>
      <c r="J303" s="2">
        <v>5000</v>
      </c>
      <c r="K303" s="2">
        <v>6.78</v>
      </c>
      <c r="L303" s="4">
        <v>59999</v>
      </c>
      <c r="M303" s="4">
        <v>22999</v>
      </c>
      <c r="N303" s="4">
        <v>2199</v>
      </c>
      <c r="O303" s="4">
        <v>329</v>
      </c>
      <c r="P303" s="4">
        <v>1199</v>
      </c>
      <c r="Q303" t="s">
        <v>2368</v>
      </c>
      <c r="R303">
        <v>2024</v>
      </c>
    </row>
    <row r="304" spans="1:18" x14ac:dyDescent="0.25">
      <c r="A304" t="s">
        <v>2041</v>
      </c>
      <c r="B304" t="s">
        <v>2084</v>
      </c>
      <c r="C304" s="2">
        <v>202</v>
      </c>
      <c r="D304" t="s">
        <v>68</v>
      </c>
      <c r="E304" t="s">
        <v>307</v>
      </c>
      <c r="F304" t="s">
        <v>580</v>
      </c>
      <c r="G304" s="5" t="s">
        <v>2377</v>
      </c>
      <c r="H304" t="s">
        <v>2438</v>
      </c>
      <c r="I304" s="6">
        <f t="shared" si="4"/>
        <v>25</v>
      </c>
      <c r="J304" s="2">
        <v>5000</v>
      </c>
      <c r="K304" s="2">
        <v>6.78</v>
      </c>
      <c r="L304" s="4">
        <v>41999</v>
      </c>
      <c r="M304" s="4">
        <v>17999</v>
      </c>
      <c r="N304" s="4">
        <v>1499</v>
      </c>
      <c r="O304" s="4">
        <v>239</v>
      </c>
      <c r="P304" s="4">
        <v>899</v>
      </c>
      <c r="Q304" t="s">
        <v>2368</v>
      </c>
      <c r="R304">
        <v>2023</v>
      </c>
    </row>
    <row r="305" spans="1:18" x14ac:dyDescent="0.25">
      <c r="A305" t="s">
        <v>2041</v>
      </c>
      <c r="B305" t="s">
        <v>2086</v>
      </c>
      <c r="C305" s="2">
        <v>185</v>
      </c>
      <c r="D305" t="s">
        <v>68</v>
      </c>
      <c r="E305" t="s">
        <v>580</v>
      </c>
      <c r="F305" t="s">
        <v>753</v>
      </c>
      <c r="G305" s="5" t="s">
        <v>2389</v>
      </c>
      <c r="H305" t="s">
        <v>2438</v>
      </c>
      <c r="I305" s="6">
        <f t="shared" si="4"/>
        <v>58</v>
      </c>
      <c r="J305" s="2">
        <v>5000</v>
      </c>
      <c r="K305" s="2">
        <v>6.78</v>
      </c>
      <c r="L305" s="4">
        <v>69999</v>
      </c>
      <c r="M305" s="4">
        <v>26999</v>
      </c>
      <c r="N305" s="4">
        <v>2199</v>
      </c>
      <c r="O305" s="4">
        <v>349</v>
      </c>
      <c r="P305" s="4">
        <v>1299</v>
      </c>
      <c r="Q305" t="s">
        <v>2368</v>
      </c>
      <c r="R305">
        <v>2023</v>
      </c>
    </row>
    <row r="306" spans="1:18" x14ac:dyDescent="0.25">
      <c r="A306" t="s">
        <v>2041</v>
      </c>
      <c r="B306" t="s">
        <v>2088</v>
      </c>
      <c r="C306" s="2">
        <v>185</v>
      </c>
      <c r="D306" t="s">
        <v>375</v>
      </c>
      <c r="E306" t="s">
        <v>580</v>
      </c>
      <c r="F306" t="s">
        <v>753</v>
      </c>
      <c r="G306" s="5" t="s">
        <v>2389</v>
      </c>
      <c r="H306" t="s">
        <v>2438</v>
      </c>
      <c r="I306" s="6">
        <f t="shared" si="4"/>
        <v>58</v>
      </c>
      <c r="J306" s="2">
        <v>5000</v>
      </c>
      <c r="K306" s="2">
        <v>6.78</v>
      </c>
      <c r="L306" s="4">
        <v>74999</v>
      </c>
      <c r="M306" s="4">
        <v>29999</v>
      </c>
      <c r="N306" s="4">
        <v>2299</v>
      </c>
      <c r="O306" s="4">
        <v>379</v>
      </c>
      <c r="P306" s="4">
        <v>1399</v>
      </c>
      <c r="Q306" t="s">
        <v>2368</v>
      </c>
      <c r="R306">
        <v>2023</v>
      </c>
    </row>
    <row r="307" spans="1:18" x14ac:dyDescent="0.25">
      <c r="A307" t="s">
        <v>2041</v>
      </c>
      <c r="B307" t="s">
        <v>2089</v>
      </c>
      <c r="C307" s="2">
        <v>187</v>
      </c>
      <c r="D307" t="s">
        <v>68</v>
      </c>
      <c r="E307" t="s">
        <v>461</v>
      </c>
      <c r="F307" t="s">
        <v>753</v>
      </c>
      <c r="G307" s="5" t="s">
        <v>2395</v>
      </c>
      <c r="H307" t="s">
        <v>2438</v>
      </c>
      <c r="I307" s="6">
        <f t="shared" si="4"/>
        <v>60</v>
      </c>
      <c r="J307" s="2">
        <v>5000</v>
      </c>
      <c r="K307" s="2">
        <v>6.67</v>
      </c>
      <c r="L307" s="4">
        <v>84999</v>
      </c>
      <c r="M307" s="4">
        <v>32999</v>
      </c>
      <c r="N307" s="4">
        <v>2599</v>
      </c>
      <c r="O307" s="4">
        <v>399</v>
      </c>
      <c r="P307" s="4">
        <v>1499</v>
      </c>
      <c r="Q307" t="s">
        <v>2368</v>
      </c>
      <c r="R307">
        <v>2023</v>
      </c>
    </row>
    <row r="308" spans="1:18" x14ac:dyDescent="0.25">
      <c r="A308" t="s">
        <v>2041</v>
      </c>
      <c r="B308" t="s">
        <v>2101</v>
      </c>
      <c r="C308" s="2">
        <v>204</v>
      </c>
      <c r="D308" t="s">
        <v>18</v>
      </c>
      <c r="E308" t="s">
        <v>307</v>
      </c>
      <c r="F308" t="s">
        <v>580</v>
      </c>
      <c r="G308" s="5" t="s">
        <v>2377</v>
      </c>
      <c r="H308" t="s">
        <v>2438</v>
      </c>
      <c r="I308" s="6">
        <f t="shared" si="4"/>
        <v>25</v>
      </c>
      <c r="J308" s="2">
        <v>5000</v>
      </c>
      <c r="K308" s="2">
        <v>6.6</v>
      </c>
      <c r="L308" s="4">
        <v>38999</v>
      </c>
      <c r="M308" s="4">
        <v>16999</v>
      </c>
      <c r="N308" s="4">
        <v>1499</v>
      </c>
      <c r="O308" s="4">
        <v>239</v>
      </c>
      <c r="P308" s="4">
        <v>899</v>
      </c>
      <c r="Q308" t="s">
        <v>2368</v>
      </c>
      <c r="R308">
        <v>2022</v>
      </c>
    </row>
    <row r="309" spans="1:18" x14ac:dyDescent="0.25">
      <c r="A309" t="s">
        <v>1112</v>
      </c>
      <c r="B309" t="s">
        <v>1094</v>
      </c>
      <c r="C309" s="2">
        <v>520</v>
      </c>
      <c r="D309" t="s">
        <v>18</v>
      </c>
      <c r="E309" t="s">
        <v>307</v>
      </c>
      <c r="F309" t="s">
        <v>475</v>
      </c>
      <c r="G309" s="5" t="s">
        <v>804</v>
      </c>
      <c r="H309" t="s">
        <v>2437</v>
      </c>
      <c r="I309" s="6">
        <f t="shared" si="4"/>
        <v>82</v>
      </c>
      <c r="J309" s="2">
        <v>8040</v>
      </c>
      <c r="K309" s="2">
        <v>11</v>
      </c>
      <c r="L309" s="4">
        <v>69999</v>
      </c>
      <c r="M309" s="4">
        <v>37999</v>
      </c>
      <c r="N309" s="4">
        <v>2699</v>
      </c>
      <c r="O309" s="4">
        <v>349</v>
      </c>
      <c r="P309" s="4">
        <v>1299</v>
      </c>
      <c r="Q309" t="s">
        <v>2369</v>
      </c>
      <c r="R309">
        <v>2023</v>
      </c>
    </row>
    <row r="310" spans="1:18" x14ac:dyDescent="0.25">
      <c r="A310" t="s">
        <v>1112</v>
      </c>
      <c r="B310" t="s">
        <v>1096</v>
      </c>
      <c r="C310" s="2">
        <v>540</v>
      </c>
      <c r="D310" t="s">
        <v>68</v>
      </c>
      <c r="E310" t="s">
        <v>307</v>
      </c>
      <c r="F310" t="s">
        <v>580</v>
      </c>
      <c r="G310" s="5" t="s">
        <v>639</v>
      </c>
      <c r="H310" t="s">
        <v>2437</v>
      </c>
      <c r="I310" s="6">
        <f t="shared" si="4"/>
        <v>85</v>
      </c>
      <c r="J310" s="2">
        <v>8040</v>
      </c>
      <c r="K310" s="2">
        <v>12.3</v>
      </c>
      <c r="L310" s="4">
        <v>79999</v>
      </c>
      <c r="M310" s="4">
        <v>43999</v>
      </c>
      <c r="N310" s="4">
        <v>3499</v>
      </c>
      <c r="O310" s="4">
        <v>399</v>
      </c>
      <c r="P310" s="4">
        <v>1499</v>
      </c>
      <c r="Q310" t="s">
        <v>2369</v>
      </c>
      <c r="R310">
        <v>2024</v>
      </c>
    </row>
    <row r="311" spans="1:18" x14ac:dyDescent="0.25">
      <c r="A311" t="s">
        <v>1112</v>
      </c>
      <c r="B311" t="s">
        <v>1116</v>
      </c>
      <c r="C311" s="2">
        <v>555</v>
      </c>
      <c r="D311" t="s">
        <v>68</v>
      </c>
      <c r="E311" t="s">
        <v>307</v>
      </c>
      <c r="F311" t="s">
        <v>580</v>
      </c>
      <c r="G311" s="5" t="s">
        <v>451</v>
      </c>
      <c r="H311" t="s">
        <v>2437</v>
      </c>
      <c r="I311" s="6">
        <f t="shared" si="4"/>
        <v>90</v>
      </c>
      <c r="J311" s="2">
        <v>8040</v>
      </c>
      <c r="K311" s="2">
        <v>12.3</v>
      </c>
      <c r="L311" s="4">
        <v>89999</v>
      </c>
      <c r="M311" s="4">
        <v>49999</v>
      </c>
      <c r="N311" s="4">
        <v>3899</v>
      </c>
      <c r="O311" s="4">
        <v>449</v>
      </c>
      <c r="P311" s="4">
        <v>1699</v>
      </c>
      <c r="Q311" t="s">
        <v>2369</v>
      </c>
      <c r="R311">
        <v>2024</v>
      </c>
    </row>
    <row r="312" spans="1:18" x14ac:dyDescent="0.25">
      <c r="A312" t="s">
        <v>1614</v>
      </c>
      <c r="B312" t="s">
        <v>1618</v>
      </c>
      <c r="C312" s="2">
        <v>198</v>
      </c>
      <c r="D312" t="s">
        <v>162</v>
      </c>
      <c r="E312" t="s">
        <v>307</v>
      </c>
      <c r="F312" t="s">
        <v>20</v>
      </c>
      <c r="G312" s="5" t="s">
        <v>1619</v>
      </c>
      <c r="H312" t="s">
        <v>2439</v>
      </c>
      <c r="I312" s="6">
        <f t="shared" si="4"/>
        <v>12</v>
      </c>
      <c r="J312" s="2">
        <v>5000</v>
      </c>
      <c r="K312" s="2">
        <v>6.5</v>
      </c>
      <c r="L312" s="4">
        <v>29999</v>
      </c>
      <c r="M312" s="4">
        <v>10999</v>
      </c>
      <c r="N312" s="4">
        <v>1299</v>
      </c>
      <c r="O312" s="4">
        <v>199</v>
      </c>
      <c r="P312" s="4">
        <v>749</v>
      </c>
      <c r="Q312" t="s">
        <v>2368</v>
      </c>
      <c r="R312">
        <v>2022</v>
      </c>
    </row>
    <row r="313" spans="1:18" x14ac:dyDescent="0.25">
      <c r="A313" t="s">
        <v>1614</v>
      </c>
      <c r="B313" t="s">
        <v>1620</v>
      </c>
      <c r="C313" s="2">
        <v>198</v>
      </c>
      <c r="D313" t="s">
        <v>18</v>
      </c>
      <c r="E313" t="s">
        <v>307</v>
      </c>
      <c r="F313" t="s">
        <v>20</v>
      </c>
      <c r="G313" s="5" t="s">
        <v>1619</v>
      </c>
      <c r="H313" t="s">
        <v>2439</v>
      </c>
      <c r="I313" s="6">
        <f t="shared" si="4"/>
        <v>12</v>
      </c>
      <c r="J313" s="2">
        <v>5000</v>
      </c>
      <c r="K313" s="2">
        <v>6.5</v>
      </c>
      <c r="L313" s="4">
        <v>34999</v>
      </c>
      <c r="M313" s="4">
        <v>12999</v>
      </c>
      <c r="N313" s="4">
        <v>1499</v>
      </c>
      <c r="O313" s="4">
        <v>229</v>
      </c>
      <c r="P313" s="4">
        <v>849</v>
      </c>
      <c r="Q313" t="s">
        <v>2368</v>
      </c>
      <c r="R313">
        <v>2022</v>
      </c>
    </row>
    <row r="314" spans="1:18" x14ac:dyDescent="0.25">
      <c r="A314" t="s">
        <v>1614</v>
      </c>
      <c r="B314" t="s">
        <v>1622</v>
      </c>
      <c r="C314" s="2">
        <v>200</v>
      </c>
      <c r="D314" t="s">
        <v>18</v>
      </c>
      <c r="E314" t="s">
        <v>585</v>
      </c>
      <c r="F314" t="s">
        <v>907</v>
      </c>
      <c r="G314" s="5" t="s">
        <v>1623</v>
      </c>
      <c r="H314" t="s">
        <v>2439</v>
      </c>
      <c r="I314" s="6">
        <f t="shared" si="4"/>
        <v>20</v>
      </c>
      <c r="J314" s="2">
        <v>5000</v>
      </c>
      <c r="K314" s="2">
        <v>6.8</v>
      </c>
      <c r="L314" s="4">
        <v>39999</v>
      </c>
      <c r="M314" s="4">
        <v>14999</v>
      </c>
      <c r="N314" s="4">
        <v>1699</v>
      </c>
      <c r="O314" s="4">
        <v>249</v>
      </c>
      <c r="P314" s="4">
        <v>949</v>
      </c>
      <c r="Q314" t="s">
        <v>2368</v>
      </c>
      <c r="R314">
        <v>2021</v>
      </c>
    </row>
    <row r="315" spans="1:18" x14ac:dyDescent="0.25">
      <c r="A315" t="s">
        <v>1614</v>
      </c>
      <c r="B315" t="s">
        <v>1625</v>
      </c>
      <c r="C315" s="2">
        <v>190</v>
      </c>
      <c r="D315" t="s">
        <v>613</v>
      </c>
      <c r="E315" t="s">
        <v>508</v>
      </c>
      <c r="F315" t="s">
        <v>475</v>
      </c>
      <c r="G315" s="5" t="s">
        <v>1626</v>
      </c>
      <c r="H315" t="s">
        <v>2439</v>
      </c>
      <c r="I315" s="6">
        <f t="shared" si="4"/>
        <v>3</v>
      </c>
      <c r="J315" s="2">
        <v>5000</v>
      </c>
      <c r="K315" s="2">
        <v>6.52</v>
      </c>
      <c r="L315" s="4">
        <v>19999</v>
      </c>
      <c r="M315" s="4">
        <v>7499</v>
      </c>
      <c r="N315" s="4">
        <v>999</v>
      </c>
      <c r="O315" s="4">
        <v>149</v>
      </c>
      <c r="P315" s="4">
        <v>549</v>
      </c>
      <c r="Q315" t="s">
        <v>2368</v>
      </c>
      <c r="R315">
        <v>2021</v>
      </c>
    </row>
    <row r="316" spans="1:18" x14ac:dyDescent="0.25">
      <c r="A316" t="s">
        <v>1614</v>
      </c>
      <c r="B316" t="s">
        <v>1628</v>
      </c>
      <c r="C316" s="2">
        <v>200</v>
      </c>
      <c r="D316" t="s">
        <v>162</v>
      </c>
      <c r="E316" t="s">
        <v>307</v>
      </c>
      <c r="F316" t="s">
        <v>20</v>
      </c>
      <c r="G316" s="5" t="s">
        <v>1629</v>
      </c>
      <c r="H316" t="s">
        <v>2439</v>
      </c>
      <c r="I316" s="6">
        <f t="shared" si="4"/>
        <v>18</v>
      </c>
      <c r="J316" s="2">
        <v>5000</v>
      </c>
      <c r="K316" s="2">
        <v>6.5</v>
      </c>
      <c r="L316" s="4">
        <v>29999</v>
      </c>
      <c r="M316" s="4">
        <v>11999</v>
      </c>
      <c r="N316" s="4">
        <v>1299</v>
      </c>
      <c r="O316" s="4">
        <v>199</v>
      </c>
      <c r="P316" s="4">
        <v>749</v>
      </c>
      <c r="Q316" t="s">
        <v>2368</v>
      </c>
      <c r="R316">
        <v>2021</v>
      </c>
    </row>
    <row r="317" spans="1:18" x14ac:dyDescent="0.25">
      <c r="A317" t="s">
        <v>1614</v>
      </c>
      <c r="B317" t="s">
        <v>1630</v>
      </c>
      <c r="C317" s="2">
        <v>172</v>
      </c>
      <c r="D317" t="s">
        <v>162</v>
      </c>
      <c r="E317" t="s">
        <v>585</v>
      </c>
      <c r="F317" t="s">
        <v>475</v>
      </c>
      <c r="G317" s="5" t="s">
        <v>1631</v>
      </c>
      <c r="H317" t="s">
        <v>2439</v>
      </c>
      <c r="I317" s="6">
        <f t="shared" si="4"/>
        <v>14</v>
      </c>
      <c r="J317" s="2">
        <v>4050</v>
      </c>
      <c r="K317" s="2">
        <v>6.22</v>
      </c>
      <c r="L317" s="4">
        <v>24999</v>
      </c>
      <c r="M317" s="4">
        <v>10999</v>
      </c>
      <c r="N317" s="4">
        <v>1199</v>
      </c>
      <c r="O317" s="4">
        <v>179</v>
      </c>
      <c r="P317" s="4">
        <v>699</v>
      </c>
      <c r="Q317" t="s">
        <v>2368</v>
      </c>
      <c r="R317">
        <v>2019</v>
      </c>
    </row>
    <row r="318" spans="1:18" x14ac:dyDescent="0.25">
      <c r="A318" t="s">
        <v>1614</v>
      </c>
      <c r="B318" t="s">
        <v>1633</v>
      </c>
      <c r="C318" s="2">
        <v>172</v>
      </c>
      <c r="D318" t="s">
        <v>256</v>
      </c>
      <c r="E318" t="s">
        <v>508</v>
      </c>
      <c r="F318" t="s">
        <v>475</v>
      </c>
      <c r="G318" s="5" t="s">
        <v>1634</v>
      </c>
      <c r="H318" t="s">
        <v>2439</v>
      </c>
      <c r="I318" s="6">
        <f t="shared" si="4"/>
        <v>4</v>
      </c>
      <c r="J318" s="2">
        <v>4000</v>
      </c>
      <c r="K318" s="2">
        <v>6.09</v>
      </c>
      <c r="L318" s="4">
        <v>19999</v>
      </c>
      <c r="M318" s="4">
        <v>9999</v>
      </c>
      <c r="N318" s="4">
        <v>999</v>
      </c>
      <c r="O318" s="4">
        <v>149</v>
      </c>
      <c r="P318" s="4">
        <v>549</v>
      </c>
      <c r="Q318" t="s">
        <v>2368</v>
      </c>
      <c r="R318">
        <v>2019</v>
      </c>
    </row>
    <row r="319" spans="1:18" x14ac:dyDescent="0.25">
      <c r="A319" t="s">
        <v>1614</v>
      </c>
      <c r="B319" t="s">
        <v>1636</v>
      </c>
      <c r="C319" s="2">
        <v>164</v>
      </c>
      <c r="D319" t="s">
        <v>162</v>
      </c>
      <c r="E319" t="s">
        <v>585</v>
      </c>
      <c r="F319" t="s">
        <v>585</v>
      </c>
      <c r="G319" s="5" t="s">
        <v>924</v>
      </c>
      <c r="H319" t="s">
        <v>2439</v>
      </c>
      <c r="I319" s="6">
        <f t="shared" si="4"/>
        <v>28</v>
      </c>
      <c r="J319" s="2">
        <v>4050</v>
      </c>
      <c r="K319" s="2">
        <v>6.3</v>
      </c>
      <c r="L319" s="4">
        <v>29999</v>
      </c>
      <c r="M319" s="4">
        <v>13999</v>
      </c>
      <c r="N319" s="4">
        <v>1499</v>
      </c>
      <c r="O319" s="4">
        <v>219</v>
      </c>
      <c r="P319" s="4">
        <v>799</v>
      </c>
      <c r="Q319" t="s">
        <v>2368</v>
      </c>
      <c r="R319">
        <v>2019</v>
      </c>
    </row>
    <row r="320" spans="1:18" x14ac:dyDescent="0.25">
      <c r="A320" t="s">
        <v>1614</v>
      </c>
      <c r="B320" t="s">
        <v>1637</v>
      </c>
      <c r="C320" s="2">
        <v>164</v>
      </c>
      <c r="D320" t="s">
        <v>18</v>
      </c>
      <c r="E320" t="s">
        <v>585</v>
      </c>
      <c r="F320" t="s">
        <v>585</v>
      </c>
      <c r="G320" s="5" t="s">
        <v>924</v>
      </c>
      <c r="H320" t="s">
        <v>2439</v>
      </c>
      <c r="I320" s="6">
        <f t="shared" si="4"/>
        <v>28</v>
      </c>
      <c r="J320" s="2">
        <v>4050</v>
      </c>
      <c r="K320" s="2">
        <v>6.3</v>
      </c>
      <c r="L320" s="4">
        <v>34999</v>
      </c>
      <c r="M320" s="4">
        <v>15999</v>
      </c>
      <c r="N320" s="4">
        <v>1699</v>
      </c>
      <c r="O320" s="4">
        <v>249</v>
      </c>
      <c r="P320" s="4">
        <v>899</v>
      </c>
      <c r="Q320" t="s">
        <v>2368</v>
      </c>
      <c r="R320">
        <v>2019</v>
      </c>
    </row>
    <row r="321" spans="1:18" x14ac:dyDescent="0.25">
      <c r="A321" t="s">
        <v>1614</v>
      </c>
      <c r="B321" t="s">
        <v>1642</v>
      </c>
      <c r="C321" s="2">
        <v>210</v>
      </c>
      <c r="D321" t="s">
        <v>18</v>
      </c>
      <c r="E321" t="s">
        <v>585</v>
      </c>
      <c r="F321" t="s">
        <v>585</v>
      </c>
      <c r="G321" s="5" t="s">
        <v>924</v>
      </c>
      <c r="H321" t="s">
        <v>2439</v>
      </c>
      <c r="I321" s="6">
        <f t="shared" si="4"/>
        <v>28</v>
      </c>
      <c r="J321" s="2">
        <v>3350</v>
      </c>
      <c r="K321" s="2">
        <v>6.39</v>
      </c>
      <c r="L321" s="4">
        <v>49999</v>
      </c>
      <c r="M321" s="4">
        <v>21400</v>
      </c>
      <c r="N321" s="4">
        <v>1998</v>
      </c>
      <c r="O321" s="4">
        <v>299</v>
      </c>
      <c r="P321" s="4">
        <v>1099</v>
      </c>
      <c r="Q321" t="s">
        <v>2368</v>
      </c>
      <c r="R321">
        <v>2018</v>
      </c>
    </row>
    <row r="322" spans="1:18" x14ac:dyDescent="0.25">
      <c r="A322" t="s">
        <v>1614</v>
      </c>
      <c r="B322" t="s">
        <v>1615</v>
      </c>
      <c r="C322" s="2">
        <v>209</v>
      </c>
      <c r="D322" t="s">
        <v>68</v>
      </c>
      <c r="E322" t="s">
        <v>585</v>
      </c>
      <c r="F322" t="s">
        <v>580</v>
      </c>
      <c r="G322" s="5" t="s">
        <v>767</v>
      </c>
      <c r="H322" t="s">
        <v>2437</v>
      </c>
      <c r="I322" s="6">
        <f t="shared" ref="I322:I385" si="5">_xlfn.XLOOKUP(G322, $T$2:$T$183,$U$2:$U$183,"Unknown",0)</f>
        <v>92</v>
      </c>
      <c r="J322" s="2">
        <v>5100</v>
      </c>
      <c r="K322" s="2">
        <v>6.67</v>
      </c>
      <c r="L322" s="4">
        <v>139999</v>
      </c>
      <c r="M322" s="4">
        <v>49999</v>
      </c>
      <c r="N322" s="4">
        <v>3299</v>
      </c>
      <c r="O322" s="4">
        <v>499</v>
      </c>
      <c r="P322" s="4">
        <v>1899</v>
      </c>
      <c r="Q322" t="s">
        <v>2368</v>
      </c>
      <c r="R322">
        <v>2022</v>
      </c>
    </row>
    <row r="323" spans="1:18" x14ac:dyDescent="0.25">
      <c r="A323" t="s">
        <v>1614</v>
      </c>
      <c r="B323" t="s">
        <v>1616</v>
      </c>
      <c r="C323" s="2">
        <v>209</v>
      </c>
      <c r="D323" t="s">
        <v>375</v>
      </c>
      <c r="E323" t="s">
        <v>585</v>
      </c>
      <c r="F323" t="s">
        <v>580</v>
      </c>
      <c r="G323" s="5" t="s">
        <v>767</v>
      </c>
      <c r="H323" t="s">
        <v>2437</v>
      </c>
      <c r="I323" s="6">
        <f t="shared" si="5"/>
        <v>92</v>
      </c>
      <c r="J323" s="2">
        <v>5100</v>
      </c>
      <c r="K323" s="2">
        <v>6.67</v>
      </c>
      <c r="L323" s="4">
        <v>159999</v>
      </c>
      <c r="M323" s="4">
        <v>54999</v>
      </c>
      <c r="N323" s="4">
        <v>3699</v>
      </c>
      <c r="O323" s="4">
        <v>549</v>
      </c>
      <c r="P323" s="4">
        <v>2099</v>
      </c>
      <c r="Q323" t="s">
        <v>2368</v>
      </c>
      <c r="R323">
        <v>2022</v>
      </c>
    </row>
    <row r="324" spans="1:18" x14ac:dyDescent="0.25">
      <c r="A324" t="s">
        <v>1614</v>
      </c>
      <c r="B324" t="s">
        <v>1617</v>
      </c>
      <c r="C324" s="2">
        <v>209</v>
      </c>
      <c r="D324" t="s">
        <v>759</v>
      </c>
      <c r="E324" t="s">
        <v>585</v>
      </c>
      <c r="F324" t="s">
        <v>580</v>
      </c>
      <c r="G324" s="5" t="s">
        <v>767</v>
      </c>
      <c r="H324" t="s">
        <v>2437</v>
      </c>
      <c r="I324" s="6">
        <f t="shared" si="5"/>
        <v>92</v>
      </c>
      <c r="J324" s="2">
        <v>5100</v>
      </c>
      <c r="K324" s="2">
        <v>6.67</v>
      </c>
      <c r="L324" s="4">
        <v>179999</v>
      </c>
      <c r="M324" s="4">
        <v>59999</v>
      </c>
      <c r="N324" s="4">
        <v>4199</v>
      </c>
      <c r="O324" s="4">
        <v>599</v>
      </c>
      <c r="P324" s="4">
        <v>2299</v>
      </c>
      <c r="Q324" t="s">
        <v>2368</v>
      </c>
      <c r="R324">
        <v>2022</v>
      </c>
    </row>
    <row r="325" spans="1:18" x14ac:dyDescent="0.25">
      <c r="A325" t="s">
        <v>1614</v>
      </c>
      <c r="B325" t="s">
        <v>1638</v>
      </c>
      <c r="C325" s="2">
        <v>185</v>
      </c>
      <c r="D325" t="s">
        <v>18</v>
      </c>
      <c r="E325" t="s">
        <v>461</v>
      </c>
      <c r="F325" t="s">
        <v>20</v>
      </c>
      <c r="G325" s="5" t="s">
        <v>834</v>
      </c>
      <c r="H325" t="s">
        <v>2437</v>
      </c>
      <c r="I325" s="6">
        <f t="shared" si="5"/>
        <v>75</v>
      </c>
      <c r="J325" s="2">
        <v>4000</v>
      </c>
      <c r="K325" s="2">
        <v>6.39</v>
      </c>
      <c r="L325" s="4">
        <v>69999</v>
      </c>
      <c r="M325" s="4">
        <v>39999</v>
      </c>
      <c r="N325" s="4">
        <v>2899</v>
      </c>
      <c r="O325" s="4">
        <v>429</v>
      </c>
      <c r="P325" s="4">
        <v>1599</v>
      </c>
      <c r="Q325" t="s">
        <v>2368</v>
      </c>
      <c r="R325">
        <v>2019</v>
      </c>
    </row>
    <row r="326" spans="1:18" x14ac:dyDescent="0.25">
      <c r="A326" t="s">
        <v>1614</v>
      </c>
      <c r="B326" t="s">
        <v>1640</v>
      </c>
      <c r="C326" s="2">
        <v>185</v>
      </c>
      <c r="D326" t="s">
        <v>68</v>
      </c>
      <c r="E326" t="s">
        <v>461</v>
      </c>
      <c r="F326" t="s">
        <v>20</v>
      </c>
      <c r="G326" s="5" t="s">
        <v>834</v>
      </c>
      <c r="H326" t="s">
        <v>2437</v>
      </c>
      <c r="I326" s="6">
        <f t="shared" si="5"/>
        <v>75</v>
      </c>
      <c r="J326" s="2">
        <v>4000</v>
      </c>
      <c r="K326" s="2">
        <v>6.39</v>
      </c>
      <c r="L326" s="4">
        <v>79999</v>
      </c>
      <c r="M326" s="4">
        <v>44999</v>
      </c>
      <c r="N326" s="4">
        <v>3299</v>
      </c>
      <c r="O326" s="4">
        <v>479</v>
      </c>
      <c r="P326" s="4">
        <v>1799</v>
      </c>
      <c r="Q326" t="s">
        <v>2368</v>
      </c>
      <c r="R326">
        <v>2019</v>
      </c>
    </row>
    <row r="327" spans="1:18" x14ac:dyDescent="0.25">
      <c r="A327" t="s">
        <v>1646</v>
      </c>
      <c r="B327" t="s">
        <v>1659</v>
      </c>
      <c r="C327" s="2">
        <v>195</v>
      </c>
      <c r="D327" t="s">
        <v>162</v>
      </c>
      <c r="E327" t="s">
        <v>585</v>
      </c>
      <c r="F327" t="s">
        <v>580</v>
      </c>
      <c r="G327" s="5" t="s">
        <v>2394</v>
      </c>
      <c r="H327" t="s">
        <v>2439</v>
      </c>
      <c r="I327" s="6">
        <f t="shared" si="5"/>
        <v>14</v>
      </c>
      <c r="J327" s="2">
        <v>5000</v>
      </c>
      <c r="K327" s="2">
        <v>6.8</v>
      </c>
      <c r="L327" s="4">
        <v>49999</v>
      </c>
      <c r="M327" s="4">
        <v>21999</v>
      </c>
      <c r="N327" s="4">
        <v>1499</v>
      </c>
      <c r="O327" s="4">
        <v>199</v>
      </c>
      <c r="P327" s="4">
        <v>799</v>
      </c>
      <c r="Q327" t="s">
        <v>2368</v>
      </c>
      <c r="R327">
        <v>2023</v>
      </c>
    </row>
    <row r="328" spans="1:18" x14ac:dyDescent="0.25">
      <c r="A328" t="s">
        <v>1646</v>
      </c>
      <c r="B328" t="s">
        <v>1660</v>
      </c>
      <c r="C328" s="2">
        <v>195</v>
      </c>
      <c r="D328" t="s">
        <v>18</v>
      </c>
      <c r="E328" t="s">
        <v>585</v>
      </c>
      <c r="F328" t="s">
        <v>580</v>
      </c>
      <c r="G328" s="5" t="s">
        <v>2394</v>
      </c>
      <c r="H328" t="s">
        <v>2439</v>
      </c>
      <c r="I328" s="6">
        <f t="shared" si="5"/>
        <v>14</v>
      </c>
      <c r="J328" s="2">
        <v>5000</v>
      </c>
      <c r="K328" s="2">
        <v>6.8</v>
      </c>
      <c r="L328" s="4">
        <v>54999</v>
      </c>
      <c r="M328" s="4">
        <v>24999</v>
      </c>
      <c r="N328" s="4">
        <v>1699</v>
      </c>
      <c r="O328" s="4">
        <v>249</v>
      </c>
      <c r="P328" s="4">
        <v>899</v>
      </c>
      <c r="Q328" t="s">
        <v>2368</v>
      </c>
      <c r="R328">
        <v>2023</v>
      </c>
    </row>
    <row r="329" spans="1:18" x14ac:dyDescent="0.25">
      <c r="A329" t="s">
        <v>1646</v>
      </c>
      <c r="B329" t="s">
        <v>1667</v>
      </c>
      <c r="C329" s="2">
        <v>198</v>
      </c>
      <c r="D329" t="s">
        <v>162</v>
      </c>
      <c r="E329" t="s">
        <v>307</v>
      </c>
      <c r="F329" t="s">
        <v>20</v>
      </c>
      <c r="G329" s="5" t="s">
        <v>1619</v>
      </c>
      <c r="H329" t="s">
        <v>2439</v>
      </c>
      <c r="I329" s="6">
        <f t="shared" si="5"/>
        <v>12</v>
      </c>
      <c r="J329" s="2">
        <v>5000</v>
      </c>
      <c r="K329" s="2">
        <v>6.5</v>
      </c>
      <c r="L329" s="4">
        <v>29999</v>
      </c>
      <c r="M329" s="4">
        <v>11999</v>
      </c>
      <c r="N329" s="4">
        <v>1299</v>
      </c>
      <c r="O329" s="4">
        <v>199</v>
      </c>
      <c r="P329" s="4">
        <v>749</v>
      </c>
      <c r="Q329" t="s">
        <v>2368</v>
      </c>
      <c r="R329">
        <v>2023</v>
      </c>
    </row>
    <row r="330" spans="1:18" x14ac:dyDescent="0.25">
      <c r="A330" t="s">
        <v>1646</v>
      </c>
      <c r="B330" t="s">
        <v>1668</v>
      </c>
      <c r="C330" s="2">
        <v>198</v>
      </c>
      <c r="D330" t="s">
        <v>18</v>
      </c>
      <c r="E330" t="s">
        <v>307</v>
      </c>
      <c r="F330" t="s">
        <v>20</v>
      </c>
      <c r="G330" s="5" t="s">
        <v>1619</v>
      </c>
      <c r="H330" t="s">
        <v>2439</v>
      </c>
      <c r="I330" s="6">
        <f t="shared" si="5"/>
        <v>12</v>
      </c>
      <c r="J330" s="2">
        <v>5000</v>
      </c>
      <c r="K330" s="2">
        <v>6.5</v>
      </c>
      <c r="L330" s="4">
        <v>34999</v>
      </c>
      <c r="M330" s="4">
        <v>13999</v>
      </c>
      <c r="N330" s="4">
        <v>1499</v>
      </c>
      <c r="O330" s="4">
        <v>229</v>
      </c>
      <c r="P330" s="4">
        <v>849</v>
      </c>
      <c r="Q330" t="s">
        <v>2368</v>
      </c>
      <c r="R330">
        <v>2023</v>
      </c>
    </row>
    <row r="331" spans="1:18" x14ac:dyDescent="0.25">
      <c r="A331" t="s">
        <v>1646</v>
      </c>
      <c r="B331" t="s">
        <v>1669</v>
      </c>
      <c r="C331" s="2">
        <v>206</v>
      </c>
      <c r="D331" t="s">
        <v>162</v>
      </c>
      <c r="E331" t="s">
        <v>585</v>
      </c>
      <c r="F331" t="s">
        <v>580</v>
      </c>
      <c r="G331" s="5" t="s">
        <v>1623</v>
      </c>
      <c r="H331" t="s">
        <v>2439</v>
      </c>
      <c r="I331" s="6">
        <f t="shared" si="5"/>
        <v>20</v>
      </c>
      <c r="J331" s="2">
        <v>5000</v>
      </c>
      <c r="K331" s="2">
        <v>6.6</v>
      </c>
      <c r="L331" s="4">
        <v>39999</v>
      </c>
      <c r="M331" s="4">
        <v>17999</v>
      </c>
      <c r="N331" s="4">
        <v>1599</v>
      </c>
      <c r="O331" s="4">
        <v>249</v>
      </c>
      <c r="P331" s="4">
        <v>949</v>
      </c>
      <c r="Q331" t="s">
        <v>2368</v>
      </c>
      <c r="R331">
        <v>2022</v>
      </c>
    </row>
    <row r="332" spans="1:18" x14ac:dyDescent="0.25">
      <c r="A332" t="s">
        <v>1646</v>
      </c>
      <c r="B332" t="s">
        <v>1670</v>
      </c>
      <c r="C332" s="2">
        <v>206</v>
      </c>
      <c r="D332" t="s">
        <v>18</v>
      </c>
      <c r="E332" t="s">
        <v>585</v>
      </c>
      <c r="F332" t="s">
        <v>580</v>
      </c>
      <c r="G332" s="5" t="s">
        <v>1623</v>
      </c>
      <c r="H332" t="s">
        <v>2439</v>
      </c>
      <c r="I332" s="6">
        <f t="shared" si="5"/>
        <v>20</v>
      </c>
      <c r="J332" s="2">
        <v>5000</v>
      </c>
      <c r="K332" s="2">
        <v>6.6</v>
      </c>
      <c r="L332" s="4">
        <v>44999</v>
      </c>
      <c r="M332" s="4">
        <v>19999</v>
      </c>
      <c r="N332" s="4">
        <v>1799</v>
      </c>
      <c r="O332" s="4">
        <v>279</v>
      </c>
      <c r="P332" s="4">
        <v>1049</v>
      </c>
      <c r="Q332" t="s">
        <v>2368</v>
      </c>
      <c r="R332">
        <v>2022</v>
      </c>
    </row>
    <row r="333" spans="1:18" x14ac:dyDescent="0.25">
      <c r="A333" t="s">
        <v>1646</v>
      </c>
      <c r="B333" t="s">
        <v>1672</v>
      </c>
      <c r="C333" s="2">
        <v>203</v>
      </c>
      <c r="D333" t="s">
        <v>256</v>
      </c>
      <c r="E333" t="s">
        <v>508</v>
      </c>
      <c r="F333" t="s">
        <v>475</v>
      </c>
      <c r="G333" s="5" t="s">
        <v>2398</v>
      </c>
      <c r="H333" t="s">
        <v>2439</v>
      </c>
      <c r="I333" s="6">
        <f t="shared" si="5"/>
        <v>3</v>
      </c>
      <c r="J333" s="2">
        <v>5000</v>
      </c>
      <c r="K333" s="2">
        <v>6.5</v>
      </c>
      <c r="L333" s="4">
        <v>24999</v>
      </c>
      <c r="M333" s="4">
        <v>9999</v>
      </c>
      <c r="N333" s="4">
        <v>999</v>
      </c>
      <c r="O333" s="4">
        <v>149</v>
      </c>
      <c r="P333" s="4">
        <v>549</v>
      </c>
      <c r="Q333" t="s">
        <v>2368</v>
      </c>
      <c r="R333">
        <v>2022</v>
      </c>
    </row>
    <row r="334" spans="1:18" x14ac:dyDescent="0.25">
      <c r="A334" t="s">
        <v>1646</v>
      </c>
      <c r="B334" t="s">
        <v>1674</v>
      </c>
      <c r="C334" s="2">
        <v>203</v>
      </c>
      <c r="D334" t="s">
        <v>162</v>
      </c>
      <c r="E334" t="s">
        <v>508</v>
      </c>
      <c r="F334" t="s">
        <v>475</v>
      </c>
      <c r="G334" s="5" t="s">
        <v>2398</v>
      </c>
      <c r="H334" t="s">
        <v>2439</v>
      </c>
      <c r="I334" s="6">
        <f t="shared" si="5"/>
        <v>3</v>
      </c>
      <c r="J334" s="2">
        <v>5000</v>
      </c>
      <c r="K334" s="2">
        <v>6.5</v>
      </c>
      <c r="L334" s="4">
        <v>29999</v>
      </c>
      <c r="M334" s="4">
        <v>11999</v>
      </c>
      <c r="N334" s="4">
        <v>1199</v>
      </c>
      <c r="O334" s="4">
        <v>179</v>
      </c>
      <c r="P334" s="4">
        <v>649</v>
      </c>
      <c r="Q334" t="s">
        <v>2368</v>
      </c>
      <c r="R334">
        <v>2022</v>
      </c>
    </row>
    <row r="335" spans="1:18" x14ac:dyDescent="0.25">
      <c r="A335" t="s">
        <v>1646</v>
      </c>
      <c r="B335" t="s">
        <v>1675</v>
      </c>
      <c r="C335" s="2">
        <v>205</v>
      </c>
      <c r="D335" t="s">
        <v>68</v>
      </c>
      <c r="E335" t="s">
        <v>585</v>
      </c>
      <c r="F335" t="s">
        <v>580</v>
      </c>
      <c r="G335" s="5" t="s">
        <v>1676</v>
      </c>
      <c r="H335" t="s">
        <v>2439</v>
      </c>
      <c r="I335" s="6">
        <f t="shared" si="5"/>
        <v>35</v>
      </c>
      <c r="J335" s="2">
        <v>5000</v>
      </c>
      <c r="K335" s="2">
        <v>6.78</v>
      </c>
      <c r="L335" s="4">
        <v>89999</v>
      </c>
      <c r="M335" s="4">
        <v>34999</v>
      </c>
      <c r="N335" s="4">
        <v>2699</v>
      </c>
      <c r="O335" s="4">
        <v>320</v>
      </c>
      <c r="P335" s="4">
        <v>1175</v>
      </c>
      <c r="Q335" t="s">
        <v>2368</v>
      </c>
      <c r="R335">
        <v>2024</v>
      </c>
    </row>
    <row r="336" spans="1:18" x14ac:dyDescent="0.25">
      <c r="A336" t="s">
        <v>1646</v>
      </c>
      <c r="B336" t="s">
        <v>1678</v>
      </c>
      <c r="C336" s="2">
        <v>205</v>
      </c>
      <c r="D336" t="s">
        <v>68</v>
      </c>
      <c r="E336" t="s">
        <v>585</v>
      </c>
      <c r="F336" t="s">
        <v>580</v>
      </c>
      <c r="G336" s="5" t="s">
        <v>1676</v>
      </c>
      <c r="H336" t="s">
        <v>2439</v>
      </c>
      <c r="I336" s="6">
        <f t="shared" si="5"/>
        <v>35</v>
      </c>
      <c r="J336" s="2">
        <v>5000</v>
      </c>
      <c r="K336" s="2">
        <v>6.78</v>
      </c>
      <c r="L336" s="4">
        <v>99999</v>
      </c>
      <c r="M336" s="4">
        <v>39999</v>
      </c>
      <c r="N336" s="4">
        <v>2999</v>
      </c>
      <c r="O336" s="4">
        <v>370</v>
      </c>
      <c r="P336" s="4">
        <v>1350</v>
      </c>
      <c r="Q336" t="s">
        <v>2368</v>
      </c>
      <c r="R336">
        <v>2024</v>
      </c>
    </row>
    <row r="337" spans="1:18" x14ac:dyDescent="0.25">
      <c r="A337" t="s">
        <v>1646</v>
      </c>
      <c r="B337" t="s">
        <v>1693</v>
      </c>
      <c r="C337" s="2">
        <v>188</v>
      </c>
      <c r="D337" t="s">
        <v>162</v>
      </c>
      <c r="E337" t="s">
        <v>585</v>
      </c>
      <c r="F337" t="s">
        <v>580</v>
      </c>
      <c r="G337" s="5" t="s">
        <v>1694</v>
      </c>
      <c r="H337" t="s">
        <v>2439</v>
      </c>
      <c r="I337" s="6">
        <f t="shared" si="5"/>
        <v>15</v>
      </c>
      <c r="J337" s="2">
        <v>5000</v>
      </c>
      <c r="K337" s="2">
        <v>6.72</v>
      </c>
      <c r="L337" s="4">
        <v>49999</v>
      </c>
      <c r="M337" s="4">
        <v>18999</v>
      </c>
      <c r="N337" s="4">
        <v>1599</v>
      </c>
      <c r="O337" s="4">
        <v>200</v>
      </c>
      <c r="P337" s="4">
        <v>750</v>
      </c>
      <c r="Q337" t="s">
        <v>2368</v>
      </c>
      <c r="R337">
        <v>2024</v>
      </c>
    </row>
    <row r="338" spans="1:18" x14ac:dyDescent="0.25">
      <c r="A338" t="s">
        <v>1646</v>
      </c>
      <c r="B338" t="s">
        <v>1695</v>
      </c>
      <c r="C338" s="2">
        <v>188</v>
      </c>
      <c r="D338" t="s">
        <v>68</v>
      </c>
      <c r="E338" t="s">
        <v>585</v>
      </c>
      <c r="F338" t="s">
        <v>580</v>
      </c>
      <c r="G338" s="5" t="s">
        <v>1694</v>
      </c>
      <c r="H338" t="s">
        <v>2439</v>
      </c>
      <c r="I338" s="6">
        <f t="shared" si="5"/>
        <v>15</v>
      </c>
      <c r="J338" s="2">
        <v>5000</v>
      </c>
      <c r="K338" s="2">
        <v>6.72</v>
      </c>
      <c r="L338" s="4">
        <v>59999</v>
      </c>
      <c r="M338" s="4">
        <v>22999</v>
      </c>
      <c r="N338" s="4">
        <v>1899</v>
      </c>
      <c r="O338" s="4">
        <v>250</v>
      </c>
      <c r="P338" s="4">
        <v>925</v>
      </c>
      <c r="Q338" t="s">
        <v>2368</v>
      </c>
      <c r="R338">
        <v>2024</v>
      </c>
    </row>
    <row r="339" spans="1:18" x14ac:dyDescent="0.25">
      <c r="A339" t="s">
        <v>1646</v>
      </c>
      <c r="B339" t="s">
        <v>1697</v>
      </c>
      <c r="C339" s="2">
        <v>183</v>
      </c>
      <c r="D339" t="s">
        <v>18</v>
      </c>
      <c r="E339" t="s">
        <v>585</v>
      </c>
      <c r="F339" t="s">
        <v>580</v>
      </c>
      <c r="G339" s="5" t="s">
        <v>1698</v>
      </c>
      <c r="H339" t="s">
        <v>2439</v>
      </c>
      <c r="I339" s="6">
        <f t="shared" si="5"/>
        <v>28</v>
      </c>
      <c r="J339" s="2">
        <v>5000</v>
      </c>
      <c r="K339" s="2">
        <v>6.5</v>
      </c>
      <c r="L339" s="4">
        <v>59999</v>
      </c>
      <c r="M339" s="4">
        <v>22999</v>
      </c>
      <c r="N339" s="4">
        <v>1899</v>
      </c>
      <c r="O339" s="4">
        <v>250</v>
      </c>
      <c r="P339" s="4">
        <v>925</v>
      </c>
      <c r="Q339" t="s">
        <v>2368</v>
      </c>
      <c r="R339">
        <v>2024</v>
      </c>
    </row>
    <row r="340" spans="1:18" x14ac:dyDescent="0.25">
      <c r="A340" t="s">
        <v>1646</v>
      </c>
      <c r="B340" t="s">
        <v>1699</v>
      </c>
      <c r="C340" s="2">
        <v>183</v>
      </c>
      <c r="D340" t="s">
        <v>68</v>
      </c>
      <c r="E340" t="s">
        <v>585</v>
      </c>
      <c r="F340" t="s">
        <v>580</v>
      </c>
      <c r="G340" s="5" t="s">
        <v>1698</v>
      </c>
      <c r="H340" t="s">
        <v>2439</v>
      </c>
      <c r="I340" s="6">
        <f t="shared" si="5"/>
        <v>28</v>
      </c>
      <c r="J340" s="2">
        <v>5000</v>
      </c>
      <c r="K340" s="2">
        <v>6.5</v>
      </c>
      <c r="L340" s="4">
        <v>69999</v>
      </c>
      <c r="M340" s="4">
        <v>26999</v>
      </c>
      <c r="N340" s="4">
        <v>2199</v>
      </c>
      <c r="O340" s="4">
        <v>300</v>
      </c>
      <c r="P340" s="4">
        <v>1100</v>
      </c>
      <c r="Q340" t="s">
        <v>2368</v>
      </c>
      <c r="R340">
        <v>2024</v>
      </c>
    </row>
    <row r="341" spans="1:18" x14ac:dyDescent="0.25">
      <c r="A341" t="s">
        <v>1646</v>
      </c>
      <c r="B341" t="s">
        <v>1709</v>
      </c>
      <c r="C341" s="2">
        <v>173</v>
      </c>
      <c r="D341" t="s">
        <v>68</v>
      </c>
      <c r="E341" t="s">
        <v>461</v>
      </c>
      <c r="F341" t="s">
        <v>580</v>
      </c>
      <c r="G341" s="5" t="s">
        <v>1698</v>
      </c>
      <c r="H341" t="s">
        <v>2439</v>
      </c>
      <c r="I341" s="6">
        <f t="shared" si="5"/>
        <v>28</v>
      </c>
      <c r="J341" s="2">
        <v>5000</v>
      </c>
      <c r="K341" s="2">
        <v>6.67</v>
      </c>
      <c r="L341" s="4">
        <v>79999</v>
      </c>
      <c r="M341" s="4">
        <v>29999</v>
      </c>
      <c r="N341" s="4">
        <v>2499</v>
      </c>
      <c r="O341" s="4">
        <v>320</v>
      </c>
      <c r="P341" s="4">
        <v>1175</v>
      </c>
      <c r="Q341" t="s">
        <v>2368</v>
      </c>
      <c r="R341">
        <v>2024</v>
      </c>
    </row>
    <row r="342" spans="1:18" x14ac:dyDescent="0.25">
      <c r="A342" t="s">
        <v>1646</v>
      </c>
      <c r="B342" t="s">
        <v>1710</v>
      </c>
      <c r="C342" s="2">
        <v>173</v>
      </c>
      <c r="D342" t="s">
        <v>375</v>
      </c>
      <c r="E342" t="s">
        <v>461</v>
      </c>
      <c r="F342" t="s">
        <v>580</v>
      </c>
      <c r="G342" s="5" t="s">
        <v>1698</v>
      </c>
      <c r="H342" t="s">
        <v>2439</v>
      </c>
      <c r="I342" s="6">
        <f t="shared" si="5"/>
        <v>28</v>
      </c>
      <c r="J342" s="2">
        <v>5000</v>
      </c>
      <c r="K342" s="2">
        <v>6.67</v>
      </c>
      <c r="L342" s="4">
        <v>89999</v>
      </c>
      <c r="M342" s="4">
        <v>34999</v>
      </c>
      <c r="N342" s="4">
        <v>2799</v>
      </c>
      <c r="O342" s="4">
        <v>370</v>
      </c>
      <c r="P342" s="4">
        <v>1350</v>
      </c>
      <c r="Q342" t="s">
        <v>2368</v>
      </c>
      <c r="R342">
        <v>2024</v>
      </c>
    </row>
    <row r="343" spans="1:18" x14ac:dyDescent="0.25">
      <c r="A343" t="s">
        <v>1646</v>
      </c>
      <c r="B343" t="s">
        <v>1713</v>
      </c>
      <c r="C343" s="2">
        <v>180</v>
      </c>
      <c r="D343" t="s">
        <v>162</v>
      </c>
      <c r="E343" t="s">
        <v>307</v>
      </c>
      <c r="F343" t="s">
        <v>475</v>
      </c>
      <c r="G343" s="5" t="s">
        <v>1714</v>
      </c>
      <c r="H343" t="s">
        <v>2439</v>
      </c>
      <c r="I343" s="6">
        <f t="shared" si="5"/>
        <v>4</v>
      </c>
      <c r="J343" s="2">
        <v>5000</v>
      </c>
      <c r="K343" s="2">
        <v>6.5</v>
      </c>
      <c r="L343" s="4">
        <v>29999</v>
      </c>
      <c r="M343" s="4">
        <v>11999</v>
      </c>
      <c r="N343" s="4">
        <v>999</v>
      </c>
      <c r="O343" s="4">
        <v>150</v>
      </c>
      <c r="P343" s="4">
        <v>550</v>
      </c>
      <c r="Q343" t="s">
        <v>2368</v>
      </c>
      <c r="R343">
        <v>2024</v>
      </c>
    </row>
    <row r="344" spans="1:18" x14ac:dyDescent="0.25">
      <c r="A344" t="s">
        <v>1646</v>
      </c>
      <c r="B344" t="s">
        <v>1716</v>
      </c>
      <c r="C344" s="2">
        <v>180</v>
      </c>
      <c r="D344" t="s">
        <v>162</v>
      </c>
      <c r="E344" t="s">
        <v>307</v>
      </c>
      <c r="F344" t="s">
        <v>475</v>
      </c>
      <c r="G344" s="5" t="s">
        <v>1714</v>
      </c>
      <c r="H344" t="s">
        <v>2439</v>
      </c>
      <c r="I344" s="6">
        <f t="shared" si="5"/>
        <v>4</v>
      </c>
      <c r="J344" s="2">
        <v>5000</v>
      </c>
      <c r="K344" s="2">
        <v>6.5</v>
      </c>
      <c r="L344" s="4">
        <v>34999</v>
      </c>
      <c r="M344" s="4">
        <v>13999</v>
      </c>
      <c r="N344" s="4">
        <v>1199</v>
      </c>
      <c r="O344" s="4">
        <v>180</v>
      </c>
      <c r="P344" s="4">
        <v>650</v>
      </c>
      <c r="Q344" t="s">
        <v>2368</v>
      </c>
      <c r="R344">
        <v>2024</v>
      </c>
    </row>
    <row r="345" spans="1:18" x14ac:dyDescent="0.25">
      <c r="A345" t="s">
        <v>1646</v>
      </c>
      <c r="B345" t="s">
        <v>1722</v>
      </c>
      <c r="C345" s="2">
        <v>195</v>
      </c>
      <c r="D345" t="s">
        <v>18</v>
      </c>
      <c r="E345" t="s">
        <v>585</v>
      </c>
      <c r="F345" t="s">
        <v>580</v>
      </c>
      <c r="G345" s="5" t="s">
        <v>1723</v>
      </c>
      <c r="H345" t="s">
        <v>2439</v>
      </c>
      <c r="I345" s="6">
        <f t="shared" si="5"/>
        <v>30</v>
      </c>
      <c r="J345" s="2">
        <v>5000</v>
      </c>
      <c r="K345" s="2">
        <v>6.8</v>
      </c>
      <c r="L345" s="4">
        <v>69999</v>
      </c>
      <c r="M345" s="4">
        <v>26999</v>
      </c>
      <c r="N345" s="4">
        <v>2199</v>
      </c>
      <c r="O345" s="4">
        <v>300</v>
      </c>
      <c r="P345" s="4">
        <v>1100</v>
      </c>
      <c r="Q345" t="s">
        <v>2368</v>
      </c>
      <c r="R345">
        <v>2024</v>
      </c>
    </row>
    <row r="346" spans="1:18" x14ac:dyDescent="0.25">
      <c r="A346" t="s">
        <v>1646</v>
      </c>
      <c r="B346" t="s">
        <v>1724</v>
      </c>
      <c r="C346" s="2">
        <v>195</v>
      </c>
      <c r="D346" t="s">
        <v>68</v>
      </c>
      <c r="E346" t="s">
        <v>585</v>
      </c>
      <c r="F346" t="s">
        <v>580</v>
      </c>
      <c r="G346" s="5" t="s">
        <v>1723</v>
      </c>
      <c r="H346" t="s">
        <v>2439</v>
      </c>
      <c r="I346" s="6">
        <f t="shared" si="5"/>
        <v>30</v>
      </c>
      <c r="J346" s="2">
        <v>5000</v>
      </c>
      <c r="K346" s="2">
        <v>6.8</v>
      </c>
      <c r="L346" s="4">
        <v>79999</v>
      </c>
      <c r="M346" s="4">
        <v>29999</v>
      </c>
      <c r="N346" s="4">
        <v>2499</v>
      </c>
      <c r="O346" s="4">
        <v>350</v>
      </c>
      <c r="P346" s="4">
        <v>1275</v>
      </c>
      <c r="Q346" t="s">
        <v>2368</v>
      </c>
      <c r="R346">
        <v>2024</v>
      </c>
    </row>
    <row r="347" spans="1:18" x14ac:dyDescent="0.25">
      <c r="A347" t="s">
        <v>1646</v>
      </c>
      <c r="B347" t="s">
        <v>1735</v>
      </c>
      <c r="C347" s="2">
        <v>184</v>
      </c>
      <c r="D347" t="s">
        <v>162</v>
      </c>
      <c r="E347" t="s">
        <v>585</v>
      </c>
      <c r="F347" t="s">
        <v>580</v>
      </c>
      <c r="G347" s="5" t="s">
        <v>1736</v>
      </c>
      <c r="H347" t="s">
        <v>2439</v>
      </c>
      <c r="I347" s="6">
        <f t="shared" si="5"/>
        <v>22</v>
      </c>
      <c r="J347" s="2">
        <v>5000</v>
      </c>
      <c r="K347" s="2">
        <v>6.5</v>
      </c>
      <c r="L347" s="4">
        <v>54999</v>
      </c>
      <c r="M347" s="4">
        <v>19999</v>
      </c>
      <c r="N347" s="4">
        <v>1599</v>
      </c>
      <c r="O347" s="4">
        <v>349</v>
      </c>
      <c r="P347" s="4">
        <v>1299</v>
      </c>
      <c r="Q347" t="s">
        <v>2368</v>
      </c>
      <c r="R347">
        <v>2022</v>
      </c>
    </row>
    <row r="348" spans="1:18" x14ac:dyDescent="0.25">
      <c r="A348" t="s">
        <v>1646</v>
      </c>
      <c r="B348" t="s">
        <v>1737</v>
      </c>
      <c r="C348" s="2">
        <v>184</v>
      </c>
      <c r="D348" t="s">
        <v>18</v>
      </c>
      <c r="E348" t="s">
        <v>585</v>
      </c>
      <c r="F348" t="s">
        <v>580</v>
      </c>
      <c r="G348" s="5" t="s">
        <v>1736</v>
      </c>
      <c r="H348" t="s">
        <v>2439</v>
      </c>
      <c r="I348" s="6">
        <f t="shared" si="5"/>
        <v>22</v>
      </c>
      <c r="J348" s="2">
        <v>5000</v>
      </c>
      <c r="K348" s="2">
        <v>6.5</v>
      </c>
      <c r="L348" s="4">
        <v>64999</v>
      </c>
      <c r="M348" s="4">
        <v>24999</v>
      </c>
      <c r="N348" s="4">
        <v>1899</v>
      </c>
      <c r="O348" s="4">
        <v>399</v>
      </c>
      <c r="P348" s="4">
        <v>1499</v>
      </c>
      <c r="Q348" t="s">
        <v>2368</v>
      </c>
      <c r="R348">
        <v>2022</v>
      </c>
    </row>
    <row r="349" spans="1:18" x14ac:dyDescent="0.25">
      <c r="A349" t="s">
        <v>1646</v>
      </c>
      <c r="B349" t="s">
        <v>1740</v>
      </c>
      <c r="C349" s="2">
        <v>185</v>
      </c>
      <c r="D349" t="s">
        <v>256</v>
      </c>
      <c r="E349" t="s">
        <v>307</v>
      </c>
      <c r="F349" t="s">
        <v>585</v>
      </c>
      <c r="G349" s="5" t="s">
        <v>2380</v>
      </c>
      <c r="H349" t="s">
        <v>2439</v>
      </c>
      <c r="I349" s="6">
        <f t="shared" si="5"/>
        <v>6</v>
      </c>
      <c r="J349" s="2">
        <v>5000</v>
      </c>
      <c r="K349" s="2">
        <v>6.5</v>
      </c>
      <c r="L349" s="4">
        <v>29999</v>
      </c>
      <c r="M349" s="4">
        <v>11999</v>
      </c>
      <c r="N349" s="4">
        <v>999</v>
      </c>
      <c r="O349" s="4">
        <v>199</v>
      </c>
      <c r="P349" s="4">
        <v>749</v>
      </c>
      <c r="Q349" t="s">
        <v>2368</v>
      </c>
      <c r="R349">
        <v>2022</v>
      </c>
    </row>
    <row r="350" spans="1:18" x14ac:dyDescent="0.25">
      <c r="A350" t="s">
        <v>1646</v>
      </c>
      <c r="B350" t="s">
        <v>1742</v>
      </c>
      <c r="C350" s="2">
        <v>169</v>
      </c>
      <c r="D350" t="s">
        <v>613</v>
      </c>
      <c r="E350" t="s">
        <v>508</v>
      </c>
      <c r="F350" t="s">
        <v>585</v>
      </c>
      <c r="G350" s="5" t="s">
        <v>2380</v>
      </c>
      <c r="H350" t="s">
        <v>2439</v>
      </c>
      <c r="I350" s="6">
        <f t="shared" si="5"/>
        <v>6</v>
      </c>
      <c r="J350" s="2">
        <v>4020</v>
      </c>
      <c r="K350" s="2">
        <v>6.5</v>
      </c>
      <c r="L350" s="4">
        <v>24999</v>
      </c>
      <c r="M350" s="4">
        <v>9999</v>
      </c>
      <c r="N350" s="4">
        <v>899</v>
      </c>
      <c r="O350" s="4">
        <v>179</v>
      </c>
      <c r="P350" s="4">
        <v>699</v>
      </c>
      <c r="Q350" t="s">
        <v>2368</v>
      </c>
      <c r="R350">
        <v>2022</v>
      </c>
    </row>
    <row r="351" spans="1:18" x14ac:dyDescent="0.25">
      <c r="A351" t="s">
        <v>1646</v>
      </c>
      <c r="B351" t="s">
        <v>1744</v>
      </c>
      <c r="C351" s="2">
        <v>169</v>
      </c>
      <c r="D351" t="s">
        <v>162</v>
      </c>
      <c r="E351" t="s">
        <v>508</v>
      </c>
      <c r="F351" t="s">
        <v>585</v>
      </c>
      <c r="G351" s="5" t="s">
        <v>2380</v>
      </c>
      <c r="H351" t="s">
        <v>2439</v>
      </c>
      <c r="I351" s="6">
        <f t="shared" si="5"/>
        <v>6</v>
      </c>
      <c r="J351" s="2">
        <v>4020</v>
      </c>
      <c r="K351" s="2">
        <v>6.5</v>
      </c>
      <c r="L351" s="4">
        <v>27999</v>
      </c>
      <c r="M351" s="4">
        <v>10999</v>
      </c>
      <c r="N351" s="4">
        <v>999</v>
      </c>
      <c r="O351" s="4">
        <v>199</v>
      </c>
      <c r="P351" s="4">
        <v>749</v>
      </c>
      <c r="Q351" t="s">
        <v>2368</v>
      </c>
      <c r="R351">
        <v>2022</v>
      </c>
    </row>
    <row r="352" spans="1:18" x14ac:dyDescent="0.25">
      <c r="A352" t="s">
        <v>1646</v>
      </c>
      <c r="B352" t="s">
        <v>1745</v>
      </c>
      <c r="C352" s="2">
        <v>185</v>
      </c>
      <c r="D352" t="s">
        <v>162</v>
      </c>
      <c r="E352" t="s">
        <v>585</v>
      </c>
      <c r="F352" t="s">
        <v>580</v>
      </c>
      <c r="G352" s="5" t="s">
        <v>2380</v>
      </c>
      <c r="H352" t="s">
        <v>2439</v>
      </c>
      <c r="I352" s="6">
        <f t="shared" si="5"/>
        <v>6</v>
      </c>
      <c r="J352" s="2">
        <v>5000</v>
      </c>
      <c r="K352" s="2">
        <v>6.5</v>
      </c>
      <c r="L352" s="4">
        <v>34999</v>
      </c>
      <c r="M352" s="4">
        <v>12999</v>
      </c>
      <c r="N352" s="4">
        <v>1199</v>
      </c>
      <c r="O352" s="4">
        <v>249</v>
      </c>
      <c r="P352" s="4">
        <v>899</v>
      </c>
      <c r="Q352" t="s">
        <v>2368</v>
      </c>
      <c r="R352">
        <v>2022</v>
      </c>
    </row>
    <row r="353" spans="1:18" x14ac:dyDescent="0.25">
      <c r="A353" t="s">
        <v>1646</v>
      </c>
      <c r="B353" t="s">
        <v>1652</v>
      </c>
      <c r="C353" s="2">
        <v>192</v>
      </c>
      <c r="D353" t="s">
        <v>68</v>
      </c>
      <c r="E353" t="s">
        <v>461</v>
      </c>
      <c r="F353" t="s">
        <v>580</v>
      </c>
      <c r="G353" s="5" t="s">
        <v>767</v>
      </c>
      <c r="H353" t="s">
        <v>2437</v>
      </c>
      <c r="I353" s="6">
        <f t="shared" si="5"/>
        <v>92</v>
      </c>
      <c r="J353" s="2">
        <v>3500</v>
      </c>
      <c r="K353" s="2">
        <v>6.7</v>
      </c>
      <c r="L353" s="4">
        <v>199999</v>
      </c>
      <c r="M353" s="4">
        <v>59999</v>
      </c>
      <c r="N353" s="4">
        <v>5999</v>
      </c>
      <c r="O353" s="4">
        <v>999</v>
      </c>
      <c r="P353" s="4">
        <v>3699</v>
      </c>
      <c r="Q353" t="s">
        <v>2369</v>
      </c>
      <c r="R353">
        <v>2023</v>
      </c>
    </row>
    <row r="354" spans="1:18" x14ac:dyDescent="0.25">
      <c r="A354" t="s">
        <v>1646</v>
      </c>
      <c r="B354" t="s">
        <v>1655</v>
      </c>
      <c r="C354" s="2">
        <v>192</v>
      </c>
      <c r="D354" t="s">
        <v>375</v>
      </c>
      <c r="E354" t="s">
        <v>461</v>
      </c>
      <c r="F354" t="s">
        <v>580</v>
      </c>
      <c r="G354" s="5" t="s">
        <v>767</v>
      </c>
      <c r="H354" t="s">
        <v>2437</v>
      </c>
      <c r="I354" s="6">
        <f t="shared" si="5"/>
        <v>92</v>
      </c>
      <c r="J354" s="2">
        <v>3500</v>
      </c>
      <c r="K354" s="2">
        <v>6.7</v>
      </c>
      <c r="L354" s="4">
        <v>219999</v>
      </c>
      <c r="M354" s="4">
        <v>64999</v>
      </c>
      <c r="N354" s="4">
        <v>6499</v>
      </c>
      <c r="O354" s="4">
        <v>1099</v>
      </c>
      <c r="P354" s="4">
        <v>3999</v>
      </c>
      <c r="Q354" t="s">
        <v>2369</v>
      </c>
      <c r="R354">
        <v>2023</v>
      </c>
    </row>
    <row r="355" spans="1:18" x14ac:dyDescent="0.25">
      <c r="A355" t="s">
        <v>1646</v>
      </c>
      <c r="B355" t="s">
        <v>1704</v>
      </c>
      <c r="C355" s="2">
        <v>189</v>
      </c>
      <c r="D355" t="s">
        <v>375</v>
      </c>
      <c r="E355" t="s">
        <v>461</v>
      </c>
      <c r="F355" t="s">
        <v>580</v>
      </c>
      <c r="G355" s="5" t="s">
        <v>767</v>
      </c>
      <c r="H355" t="s">
        <v>2437</v>
      </c>
      <c r="I355" s="6">
        <f t="shared" si="5"/>
        <v>92</v>
      </c>
      <c r="J355" s="2">
        <v>4000</v>
      </c>
      <c r="K355" s="2">
        <v>6.9</v>
      </c>
      <c r="L355" s="4">
        <v>249999</v>
      </c>
      <c r="M355" s="4">
        <v>99999</v>
      </c>
      <c r="N355" s="4">
        <v>7999</v>
      </c>
      <c r="O355" s="4">
        <v>1199</v>
      </c>
      <c r="P355" s="4">
        <v>4399</v>
      </c>
      <c r="Q355" t="s">
        <v>2369</v>
      </c>
      <c r="R355">
        <v>2024</v>
      </c>
    </row>
    <row r="356" spans="1:18" x14ac:dyDescent="0.25">
      <c r="A356" t="s">
        <v>1646</v>
      </c>
      <c r="B356" t="s">
        <v>1720</v>
      </c>
      <c r="C356" s="2">
        <v>198</v>
      </c>
      <c r="D356" t="s">
        <v>375</v>
      </c>
      <c r="E356" t="s">
        <v>1721</v>
      </c>
      <c r="F356" t="s">
        <v>897</v>
      </c>
      <c r="G356" s="5" t="s">
        <v>737</v>
      </c>
      <c r="H356" t="s">
        <v>2437</v>
      </c>
      <c r="I356" s="6">
        <f t="shared" si="5"/>
        <v>100</v>
      </c>
      <c r="J356" s="2">
        <v>5000</v>
      </c>
      <c r="K356" s="2">
        <v>6.9</v>
      </c>
      <c r="L356" s="4">
        <v>299999</v>
      </c>
      <c r="M356" s="4">
        <v>119999</v>
      </c>
      <c r="N356" s="4">
        <v>8999</v>
      </c>
      <c r="O356" s="4">
        <v>1499</v>
      </c>
      <c r="P356" s="4">
        <v>5499</v>
      </c>
      <c r="Q356" t="s">
        <v>2368</v>
      </c>
      <c r="R356">
        <v>2024</v>
      </c>
    </row>
    <row r="357" spans="1:18" x14ac:dyDescent="0.25">
      <c r="A357" t="s">
        <v>1646</v>
      </c>
      <c r="B357" t="s">
        <v>1725</v>
      </c>
      <c r="C357" s="2">
        <v>198</v>
      </c>
      <c r="D357" t="s">
        <v>375</v>
      </c>
      <c r="E357" t="s">
        <v>1721</v>
      </c>
      <c r="F357" t="s">
        <v>897</v>
      </c>
      <c r="G357" s="5" t="s">
        <v>737</v>
      </c>
      <c r="H357" t="s">
        <v>2437</v>
      </c>
      <c r="I357" s="6">
        <f t="shared" si="5"/>
        <v>100</v>
      </c>
      <c r="J357" s="2">
        <v>5000</v>
      </c>
      <c r="K357" s="2">
        <v>6.9</v>
      </c>
      <c r="L357" s="4">
        <v>299999</v>
      </c>
      <c r="M357" s="4">
        <v>119999</v>
      </c>
      <c r="N357" s="4">
        <v>8999</v>
      </c>
      <c r="O357" s="4">
        <v>1499</v>
      </c>
      <c r="P357" s="4">
        <v>5499</v>
      </c>
      <c r="Q357" t="s">
        <v>2368</v>
      </c>
      <c r="R357">
        <v>2024</v>
      </c>
    </row>
    <row r="358" spans="1:18" x14ac:dyDescent="0.25">
      <c r="A358" t="s">
        <v>1646</v>
      </c>
      <c r="B358" t="s">
        <v>1726</v>
      </c>
      <c r="C358" s="2">
        <v>168</v>
      </c>
      <c r="D358" t="s">
        <v>68</v>
      </c>
      <c r="E358" t="s">
        <v>461</v>
      </c>
      <c r="F358" t="s">
        <v>580</v>
      </c>
      <c r="G358" s="5" t="s">
        <v>1727</v>
      </c>
      <c r="H358" t="s">
        <v>2437</v>
      </c>
      <c r="I358" s="6">
        <f t="shared" si="5"/>
        <v>88</v>
      </c>
      <c r="J358" s="2">
        <v>4400</v>
      </c>
      <c r="K358" s="2">
        <v>6.55</v>
      </c>
      <c r="L358" s="4">
        <v>119999</v>
      </c>
      <c r="M358" s="4">
        <v>49999</v>
      </c>
      <c r="N358" s="4">
        <v>3999</v>
      </c>
      <c r="O358" s="4">
        <v>699</v>
      </c>
      <c r="P358" s="4">
        <v>2599</v>
      </c>
      <c r="Q358" t="s">
        <v>2368</v>
      </c>
      <c r="R358">
        <v>2022</v>
      </c>
    </row>
    <row r="359" spans="1:18" x14ac:dyDescent="0.25">
      <c r="A359" t="s">
        <v>1646</v>
      </c>
      <c r="B359" t="s">
        <v>1728</v>
      </c>
      <c r="C359" s="2">
        <v>168</v>
      </c>
      <c r="D359" t="s">
        <v>375</v>
      </c>
      <c r="E359" t="s">
        <v>461</v>
      </c>
      <c r="F359" t="s">
        <v>580</v>
      </c>
      <c r="G359" s="5" t="s">
        <v>1727</v>
      </c>
      <c r="H359" t="s">
        <v>2437</v>
      </c>
      <c r="I359" s="6">
        <f t="shared" si="5"/>
        <v>88</v>
      </c>
      <c r="J359" s="2">
        <v>4400</v>
      </c>
      <c r="K359" s="2">
        <v>6.55</v>
      </c>
      <c r="L359" s="4">
        <v>129999</v>
      </c>
      <c r="M359" s="4">
        <v>54999</v>
      </c>
      <c r="N359" s="4">
        <v>4299</v>
      </c>
      <c r="O359" s="4">
        <v>749</v>
      </c>
      <c r="P359" s="4">
        <v>2799</v>
      </c>
      <c r="Q359" t="s">
        <v>2368</v>
      </c>
      <c r="R359">
        <v>2022</v>
      </c>
    </row>
    <row r="360" spans="1:18" x14ac:dyDescent="0.25">
      <c r="A360" t="s">
        <v>1646</v>
      </c>
      <c r="B360" t="s">
        <v>1647</v>
      </c>
      <c r="C360" s="2">
        <v>168</v>
      </c>
      <c r="D360" t="s">
        <v>68</v>
      </c>
      <c r="E360" t="s">
        <v>461</v>
      </c>
      <c r="F360" t="s">
        <v>580</v>
      </c>
      <c r="G360" s="5" t="s">
        <v>1648</v>
      </c>
      <c r="H360" t="s">
        <v>2438</v>
      </c>
      <c r="I360" s="6">
        <f t="shared" si="5"/>
        <v>55</v>
      </c>
      <c r="J360" s="2">
        <v>5000</v>
      </c>
      <c r="K360" s="2">
        <v>6.7</v>
      </c>
      <c r="L360" s="4">
        <v>139999</v>
      </c>
      <c r="M360" s="4">
        <v>29999</v>
      </c>
      <c r="N360" s="4">
        <v>2499</v>
      </c>
      <c r="O360" s="4">
        <v>499</v>
      </c>
      <c r="P360" s="4">
        <v>1899</v>
      </c>
      <c r="Q360" t="s">
        <v>2368</v>
      </c>
      <c r="R360">
        <v>2024</v>
      </c>
    </row>
    <row r="361" spans="1:18" x14ac:dyDescent="0.25">
      <c r="A361" t="s">
        <v>1646</v>
      </c>
      <c r="B361" t="s">
        <v>1649</v>
      </c>
      <c r="C361" s="2">
        <v>168</v>
      </c>
      <c r="D361" t="s">
        <v>375</v>
      </c>
      <c r="E361" t="s">
        <v>461</v>
      </c>
      <c r="F361" t="s">
        <v>580</v>
      </c>
      <c r="G361" s="5" t="s">
        <v>1648</v>
      </c>
      <c r="H361" t="s">
        <v>2438</v>
      </c>
      <c r="I361" s="6">
        <f t="shared" si="5"/>
        <v>55</v>
      </c>
      <c r="J361" s="2">
        <v>5000</v>
      </c>
      <c r="K361" s="2">
        <v>6.7</v>
      </c>
      <c r="L361" s="4">
        <v>159999</v>
      </c>
      <c r="M361" s="4">
        <v>34999</v>
      </c>
      <c r="N361" s="4">
        <v>2799</v>
      </c>
      <c r="O361" s="4">
        <v>549</v>
      </c>
      <c r="P361" s="4">
        <v>2099</v>
      </c>
      <c r="Q361" t="s">
        <v>2368</v>
      </c>
      <c r="R361">
        <v>2024</v>
      </c>
    </row>
    <row r="362" spans="1:18" x14ac:dyDescent="0.25">
      <c r="A362" t="s">
        <v>1646</v>
      </c>
      <c r="B362" t="s">
        <v>1650</v>
      </c>
      <c r="C362" s="2">
        <v>186</v>
      </c>
      <c r="D362" t="s">
        <v>68</v>
      </c>
      <c r="E362" t="s">
        <v>580</v>
      </c>
      <c r="F362" t="s">
        <v>580</v>
      </c>
      <c r="G362" s="5" t="s">
        <v>1172</v>
      </c>
      <c r="H362" t="s">
        <v>2438</v>
      </c>
      <c r="I362" s="6">
        <f t="shared" si="5"/>
        <v>60</v>
      </c>
      <c r="J362" s="2">
        <v>4500</v>
      </c>
      <c r="K362" s="2">
        <v>6.7</v>
      </c>
      <c r="L362" s="4">
        <v>169999</v>
      </c>
      <c r="M362" s="4">
        <v>34999</v>
      </c>
      <c r="N362" s="4">
        <v>2999</v>
      </c>
      <c r="O362" s="4">
        <v>549</v>
      </c>
      <c r="P362" s="4">
        <v>2099</v>
      </c>
      <c r="Q362" t="s">
        <v>2368</v>
      </c>
      <c r="R362">
        <v>2024</v>
      </c>
    </row>
    <row r="363" spans="1:18" x14ac:dyDescent="0.25">
      <c r="A363" t="s">
        <v>1646</v>
      </c>
      <c r="B363" t="s">
        <v>1651</v>
      </c>
      <c r="C363" s="2">
        <v>186</v>
      </c>
      <c r="D363" t="s">
        <v>375</v>
      </c>
      <c r="E363" t="s">
        <v>580</v>
      </c>
      <c r="F363" t="s">
        <v>580</v>
      </c>
      <c r="G363" s="5" t="s">
        <v>1172</v>
      </c>
      <c r="H363" t="s">
        <v>2438</v>
      </c>
      <c r="I363" s="6">
        <f t="shared" si="5"/>
        <v>60</v>
      </c>
      <c r="J363" s="2">
        <v>4500</v>
      </c>
      <c r="K363" s="2">
        <v>6.7</v>
      </c>
      <c r="L363" s="4">
        <v>189999</v>
      </c>
      <c r="M363" s="4">
        <v>39999</v>
      </c>
      <c r="N363" s="4">
        <v>3299</v>
      </c>
      <c r="O363" s="4">
        <v>599</v>
      </c>
      <c r="P363" s="4">
        <v>2299</v>
      </c>
      <c r="Q363" t="s">
        <v>2368</v>
      </c>
      <c r="R363">
        <v>2024</v>
      </c>
    </row>
    <row r="364" spans="1:18" x14ac:dyDescent="0.25">
      <c r="A364" t="s">
        <v>1646</v>
      </c>
      <c r="B364" t="s">
        <v>1656</v>
      </c>
      <c r="C364" s="2">
        <v>166</v>
      </c>
      <c r="D364" t="s">
        <v>68</v>
      </c>
      <c r="E364" t="s">
        <v>585</v>
      </c>
      <c r="F364" t="s">
        <v>580</v>
      </c>
      <c r="G364" s="5" t="s">
        <v>680</v>
      </c>
      <c r="H364" t="s">
        <v>2438</v>
      </c>
      <c r="I364" s="6">
        <f t="shared" si="5"/>
        <v>40</v>
      </c>
      <c r="J364" s="2">
        <v>5000</v>
      </c>
      <c r="K364" s="2">
        <v>6.5</v>
      </c>
      <c r="L364" s="4">
        <v>79999</v>
      </c>
      <c r="M364" s="4">
        <v>19999</v>
      </c>
      <c r="N364" s="4">
        <v>1799</v>
      </c>
      <c r="O364" s="4">
        <v>299</v>
      </c>
      <c r="P364" s="4">
        <v>1099</v>
      </c>
      <c r="Q364" t="s">
        <v>2368</v>
      </c>
      <c r="R364">
        <v>2023</v>
      </c>
    </row>
    <row r="365" spans="1:18" x14ac:dyDescent="0.25">
      <c r="A365" t="s">
        <v>1646</v>
      </c>
      <c r="B365" t="s">
        <v>1658</v>
      </c>
      <c r="C365" s="2">
        <v>166</v>
      </c>
      <c r="D365" t="s">
        <v>375</v>
      </c>
      <c r="E365" t="s">
        <v>585</v>
      </c>
      <c r="F365" t="s">
        <v>580</v>
      </c>
      <c r="G365" s="5" t="s">
        <v>680</v>
      </c>
      <c r="H365" t="s">
        <v>2438</v>
      </c>
      <c r="I365" s="6">
        <f t="shared" si="5"/>
        <v>40</v>
      </c>
      <c r="J365" s="2">
        <v>5000</v>
      </c>
      <c r="K365" s="2">
        <v>6.5</v>
      </c>
      <c r="L365" s="4">
        <v>89999</v>
      </c>
      <c r="M365" s="4">
        <v>22999</v>
      </c>
      <c r="N365" s="4">
        <v>1999</v>
      </c>
      <c r="O365" s="4">
        <v>349</v>
      </c>
      <c r="P365" s="4">
        <v>1299</v>
      </c>
      <c r="Q365" t="s">
        <v>2368</v>
      </c>
      <c r="R365">
        <v>2023</v>
      </c>
    </row>
    <row r="366" spans="1:18" x14ac:dyDescent="0.25">
      <c r="A366" t="s">
        <v>1646</v>
      </c>
      <c r="B366" t="s">
        <v>1661</v>
      </c>
      <c r="C366" s="2">
        <v>180</v>
      </c>
      <c r="D366" t="s">
        <v>18</v>
      </c>
      <c r="E366" t="s">
        <v>1662</v>
      </c>
      <c r="F366" t="s">
        <v>20</v>
      </c>
      <c r="G366" s="5" t="s">
        <v>1663</v>
      </c>
      <c r="H366" t="s">
        <v>2438</v>
      </c>
      <c r="I366" s="6">
        <f t="shared" si="5"/>
        <v>35</v>
      </c>
      <c r="J366" s="2">
        <v>3500</v>
      </c>
      <c r="K366" s="2">
        <v>6.3</v>
      </c>
      <c r="L366" s="4">
        <v>39999</v>
      </c>
      <c r="M366" s="4">
        <v>19999</v>
      </c>
      <c r="N366" s="4">
        <v>1399</v>
      </c>
      <c r="O366" s="4">
        <v>299</v>
      </c>
      <c r="P366" s="4">
        <v>1099</v>
      </c>
      <c r="Q366" t="s">
        <v>2368</v>
      </c>
      <c r="R366">
        <v>2024</v>
      </c>
    </row>
    <row r="367" spans="1:18" x14ac:dyDescent="0.25">
      <c r="A367" t="s">
        <v>1646</v>
      </c>
      <c r="B367" t="s">
        <v>1664</v>
      </c>
      <c r="C367" s="2">
        <v>180</v>
      </c>
      <c r="D367" t="s">
        <v>68</v>
      </c>
      <c r="E367" t="s">
        <v>1662</v>
      </c>
      <c r="F367" t="s">
        <v>20</v>
      </c>
      <c r="G367" s="5" t="s">
        <v>1663</v>
      </c>
      <c r="H367" t="s">
        <v>2438</v>
      </c>
      <c r="I367" s="6">
        <f t="shared" si="5"/>
        <v>35</v>
      </c>
      <c r="J367" s="2">
        <v>3500</v>
      </c>
      <c r="K367" s="2">
        <v>6.3</v>
      </c>
      <c r="L367" s="4">
        <v>44999</v>
      </c>
      <c r="M367" s="4">
        <v>22999</v>
      </c>
      <c r="N367" s="4">
        <v>1599</v>
      </c>
      <c r="O367" s="4">
        <v>349</v>
      </c>
      <c r="P367" s="4">
        <v>1299</v>
      </c>
      <c r="Q367" t="s">
        <v>2368</v>
      </c>
      <c r="R367">
        <v>2024</v>
      </c>
    </row>
    <row r="368" spans="1:18" x14ac:dyDescent="0.25">
      <c r="A368" t="s">
        <v>1646</v>
      </c>
      <c r="B368" t="s">
        <v>1665</v>
      </c>
      <c r="C368" s="2">
        <v>170</v>
      </c>
      <c r="D368" t="s">
        <v>18</v>
      </c>
      <c r="E368" t="s">
        <v>461</v>
      </c>
      <c r="F368" t="s">
        <v>907</v>
      </c>
      <c r="G368" s="5" t="s">
        <v>680</v>
      </c>
      <c r="H368" t="s">
        <v>2438</v>
      </c>
      <c r="I368" s="6">
        <f t="shared" si="5"/>
        <v>40</v>
      </c>
      <c r="J368" s="2">
        <v>5000</v>
      </c>
      <c r="K368" s="2">
        <v>6.7</v>
      </c>
      <c r="L368" s="4">
        <v>59999</v>
      </c>
      <c r="M368" s="4">
        <v>27999</v>
      </c>
      <c r="N368" s="4">
        <v>2199</v>
      </c>
      <c r="O368" s="4">
        <v>399</v>
      </c>
      <c r="P368" s="4">
        <v>1499</v>
      </c>
      <c r="Q368" t="s">
        <v>2368</v>
      </c>
      <c r="R368">
        <v>2024</v>
      </c>
    </row>
    <row r="369" spans="1:18" x14ac:dyDescent="0.25">
      <c r="A369" t="s">
        <v>1646</v>
      </c>
      <c r="B369" t="s">
        <v>1666</v>
      </c>
      <c r="C369" s="2">
        <v>170</v>
      </c>
      <c r="D369" t="s">
        <v>68</v>
      </c>
      <c r="E369" t="s">
        <v>461</v>
      </c>
      <c r="F369" t="s">
        <v>907</v>
      </c>
      <c r="G369" s="5" t="s">
        <v>680</v>
      </c>
      <c r="H369" t="s">
        <v>2438</v>
      </c>
      <c r="I369" s="6">
        <f t="shared" si="5"/>
        <v>40</v>
      </c>
      <c r="J369" s="2">
        <v>5000</v>
      </c>
      <c r="K369" s="2">
        <v>6.7</v>
      </c>
      <c r="L369" s="4">
        <v>64999</v>
      </c>
      <c r="M369" s="4">
        <v>29999</v>
      </c>
      <c r="N369" s="4">
        <v>2399</v>
      </c>
      <c r="O369" s="4">
        <v>449</v>
      </c>
      <c r="P369" s="4">
        <v>1699</v>
      </c>
      <c r="Q369" t="s">
        <v>2368</v>
      </c>
      <c r="R369">
        <v>2024</v>
      </c>
    </row>
    <row r="370" spans="1:18" x14ac:dyDescent="0.25">
      <c r="A370" t="s">
        <v>1646</v>
      </c>
      <c r="B370" t="s">
        <v>1681</v>
      </c>
      <c r="C370" s="2">
        <v>190</v>
      </c>
      <c r="D370" t="s">
        <v>68</v>
      </c>
      <c r="E370" t="s">
        <v>461</v>
      </c>
      <c r="F370" t="s">
        <v>907</v>
      </c>
      <c r="G370" s="5" t="s">
        <v>1229</v>
      </c>
      <c r="H370" t="s">
        <v>2438</v>
      </c>
      <c r="I370" s="6">
        <f t="shared" si="5"/>
        <v>65</v>
      </c>
      <c r="J370" s="2">
        <v>4500</v>
      </c>
      <c r="K370" s="2">
        <v>6.7</v>
      </c>
      <c r="L370" s="4">
        <v>79999</v>
      </c>
      <c r="M370" s="4">
        <v>29999</v>
      </c>
      <c r="N370" s="4">
        <v>2499</v>
      </c>
      <c r="O370" s="4">
        <v>300</v>
      </c>
      <c r="P370" s="4">
        <v>1100</v>
      </c>
      <c r="Q370" t="s">
        <v>2368</v>
      </c>
      <c r="R370">
        <v>2024</v>
      </c>
    </row>
    <row r="371" spans="1:18" x14ac:dyDescent="0.25">
      <c r="A371" t="s">
        <v>1646</v>
      </c>
      <c r="B371" t="s">
        <v>1682</v>
      </c>
      <c r="C371" s="2">
        <v>190</v>
      </c>
      <c r="D371" t="s">
        <v>375</v>
      </c>
      <c r="E371" t="s">
        <v>461</v>
      </c>
      <c r="F371" t="s">
        <v>907</v>
      </c>
      <c r="G371" s="5" t="s">
        <v>1229</v>
      </c>
      <c r="H371" t="s">
        <v>2438</v>
      </c>
      <c r="I371" s="6">
        <f t="shared" si="5"/>
        <v>65</v>
      </c>
      <c r="J371" s="2">
        <v>4500</v>
      </c>
      <c r="K371" s="2">
        <v>6.7</v>
      </c>
      <c r="L371" s="4">
        <v>89999</v>
      </c>
      <c r="M371" s="4">
        <v>34999</v>
      </c>
      <c r="N371" s="4">
        <v>2799</v>
      </c>
      <c r="O371" s="4">
        <v>350</v>
      </c>
      <c r="P371" s="4">
        <v>1275</v>
      </c>
      <c r="Q371" t="s">
        <v>2368</v>
      </c>
      <c r="R371">
        <v>2024</v>
      </c>
    </row>
    <row r="372" spans="1:18" x14ac:dyDescent="0.25">
      <c r="A372" t="s">
        <v>1646</v>
      </c>
      <c r="B372" t="s">
        <v>1684</v>
      </c>
      <c r="C372" s="2">
        <v>171</v>
      </c>
      <c r="D372" t="s">
        <v>68</v>
      </c>
      <c r="E372" t="s">
        <v>461</v>
      </c>
      <c r="F372" t="s">
        <v>580</v>
      </c>
      <c r="G372" s="5" t="s">
        <v>1155</v>
      </c>
      <c r="H372" t="s">
        <v>2438</v>
      </c>
      <c r="I372" s="6">
        <f t="shared" si="5"/>
        <v>55</v>
      </c>
      <c r="J372" s="2">
        <v>4310</v>
      </c>
      <c r="K372" s="2">
        <v>6.4</v>
      </c>
      <c r="L372" s="4">
        <v>99999</v>
      </c>
      <c r="M372" s="4">
        <v>39999</v>
      </c>
      <c r="N372" s="4">
        <v>2999</v>
      </c>
      <c r="O372" s="4">
        <v>400</v>
      </c>
      <c r="P372" s="4">
        <v>1500</v>
      </c>
      <c r="Q372" t="s">
        <v>2368</v>
      </c>
      <c r="R372">
        <v>2024</v>
      </c>
    </row>
    <row r="373" spans="1:18" x14ac:dyDescent="0.25">
      <c r="A373" t="s">
        <v>1646</v>
      </c>
      <c r="B373" t="s">
        <v>1687</v>
      </c>
      <c r="C373" s="2">
        <v>171</v>
      </c>
      <c r="D373" t="s">
        <v>375</v>
      </c>
      <c r="E373" t="s">
        <v>461</v>
      </c>
      <c r="F373" t="s">
        <v>580</v>
      </c>
      <c r="G373" s="5" t="s">
        <v>1155</v>
      </c>
      <c r="H373" t="s">
        <v>2438</v>
      </c>
      <c r="I373" s="6">
        <f t="shared" si="5"/>
        <v>55</v>
      </c>
      <c r="J373" s="2">
        <v>4310</v>
      </c>
      <c r="K373" s="2">
        <v>6.4</v>
      </c>
      <c r="L373" s="4">
        <v>109999</v>
      </c>
      <c r="M373" s="4">
        <v>44999</v>
      </c>
      <c r="N373" s="4">
        <v>3299</v>
      </c>
      <c r="O373" s="4">
        <v>450</v>
      </c>
      <c r="P373" s="4">
        <v>1675</v>
      </c>
      <c r="Q373" t="s">
        <v>2368</v>
      </c>
      <c r="R373">
        <v>2024</v>
      </c>
    </row>
    <row r="374" spans="1:18" x14ac:dyDescent="0.25">
      <c r="A374" t="s">
        <v>1646</v>
      </c>
      <c r="B374" t="s">
        <v>1690</v>
      </c>
      <c r="C374" s="2">
        <v>182</v>
      </c>
      <c r="D374" t="s">
        <v>68</v>
      </c>
      <c r="E374" t="s">
        <v>585</v>
      </c>
      <c r="F374" t="s">
        <v>580</v>
      </c>
      <c r="G374" s="5" t="s">
        <v>2404</v>
      </c>
      <c r="H374" t="s">
        <v>2438</v>
      </c>
      <c r="I374" s="6">
        <f t="shared" si="5"/>
        <v>45</v>
      </c>
      <c r="J374" s="2">
        <v>5000</v>
      </c>
      <c r="K374" s="2">
        <v>6.49</v>
      </c>
      <c r="L374" s="4">
        <v>69999</v>
      </c>
      <c r="M374" s="4">
        <v>26999</v>
      </c>
      <c r="N374" s="4">
        <v>2199</v>
      </c>
      <c r="O374" s="4">
        <v>270</v>
      </c>
      <c r="P374" s="4">
        <v>1000</v>
      </c>
      <c r="Q374" t="s">
        <v>2368</v>
      </c>
      <c r="R374">
        <v>2024</v>
      </c>
    </row>
    <row r="375" spans="1:18" x14ac:dyDescent="0.25">
      <c r="A375" t="s">
        <v>1646</v>
      </c>
      <c r="B375" t="s">
        <v>1692</v>
      </c>
      <c r="C375" s="2">
        <v>182</v>
      </c>
      <c r="D375" t="s">
        <v>68</v>
      </c>
      <c r="E375" t="s">
        <v>585</v>
      </c>
      <c r="F375" t="s">
        <v>580</v>
      </c>
      <c r="G375" s="5" t="s">
        <v>2404</v>
      </c>
      <c r="H375" t="s">
        <v>2438</v>
      </c>
      <c r="I375" s="6">
        <f t="shared" si="5"/>
        <v>45</v>
      </c>
      <c r="J375" s="2">
        <v>5000</v>
      </c>
      <c r="K375" s="2">
        <v>6.49</v>
      </c>
      <c r="L375" s="4">
        <v>79999</v>
      </c>
      <c r="M375" s="4">
        <v>29999</v>
      </c>
      <c r="N375" s="4">
        <v>2499</v>
      </c>
      <c r="O375" s="4">
        <v>320</v>
      </c>
      <c r="P375" s="4">
        <v>1175</v>
      </c>
      <c r="Q375" t="s">
        <v>2368</v>
      </c>
      <c r="R375">
        <v>2024</v>
      </c>
    </row>
    <row r="376" spans="1:18" x14ac:dyDescent="0.25">
      <c r="A376" t="s">
        <v>1646</v>
      </c>
      <c r="B376" t="s">
        <v>1700</v>
      </c>
      <c r="C376" s="2">
        <v>180</v>
      </c>
      <c r="D376" t="s">
        <v>68</v>
      </c>
      <c r="E376" t="s">
        <v>461</v>
      </c>
      <c r="F376" t="s">
        <v>580</v>
      </c>
      <c r="G376" s="5" t="s">
        <v>1701</v>
      </c>
      <c r="H376" t="s">
        <v>2438</v>
      </c>
      <c r="I376" s="6">
        <f t="shared" si="5"/>
        <v>50</v>
      </c>
      <c r="J376" s="2">
        <v>4700</v>
      </c>
      <c r="K376" s="2">
        <v>6.7</v>
      </c>
      <c r="L376" s="4">
        <v>109999</v>
      </c>
      <c r="M376" s="4">
        <v>44999</v>
      </c>
      <c r="N376" s="4">
        <v>3299</v>
      </c>
      <c r="O376" s="4">
        <v>450</v>
      </c>
      <c r="P376" s="4">
        <v>1675</v>
      </c>
      <c r="Q376" t="s">
        <v>2368</v>
      </c>
      <c r="R376">
        <v>2024</v>
      </c>
    </row>
    <row r="377" spans="1:18" x14ac:dyDescent="0.25">
      <c r="A377" t="s">
        <v>1646</v>
      </c>
      <c r="B377" t="s">
        <v>1702</v>
      </c>
      <c r="C377" s="2">
        <v>180</v>
      </c>
      <c r="D377" t="s">
        <v>375</v>
      </c>
      <c r="E377" t="s">
        <v>461</v>
      </c>
      <c r="F377" t="s">
        <v>580</v>
      </c>
      <c r="G377" s="5" t="s">
        <v>1701</v>
      </c>
      <c r="H377" t="s">
        <v>2438</v>
      </c>
      <c r="I377" s="6">
        <f t="shared" si="5"/>
        <v>50</v>
      </c>
      <c r="J377" s="2">
        <v>4700</v>
      </c>
      <c r="K377" s="2">
        <v>6.7</v>
      </c>
      <c r="L377" s="4">
        <v>119999</v>
      </c>
      <c r="M377" s="4">
        <v>49999</v>
      </c>
      <c r="N377" s="4">
        <v>3599</v>
      </c>
      <c r="O377" s="4">
        <v>500</v>
      </c>
      <c r="P377" s="4">
        <v>1850</v>
      </c>
      <c r="Q377" t="s">
        <v>2368</v>
      </c>
      <c r="R377">
        <v>2024</v>
      </c>
    </row>
    <row r="378" spans="1:18" x14ac:dyDescent="0.25">
      <c r="A378" t="s">
        <v>1646</v>
      </c>
      <c r="B378" t="s">
        <v>1706</v>
      </c>
      <c r="C378" s="2">
        <v>188</v>
      </c>
      <c r="D378" t="s">
        <v>68</v>
      </c>
      <c r="E378" t="s">
        <v>461</v>
      </c>
      <c r="F378" t="s">
        <v>580</v>
      </c>
      <c r="G378" s="5" t="s">
        <v>1648</v>
      </c>
      <c r="H378" t="s">
        <v>2438</v>
      </c>
      <c r="I378" s="6">
        <f t="shared" si="5"/>
        <v>55</v>
      </c>
      <c r="J378" s="2">
        <v>3800</v>
      </c>
      <c r="K378" s="2">
        <v>6.7</v>
      </c>
      <c r="L378" s="4">
        <v>199999</v>
      </c>
      <c r="M378" s="4">
        <v>79999</v>
      </c>
      <c r="N378" s="4">
        <v>5999</v>
      </c>
      <c r="O378" s="4">
        <v>999</v>
      </c>
      <c r="P378" s="4">
        <v>3699</v>
      </c>
      <c r="Q378" t="s">
        <v>2369</v>
      </c>
      <c r="R378">
        <v>2024</v>
      </c>
    </row>
    <row r="379" spans="1:18" x14ac:dyDescent="0.25">
      <c r="A379" t="s">
        <v>1646</v>
      </c>
      <c r="B379" t="s">
        <v>1711</v>
      </c>
      <c r="C379" s="2">
        <v>170</v>
      </c>
      <c r="D379" t="s">
        <v>68</v>
      </c>
      <c r="E379" t="s">
        <v>461</v>
      </c>
      <c r="F379" t="s">
        <v>580</v>
      </c>
      <c r="G379" s="5" t="s">
        <v>2393</v>
      </c>
      <c r="H379" t="s">
        <v>2438</v>
      </c>
      <c r="I379" s="6">
        <f t="shared" si="5"/>
        <v>50</v>
      </c>
      <c r="J379" s="2">
        <v>4300</v>
      </c>
      <c r="K379" s="2">
        <v>6.5</v>
      </c>
      <c r="L379" s="4">
        <v>69999</v>
      </c>
      <c r="M379" s="4">
        <v>26999</v>
      </c>
      <c r="N379" s="4">
        <v>2199</v>
      </c>
      <c r="O379" s="4">
        <v>300</v>
      </c>
      <c r="P379" s="4">
        <v>1100</v>
      </c>
      <c r="Q379" t="s">
        <v>2368</v>
      </c>
      <c r="R379">
        <v>2024</v>
      </c>
    </row>
    <row r="380" spans="1:18" x14ac:dyDescent="0.25">
      <c r="A380" t="s">
        <v>1646</v>
      </c>
      <c r="B380" t="s">
        <v>1712</v>
      </c>
      <c r="C380" s="2">
        <v>170</v>
      </c>
      <c r="D380" t="s">
        <v>375</v>
      </c>
      <c r="E380" t="s">
        <v>461</v>
      </c>
      <c r="F380" t="s">
        <v>580</v>
      </c>
      <c r="G380" s="5" t="s">
        <v>2393</v>
      </c>
      <c r="H380" t="s">
        <v>2438</v>
      </c>
      <c r="I380" s="6">
        <f t="shared" si="5"/>
        <v>50</v>
      </c>
      <c r="J380" s="2">
        <v>4300</v>
      </c>
      <c r="K380" s="2">
        <v>6.5</v>
      </c>
      <c r="L380" s="4">
        <v>79999</v>
      </c>
      <c r="M380" s="4">
        <v>29999</v>
      </c>
      <c r="N380" s="4">
        <v>2499</v>
      </c>
      <c r="O380" s="4">
        <v>350</v>
      </c>
      <c r="P380" s="4">
        <v>1275</v>
      </c>
      <c r="Q380" t="s">
        <v>2368</v>
      </c>
      <c r="R380">
        <v>2024</v>
      </c>
    </row>
    <row r="381" spans="1:18" x14ac:dyDescent="0.25">
      <c r="A381" t="s">
        <v>1646</v>
      </c>
      <c r="B381" t="s">
        <v>1718</v>
      </c>
      <c r="C381" s="2">
        <v>174</v>
      </c>
      <c r="D381" t="s">
        <v>68</v>
      </c>
      <c r="E381" t="s">
        <v>461</v>
      </c>
      <c r="F381" t="s">
        <v>580</v>
      </c>
      <c r="G381" s="5" t="s">
        <v>1701</v>
      </c>
      <c r="H381" t="s">
        <v>2438</v>
      </c>
      <c r="I381" s="6">
        <f t="shared" si="5"/>
        <v>50</v>
      </c>
      <c r="J381" s="2">
        <v>4700</v>
      </c>
      <c r="K381" s="2">
        <v>6.7</v>
      </c>
      <c r="L381" s="4">
        <v>109999</v>
      </c>
      <c r="M381" s="4">
        <v>44999</v>
      </c>
      <c r="N381" s="4">
        <v>3299</v>
      </c>
      <c r="O381" s="4">
        <v>450</v>
      </c>
      <c r="P381" s="4">
        <v>1675</v>
      </c>
      <c r="Q381" t="s">
        <v>2368</v>
      </c>
      <c r="R381">
        <v>2024</v>
      </c>
    </row>
    <row r="382" spans="1:18" x14ac:dyDescent="0.25">
      <c r="A382" t="s">
        <v>1646</v>
      </c>
      <c r="B382" t="s">
        <v>1719</v>
      </c>
      <c r="C382" s="2">
        <v>174</v>
      </c>
      <c r="D382" t="s">
        <v>375</v>
      </c>
      <c r="E382" t="s">
        <v>461</v>
      </c>
      <c r="F382" t="s">
        <v>580</v>
      </c>
      <c r="G382" s="5" t="s">
        <v>1701</v>
      </c>
      <c r="H382" t="s">
        <v>2438</v>
      </c>
      <c r="I382" s="6">
        <f t="shared" si="5"/>
        <v>50</v>
      </c>
      <c r="J382" s="2">
        <v>4700</v>
      </c>
      <c r="K382" s="2">
        <v>6.7</v>
      </c>
      <c r="L382" s="4">
        <v>119999</v>
      </c>
      <c r="M382" s="4">
        <v>49999</v>
      </c>
      <c r="N382" s="4">
        <v>3599</v>
      </c>
      <c r="O382" s="4">
        <v>500</v>
      </c>
      <c r="P382" s="4">
        <v>1850</v>
      </c>
      <c r="Q382" t="s">
        <v>2368</v>
      </c>
      <c r="R382">
        <v>2024</v>
      </c>
    </row>
    <row r="383" spans="1:18" x14ac:dyDescent="0.25">
      <c r="A383" t="s">
        <v>1646</v>
      </c>
      <c r="B383" t="s">
        <v>1729</v>
      </c>
      <c r="C383" s="2">
        <v>155</v>
      </c>
      <c r="D383" t="s">
        <v>18</v>
      </c>
      <c r="E383" t="s">
        <v>461</v>
      </c>
      <c r="F383" t="s">
        <v>907</v>
      </c>
      <c r="G383" s="5" t="s">
        <v>1730</v>
      </c>
      <c r="H383" t="s">
        <v>2438</v>
      </c>
      <c r="I383" s="6">
        <f t="shared" si="5"/>
        <v>40</v>
      </c>
      <c r="J383" s="2">
        <v>4020</v>
      </c>
      <c r="K383" s="2">
        <v>6.28</v>
      </c>
      <c r="L383" s="4">
        <v>89999</v>
      </c>
      <c r="M383" s="4">
        <v>34999</v>
      </c>
      <c r="N383" s="4">
        <v>2499</v>
      </c>
      <c r="O383" s="4">
        <v>499</v>
      </c>
      <c r="P383" s="4">
        <v>1799</v>
      </c>
      <c r="Q383" t="s">
        <v>2368</v>
      </c>
      <c r="R383">
        <v>2022</v>
      </c>
    </row>
    <row r="384" spans="1:18" x14ac:dyDescent="0.25">
      <c r="A384" t="s">
        <v>1646</v>
      </c>
      <c r="B384" t="s">
        <v>1732</v>
      </c>
      <c r="C384" s="2">
        <v>155</v>
      </c>
      <c r="D384" t="s">
        <v>68</v>
      </c>
      <c r="E384" t="s">
        <v>461</v>
      </c>
      <c r="F384" t="s">
        <v>907</v>
      </c>
      <c r="G384" s="5" t="s">
        <v>1730</v>
      </c>
      <c r="H384" t="s">
        <v>2438</v>
      </c>
      <c r="I384" s="6">
        <f t="shared" si="5"/>
        <v>40</v>
      </c>
      <c r="J384" s="2">
        <v>4020</v>
      </c>
      <c r="K384" s="2">
        <v>6.28</v>
      </c>
      <c r="L384" s="4">
        <v>99999</v>
      </c>
      <c r="M384" s="4">
        <v>39999</v>
      </c>
      <c r="N384" s="4">
        <v>2799</v>
      </c>
      <c r="O384" s="4">
        <v>549</v>
      </c>
      <c r="P384" s="4">
        <v>1999</v>
      </c>
      <c r="Q384" t="s">
        <v>2368</v>
      </c>
      <c r="R384">
        <v>2022</v>
      </c>
    </row>
    <row r="385" spans="1:18" x14ac:dyDescent="0.25">
      <c r="A385" t="s">
        <v>1646</v>
      </c>
      <c r="B385" t="s">
        <v>1733</v>
      </c>
      <c r="C385" s="2">
        <v>173</v>
      </c>
      <c r="D385" t="s">
        <v>18</v>
      </c>
      <c r="E385" t="s">
        <v>585</v>
      </c>
      <c r="F385" t="s">
        <v>580</v>
      </c>
      <c r="G385" s="5" t="s">
        <v>1730</v>
      </c>
      <c r="H385" t="s">
        <v>2438</v>
      </c>
      <c r="I385" s="6">
        <f t="shared" si="5"/>
        <v>40</v>
      </c>
      <c r="J385" s="2">
        <v>5000</v>
      </c>
      <c r="K385" s="2">
        <v>6.6</v>
      </c>
      <c r="L385" s="4">
        <v>64999</v>
      </c>
      <c r="M385" s="4">
        <v>24999</v>
      </c>
      <c r="N385" s="4">
        <v>1999</v>
      </c>
      <c r="O385" s="4">
        <v>399</v>
      </c>
      <c r="P385" s="4">
        <v>1499</v>
      </c>
      <c r="Q385" t="s">
        <v>2368</v>
      </c>
      <c r="R385">
        <v>2022</v>
      </c>
    </row>
    <row r="386" spans="1:18" x14ac:dyDescent="0.25">
      <c r="A386" t="s">
        <v>1646</v>
      </c>
      <c r="B386" t="s">
        <v>1734</v>
      </c>
      <c r="C386" s="2">
        <v>173</v>
      </c>
      <c r="D386" t="s">
        <v>68</v>
      </c>
      <c r="E386" t="s">
        <v>585</v>
      </c>
      <c r="F386" t="s">
        <v>580</v>
      </c>
      <c r="G386" s="5" t="s">
        <v>1730</v>
      </c>
      <c r="H386" t="s">
        <v>2438</v>
      </c>
      <c r="I386" s="6">
        <f t="shared" ref="I386:I449" si="6">_xlfn.XLOOKUP(G386, $T$2:$T$183,$U$2:$U$183,"Unknown",0)</f>
        <v>40</v>
      </c>
      <c r="J386" s="2">
        <v>5000</v>
      </c>
      <c r="K386" s="2">
        <v>6.6</v>
      </c>
      <c r="L386" s="4">
        <v>74999</v>
      </c>
      <c r="M386" s="4">
        <v>29999</v>
      </c>
      <c r="N386" s="4">
        <v>2299</v>
      </c>
      <c r="O386" s="4">
        <v>449</v>
      </c>
      <c r="P386" s="4">
        <v>1699</v>
      </c>
      <c r="Q386" t="s">
        <v>2368</v>
      </c>
      <c r="R386">
        <v>2022</v>
      </c>
    </row>
    <row r="387" spans="1:18" x14ac:dyDescent="0.25">
      <c r="A387" t="s">
        <v>1646</v>
      </c>
      <c r="B387" t="s">
        <v>1738</v>
      </c>
      <c r="C387" s="2">
        <v>175</v>
      </c>
      <c r="D387" t="s">
        <v>162</v>
      </c>
      <c r="E387" t="s">
        <v>585</v>
      </c>
      <c r="F387" t="s">
        <v>580</v>
      </c>
      <c r="G387" s="5" t="s">
        <v>1169</v>
      </c>
      <c r="H387" t="s">
        <v>2438</v>
      </c>
      <c r="I387" s="6">
        <f t="shared" si="6"/>
        <v>32</v>
      </c>
      <c r="J387" s="2">
        <v>5000</v>
      </c>
      <c r="K387" s="2">
        <v>6.4</v>
      </c>
      <c r="L387" s="4">
        <v>44999</v>
      </c>
      <c r="M387" s="4">
        <v>16999</v>
      </c>
      <c r="N387" s="4">
        <v>1399</v>
      </c>
      <c r="O387" s="4">
        <v>299</v>
      </c>
      <c r="P387" s="4">
        <v>1099</v>
      </c>
      <c r="Q387" t="s">
        <v>2368</v>
      </c>
      <c r="R387">
        <v>2022</v>
      </c>
    </row>
    <row r="388" spans="1:18" x14ac:dyDescent="0.25">
      <c r="A388" t="s">
        <v>1646</v>
      </c>
      <c r="B388" t="s">
        <v>1739</v>
      </c>
      <c r="C388" s="2">
        <v>184</v>
      </c>
      <c r="D388" t="s">
        <v>162</v>
      </c>
      <c r="E388" t="s">
        <v>585</v>
      </c>
      <c r="F388" t="s">
        <v>580</v>
      </c>
      <c r="G388" s="5" t="s">
        <v>1169</v>
      </c>
      <c r="H388" t="s">
        <v>2438</v>
      </c>
      <c r="I388" s="6">
        <f t="shared" si="6"/>
        <v>32</v>
      </c>
      <c r="J388" s="2">
        <v>5000</v>
      </c>
      <c r="K388" s="2">
        <v>6.5</v>
      </c>
      <c r="L388" s="4">
        <v>39999</v>
      </c>
      <c r="M388" s="4">
        <v>14999</v>
      </c>
      <c r="N388" s="4">
        <v>1299</v>
      </c>
      <c r="O388" s="4">
        <v>279</v>
      </c>
      <c r="P388" s="4">
        <v>999</v>
      </c>
      <c r="Q388" t="s">
        <v>2368</v>
      </c>
      <c r="R388">
        <v>2022</v>
      </c>
    </row>
    <row r="389" spans="1:18" x14ac:dyDescent="0.25">
      <c r="A389" t="s">
        <v>1865</v>
      </c>
      <c r="B389" t="s">
        <v>1866</v>
      </c>
      <c r="C389" s="2">
        <v>193</v>
      </c>
      <c r="D389" t="s">
        <v>162</v>
      </c>
      <c r="E389" t="s">
        <v>307</v>
      </c>
      <c r="F389" t="s">
        <v>580</v>
      </c>
      <c r="G389" s="5" t="s">
        <v>1867</v>
      </c>
      <c r="H389" t="s">
        <v>2439</v>
      </c>
      <c r="I389" s="6">
        <f t="shared" si="6"/>
        <v>22</v>
      </c>
      <c r="J389" s="2">
        <v>5000</v>
      </c>
      <c r="K389" s="2">
        <v>6.56</v>
      </c>
      <c r="L389" s="4">
        <v>74999</v>
      </c>
      <c r="M389" s="4">
        <v>18999</v>
      </c>
      <c r="N389" s="4">
        <v>1499</v>
      </c>
      <c r="O389" s="4">
        <v>229</v>
      </c>
      <c r="P389" s="4">
        <v>849</v>
      </c>
      <c r="Q389" t="s">
        <v>2368</v>
      </c>
      <c r="R389">
        <v>2023</v>
      </c>
    </row>
    <row r="390" spans="1:18" x14ac:dyDescent="0.25">
      <c r="A390" t="s">
        <v>1865</v>
      </c>
      <c r="B390" t="s">
        <v>1868</v>
      </c>
      <c r="C390" s="2">
        <v>197</v>
      </c>
      <c r="D390" t="s">
        <v>162</v>
      </c>
      <c r="E390" t="s">
        <v>307</v>
      </c>
      <c r="F390" t="s">
        <v>20</v>
      </c>
      <c r="G390" s="5" t="s">
        <v>2401</v>
      </c>
      <c r="H390" t="s">
        <v>2439</v>
      </c>
      <c r="I390" s="6">
        <f t="shared" si="6"/>
        <v>4</v>
      </c>
      <c r="J390" s="2">
        <v>5050</v>
      </c>
      <c r="K390" s="2">
        <v>6.52</v>
      </c>
      <c r="L390" s="4">
        <v>48999</v>
      </c>
      <c r="M390" s="4">
        <v>12499</v>
      </c>
      <c r="N390" s="4">
        <v>999</v>
      </c>
      <c r="O390" s="4">
        <v>169</v>
      </c>
      <c r="P390" s="4">
        <v>629</v>
      </c>
      <c r="Q390" t="s">
        <v>2368</v>
      </c>
      <c r="R390">
        <v>2021</v>
      </c>
    </row>
    <row r="391" spans="1:18" x14ac:dyDescent="0.25">
      <c r="A391" t="s">
        <v>1865</v>
      </c>
      <c r="B391" t="s">
        <v>1873</v>
      </c>
      <c r="C391" s="2">
        <v>197</v>
      </c>
      <c r="D391" t="s">
        <v>162</v>
      </c>
      <c r="E391" t="s">
        <v>307</v>
      </c>
      <c r="F391" t="s">
        <v>20</v>
      </c>
      <c r="G391" s="5" t="s">
        <v>2401</v>
      </c>
      <c r="H391" t="s">
        <v>2439</v>
      </c>
      <c r="I391" s="6">
        <f t="shared" si="6"/>
        <v>4</v>
      </c>
      <c r="J391" s="2">
        <v>5050</v>
      </c>
      <c r="K391" s="2">
        <v>6.52</v>
      </c>
      <c r="L391" s="4">
        <v>54999</v>
      </c>
      <c r="M391" s="4">
        <v>13999</v>
      </c>
      <c r="N391" s="4">
        <v>1199</v>
      </c>
      <c r="O391" s="4">
        <v>189</v>
      </c>
      <c r="P391" s="4">
        <v>699</v>
      </c>
      <c r="Q391" t="s">
        <v>2368</v>
      </c>
      <c r="R391">
        <v>2021</v>
      </c>
    </row>
    <row r="392" spans="1:18" x14ac:dyDescent="0.25">
      <c r="A392" t="s">
        <v>1865</v>
      </c>
      <c r="B392" t="s">
        <v>1874</v>
      </c>
      <c r="C392" s="2">
        <v>199</v>
      </c>
      <c r="D392" t="s">
        <v>256</v>
      </c>
      <c r="E392" t="s">
        <v>307</v>
      </c>
      <c r="F392" t="s">
        <v>580</v>
      </c>
      <c r="G392" s="5" t="s">
        <v>1626</v>
      </c>
      <c r="H392" t="s">
        <v>2439</v>
      </c>
      <c r="I392" s="6">
        <f t="shared" si="6"/>
        <v>3</v>
      </c>
      <c r="J392" s="2">
        <v>5000</v>
      </c>
      <c r="K392" s="2">
        <v>6.52</v>
      </c>
      <c r="L392" s="4">
        <v>39999</v>
      </c>
      <c r="M392" s="4">
        <v>9999</v>
      </c>
      <c r="N392" s="4">
        <v>899</v>
      </c>
      <c r="O392" s="4">
        <v>139</v>
      </c>
      <c r="P392" s="4">
        <v>499</v>
      </c>
      <c r="Q392" t="s">
        <v>2368</v>
      </c>
      <c r="R392">
        <v>2023</v>
      </c>
    </row>
    <row r="393" spans="1:18" x14ac:dyDescent="0.25">
      <c r="A393" t="s">
        <v>1865</v>
      </c>
      <c r="B393" t="s">
        <v>1875</v>
      </c>
      <c r="C393" s="2">
        <v>199</v>
      </c>
      <c r="D393" t="s">
        <v>162</v>
      </c>
      <c r="E393" t="s">
        <v>307</v>
      </c>
      <c r="F393" t="s">
        <v>580</v>
      </c>
      <c r="G393" s="5" t="s">
        <v>1626</v>
      </c>
      <c r="H393" t="s">
        <v>2439</v>
      </c>
      <c r="I393" s="6">
        <f t="shared" si="6"/>
        <v>3</v>
      </c>
      <c r="J393" s="2">
        <v>5000</v>
      </c>
      <c r="K393" s="2">
        <v>6.52</v>
      </c>
      <c r="L393" s="4">
        <v>44999</v>
      </c>
      <c r="M393" s="4">
        <v>10999</v>
      </c>
      <c r="N393" s="4">
        <v>999</v>
      </c>
      <c r="O393" s="4">
        <v>159</v>
      </c>
      <c r="P393" s="4">
        <v>549</v>
      </c>
      <c r="Q393" t="s">
        <v>2368</v>
      </c>
      <c r="R393">
        <v>2023</v>
      </c>
    </row>
    <row r="394" spans="1:18" x14ac:dyDescent="0.25">
      <c r="A394" t="s">
        <v>1865</v>
      </c>
      <c r="B394" t="s">
        <v>1876</v>
      </c>
      <c r="C394" s="2">
        <v>190</v>
      </c>
      <c r="D394" t="s">
        <v>162</v>
      </c>
      <c r="E394" t="s">
        <v>307</v>
      </c>
      <c r="F394" t="s">
        <v>580</v>
      </c>
      <c r="G394" s="5" t="s">
        <v>1714</v>
      </c>
      <c r="H394" t="s">
        <v>2439</v>
      </c>
      <c r="I394" s="6">
        <f t="shared" si="6"/>
        <v>4</v>
      </c>
      <c r="J394" s="2">
        <v>5050</v>
      </c>
      <c r="K394" s="2">
        <v>6.5</v>
      </c>
      <c r="L394" s="4">
        <v>46999</v>
      </c>
      <c r="M394" s="4">
        <v>11999</v>
      </c>
      <c r="N394" s="4">
        <v>1099</v>
      </c>
      <c r="O394" s="4">
        <v>169</v>
      </c>
      <c r="P394" s="4">
        <v>619</v>
      </c>
      <c r="Q394" t="s">
        <v>2368</v>
      </c>
      <c r="R394">
        <v>2022</v>
      </c>
    </row>
    <row r="395" spans="1:18" x14ac:dyDescent="0.25">
      <c r="A395" t="s">
        <v>1865</v>
      </c>
      <c r="B395" t="s">
        <v>1879</v>
      </c>
      <c r="C395" s="2">
        <v>190</v>
      </c>
      <c r="D395" t="s">
        <v>18</v>
      </c>
      <c r="E395" t="s">
        <v>307</v>
      </c>
      <c r="F395" t="s">
        <v>580</v>
      </c>
      <c r="G395" s="5" t="s">
        <v>1714</v>
      </c>
      <c r="H395" t="s">
        <v>2439</v>
      </c>
      <c r="I395" s="6">
        <f t="shared" si="6"/>
        <v>4</v>
      </c>
      <c r="J395" s="2">
        <v>5050</v>
      </c>
      <c r="K395" s="2">
        <v>6.5</v>
      </c>
      <c r="L395" s="4">
        <v>52999</v>
      </c>
      <c r="M395" s="4">
        <v>13999</v>
      </c>
      <c r="N395" s="4">
        <v>1299</v>
      </c>
      <c r="O395" s="4">
        <v>189</v>
      </c>
      <c r="P395" s="4">
        <v>699</v>
      </c>
      <c r="Q395" t="s">
        <v>2368</v>
      </c>
      <c r="R395">
        <v>2022</v>
      </c>
    </row>
    <row r="396" spans="1:18" x14ac:dyDescent="0.25">
      <c r="A396" t="s">
        <v>1865</v>
      </c>
      <c r="B396" t="s">
        <v>1880</v>
      </c>
      <c r="C396" s="2">
        <v>190</v>
      </c>
      <c r="D396" t="s">
        <v>613</v>
      </c>
      <c r="E396" t="s">
        <v>307</v>
      </c>
      <c r="F396" t="s">
        <v>475</v>
      </c>
      <c r="G396" s="5" t="s">
        <v>1626</v>
      </c>
      <c r="H396" t="s">
        <v>2439</v>
      </c>
      <c r="I396" s="6">
        <f t="shared" si="6"/>
        <v>3</v>
      </c>
      <c r="J396" s="2">
        <v>5000</v>
      </c>
      <c r="K396" s="2">
        <v>6.5</v>
      </c>
      <c r="L396" s="4">
        <v>34999</v>
      </c>
      <c r="M396" s="4">
        <v>8499</v>
      </c>
      <c r="N396" s="4">
        <v>799</v>
      </c>
      <c r="O396" s="4">
        <v>119</v>
      </c>
      <c r="P396" s="4">
        <v>449</v>
      </c>
      <c r="Q396" t="s">
        <v>2368</v>
      </c>
      <c r="R396">
        <v>2023</v>
      </c>
    </row>
    <row r="397" spans="1:18" x14ac:dyDescent="0.25">
      <c r="A397" t="s">
        <v>1865</v>
      </c>
      <c r="B397" t="s">
        <v>1883</v>
      </c>
      <c r="C397" s="2">
        <v>190</v>
      </c>
      <c r="D397" t="s">
        <v>256</v>
      </c>
      <c r="E397" t="s">
        <v>307</v>
      </c>
      <c r="F397" t="s">
        <v>475</v>
      </c>
      <c r="G397" s="5" t="s">
        <v>1626</v>
      </c>
      <c r="H397" t="s">
        <v>2439</v>
      </c>
      <c r="I397" s="6">
        <f t="shared" si="6"/>
        <v>3</v>
      </c>
      <c r="J397" s="2">
        <v>5000</v>
      </c>
      <c r="K397" s="2">
        <v>6.5</v>
      </c>
      <c r="L397" s="4">
        <v>38999</v>
      </c>
      <c r="M397" s="4">
        <v>9499</v>
      </c>
      <c r="N397" s="4">
        <v>899</v>
      </c>
      <c r="O397" s="4">
        <v>139</v>
      </c>
      <c r="P397" s="4">
        <v>499</v>
      </c>
      <c r="Q397" t="s">
        <v>2368</v>
      </c>
      <c r="R397">
        <v>2023</v>
      </c>
    </row>
    <row r="398" spans="1:18" x14ac:dyDescent="0.25">
      <c r="A398" t="s">
        <v>1865</v>
      </c>
      <c r="B398" t="s">
        <v>1886</v>
      </c>
      <c r="C398" s="2">
        <v>198</v>
      </c>
      <c r="D398" t="s">
        <v>18</v>
      </c>
      <c r="E398" t="s">
        <v>585</v>
      </c>
      <c r="F398" t="s">
        <v>20</v>
      </c>
      <c r="G398" s="5" t="s">
        <v>785</v>
      </c>
      <c r="H398" t="s">
        <v>2439</v>
      </c>
      <c r="I398" s="6">
        <f t="shared" si="6"/>
        <v>20</v>
      </c>
      <c r="J398" s="2">
        <v>5000</v>
      </c>
      <c r="K398" s="2">
        <v>6.58</v>
      </c>
      <c r="L398" s="4">
        <v>79999</v>
      </c>
      <c r="M398" s="4">
        <v>22999</v>
      </c>
      <c r="N398" s="4">
        <v>1799</v>
      </c>
      <c r="O398" s="4">
        <v>239</v>
      </c>
      <c r="P398" s="4">
        <v>899</v>
      </c>
      <c r="Q398" t="s">
        <v>2368</v>
      </c>
      <c r="R398">
        <v>2022</v>
      </c>
    </row>
    <row r="399" spans="1:18" x14ac:dyDescent="0.25">
      <c r="A399" t="s">
        <v>1865</v>
      </c>
      <c r="B399" t="s">
        <v>1906</v>
      </c>
      <c r="C399" s="2">
        <v>466</v>
      </c>
      <c r="D399" t="s">
        <v>162</v>
      </c>
      <c r="E399" t="s">
        <v>307</v>
      </c>
      <c r="F399" t="s">
        <v>307</v>
      </c>
      <c r="G399" s="5" t="s">
        <v>1469</v>
      </c>
      <c r="H399" t="s">
        <v>2439</v>
      </c>
      <c r="I399" s="6">
        <f t="shared" si="6"/>
        <v>6</v>
      </c>
      <c r="J399" s="2">
        <v>8200</v>
      </c>
      <c r="K399" s="2">
        <v>10.4</v>
      </c>
      <c r="L399" s="4">
        <v>52000</v>
      </c>
      <c r="M399" s="4">
        <v>17999</v>
      </c>
      <c r="N399" s="4">
        <v>1250</v>
      </c>
      <c r="O399" s="4">
        <v>396</v>
      </c>
      <c r="P399" s="4">
        <v>870</v>
      </c>
      <c r="Q399" t="s">
        <v>2369</v>
      </c>
      <c r="R399">
        <v>2022</v>
      </c>
    </row>
    <row r="400" spans="1:18" x14ac:dyDescent="0.25">
      <c r="A400" t="s">
        <v>733</v>
      </c>
      <c r="B400" t="s">
        <v>754</v>
      </c>
      <c r="C400" s="2">
        <v>192</v>
      </c>
      <c r="D400" t="s">
        <v>68</v>
      </c>
      <c r="E400" t="s">
        <v>585</v>
      </c>
      <c r="F400" t="s">
        <v>755</v>
      </c>
      <c r="G400" s="5" t="s">
        <v>2381</v>
      </c>
      <c r="H400" t="s">
        <v>2439</v>
      </c>
      <c r="I400" s="6">
        <f t="shared" si="6"/>
        <v>20</v>
      </c>
      <c r="J400" s="2">
        <v>5000</v>
      </c>
      <c r="K400" s="2">
        <v>6.72</v>
      </c>
      <c r="L400" s="4">
        <v>55000</v>
      </c>
      <c r="M400" s="4">
        <v>16999</v>
      </c>
      <c r="N400" s="4">
        <v>1999</v>
      </c>
      <c r="O400" s="4">
        <v>249</v>
      </c>
      <c r="P400" s="4">
        <v>999</v>
      </c>
      <c r="Q400" t="s">
        <v>2368</v>
      </c>
      <c r="R400">
        <v>2023</v>
      </c>
    </row>
    <row r="401" spans="1:18" x14ac:dyDescent="0.25">
      <c r="A401" t="s">
        <v>733</v>
      </c>
      <c r="B401" t="s">
        <v>784</v>
      </c>
      <c r="C401" s="2">
        <v>189</v>
      </c>
      <c r="D401" t="s">
        <v>162</v>
      </c>
      <c r="E401" t="s">
        <v>585</v>
      </c>
      <c r="F401" t="s">
        <v>535</v>
      </c>
      <c r="G401" s="5" t="s">
        <v>785</v>
      </c>
      <c r="H401" t="s">
        <v>2439</v>
      </c>
      <c r="I401" s="6">
        <f t="shared" si="6"/>
        <v>20</v>
      </c>
      <c r="J401" s="2">
        <v>5000</v>
      </c>
      <c r="K401" s="2">
        <v>6.49</v>
      </c>
      <c r="L401" s="4">
        <v>39999</v>
      </c>
      <c r="M401" s="4">
        <v>15999</v>
      </c>
      <c r="N401" s="4">
        <v>1199</v>
      </c>
      <c r="O401" s="4">
        <v>199</v>
      </c>
      <c r="P401" s="4">
        <v>799</v>
      </c>
      <c r="Q401" t="s">
        <v>2368</v>
      </c>
      <c r="R401">
        <v>2021</v>
      </c>
    </row>
    <row r="402" spans="1:18" x14ac:dyDescent="0.25">
      <c r="A402" t="s">
        <v>733</v>
      </c>
      <c r="B402" t="s">
        <v>788</v>
      </c>
      <c r="C402" s="2">
        <v>185</v>
      </c>
      <c r="D402" t="s">
        <v>162</v>
      </c>
      <c r="E402" t="s">
        <v>307</v>
      </c>
      <c r="F402" t="s">
        <v>535</v>
      </c>
      <c r="G402" s="5" t="s">
        <v>1629</v>
      </c>
      <c r="H402" t="s">
        <v>2439</v>
      </c>
      <c r="I402" s="6">
        <f t="shared" si="6"/>
        <v>18</v>
      </c>
      <c r="J402" s="2">
        <v>5000</v>
      </c>
      <c r="K402" s="2">
        <v>6.52</v>
      </c>
      <c r="L402" s="4">
        <v>29999</v>
      </c>
      <c r="M402" s="4">
        <v>12999</v>
      </c>
      <c r="N402" s="4">
        <v>1099</v>
      </c>
      <c r="O402" s="4">
        <v>179</v>
      </c>
      <c r="P402" s="4">
        <v>699</v>
      </c>
      <c r="Q402" t="s">
        <v>2368</v>
      </c>
      <c r="R402">
        <v>2020</v>
      </c>
    </row>
    <row r="403" spans="1:18" x14ac:dyDescent="0.25">
      <c r="A403" t="s">
        <v>733</v>
      </c>
      <c r="B403" t="s">
        <v>829</v>
      </c>
      <c r="C403" s="2">
        <v>185</v>
      </c>
      <c r="D403" t="s">
        <v>162</v>
      </c>
      <c r="E403" t="s">
        <v>307</v>
      </c>
      <c r="F403" t="s">
        <v>535</v>
      </c>
      <c r="G403" s="5" t="s">
        <v>1629</v>
      </c>
      <c r="H403" t="s">
        <v>2439</v>
      </c>
      <c r="I403" s="6">
        <f t="shared" si="6"/>
        <v>18</v>
      </c>
      <c r="J403" s="2">
        <v>5000</v>
      </c>
      <c r="K403" s="2">
        <v>6.52</v>
      </c>
      <c r="L403" s="4">
        <v>29999</v>
      </c>
      <c r="M403" s="4">
        <v>12999</v>
      </c>
      <c r="N403" s="4">
        <v>1099</v>
      </c>
      <c r="O403" s="4">
        <v>179</v>
      </c>
      <c r="P403" s="4">
        <v>699</v>
      </c>
      <c r="Q403" t="s">
        <v>2368</v>
      </c>
      <c r="R403">
        <v>2020</v>
      </c>
    </row>
    <row r="404" spans="1:18" x14ac:dyDescent="0.25">
      <c r="A404" t="s">
        <v>733</v>
      </c>
      <c r="B404" t="s">
        <v>734</v>
      </c>
      <c r="C404" s="2">
        <v>205</v>
      </c>
      <c r="D404" t="s">
        <v>375</v>
      </c>
      <c r="E404" t="s">
        <v>461</v>
      </c>
      <c r="F404" t="s">
        <v>736</v>
      </c>
      <c r="G404" s="5" t="s">
        <v>737</v>
      </c>
      <c r="H404" t="s">
        <v>2437</v>
      </c>
      <c r="I404" s="6">
        <f t="shared" si="6"/>
        <v>100</v>
      </c>
      <c r="J404" s="2">
        <v>5000</v>
      </c>
      <c r="K404" s="2">
        <v>6.7</v>
      </c>
      <c r="L404" s="4">
        <v>219999</v>
      </c>
      <c r="M404" s="4">
        <v>74999</v>
      </c>
      <c r="N404" s="4">
        <v>5999</v>
      </c>
      <c r="O404" s="4">
        <v>799</v>
      </c>
      <c r="P404" s="4">
        <v>3199</v>
      </c>
      <c r="Q404" t="s">
        <v>2368</v>
      </c>
      <c r="R404">
        <v>2024</v>
      </c>
    </row>
    <row r="405" spans="1:18" x14ac:dyDescent="0.25">
      <c r="A405" t="s">
        <v>733</v>
      </c>
      <c r="B405" t="s">
        <v>738</v>
      </c>
      <c r="C405" s="2">
        <v>203</v>
      </c>
      <c r="D405" t="s">
        <v>375</v>
      </c>
      <c r="E405" t="s">
        <v>585</v>
      </c>
      <c r="F405" t="s">
        <v>527</v>
      </c>
      <c r="G405" s="5" t="s">
        <v>401</v>
      </c>
      <c r="H405" t="s">
        <v>2437</v>
      </c>
      <c r="I405" s="6">
        <f t="shared" si="6"/>
        <v>95</v>
      </c>
      <c r="J405" s="2">
        <v>4500</v>
      </c>
      <c r="K405" s="2">
        <v>6.7</v>
      </c>
      <c r="L405" s="4">
        <v>169999</v>
      </c>
      <c r="M405" s="4">
        <v>49999</v>
      </c>
      <c r="N405" s="4">
        <v>4299</v>
      </c>
      <c r="O405" s="4">
        <v>699</v>
      </c>
      <c r="P405" s="4">
        <v>2599</v>
      </c>
      <c r="Q405" t="s">
        <v>2368</v>
      </c>
      <c r="R405">
        <v>2024</v>
      </c>
    </row>
    <row r="406" spans="1:18" x14ac:dyDescent="0.25">
      <c r="A406" t="s">
        <v>733</v>
      </c>
      <c r="B406" t="s">
        <v>739</v>
      </c>
      <c r="C406" s="2">
        <v>205</v>
      </c>
      <c r="D406" t="s">
        <v>375</v>
      </c>
      <c r="E406" t="s">
        <v>585</v>
      </c>
      <c r="F406" t="s">
        <v>736</v>
      </c>
      <c r="G406" s="5" t="s">
        <v>451</v>
      </c>
      <c r="H406" t="s">
        <v>2437</v>
      </c>
      <c r="I406" s="6">
        <f t="shared" si="6"/>
        <v>90</v>
      </c>
      <c r="J406" s="2">
        <v>5000</v>
      </c>
      <c r="K406" s="2">
        <v>6.7</v>
      </c>
      <c r="L406" s="4">
        <v>179999</v>
      </c>
      <c r="M406" s="4">
        <v>54999</v>
      </c>
      <c r="N406" s="4">
        <v>4999</v>
      </c>
      <c r="O406" s="4">
        <v>699</v>
      </c>
      <c r="P406" s="4">
        <v>2799</v>
      </c>
      <c r="Q406" t="s">
        <v>2368</v>
      </c>
      <c r="R406">
        <v>2023</v>
      </c>
    </row>
    <row r="407" spans="1:18" x14ac:dyDescent="0.25">
      <c r="A407" t="s">
        <v>733</v>
      </c>
      <c r="B407" t="s">
        <v>741</v>
      </c>
      <c r="C407" s="2">
        <v>202</v>
      </c>
      <c r="D407" t="s">
        <v>375</v>
      </c>
      <c r="E407" t="s">
        <v>585</v>
      </c>
      <c r="F407" t="s">
        <v>527</v>
      </c>
      <c r="G407" s="5" t="s">
        <v>451</v>
      </c>
      <c r="H407" t="s">
        <v>2437</v>
      </c>
      <c r="I407" s="6">
        <f t="shared" si="6"/>
        <v>90</v>
      </c>
      <c r="J407" s="2">
        <v>5000</v>
      </c>
      <c r="K407" s="2">
        <v>6.7</v>
      </c>
      <c r="L407" s="4">
        <v>159999</v>
      </c>
      <c r="M407" s="4">
        <v>44999</v>
      </c>
      <c r="N407" s="4">
        <v>3799</v>
      </c>
      <c r="O407" s="4">
        <v>599</v>
      </c>
      <c r="P407" s="4">
        <v>2499</v>
      </c>
      <c r="Q407" t="s">
        <v>2368</v>
      </c>
      <c r="R407">
        <v>2023</v>
      </c>
    </row>
    <row r="408" spans="1:18" x14ac:dyDescent="0.25">
      <c r="A408" t="s">
        <v>733</v>
      </c>
      <c r="B408" t="s">
        <v>742</v>
      </c>
      <c r="C408" s="2">
        <v>190</v>
      </c>
      <c r="D408" t="s">
        <v>375</v>
      </c>
      <c r="E408" t="s">
        <v>585</v>
      </c>
      <c r="F408" t="s">
        <v>527</v>
      </c>
      <c r="G408" s="5" t="s">
        <v>2379</v>
      </c>
      <c r="H408" t="s">
        <v>2437</v>
      </c>
      <c r="I408" s="6">
        <f t="shared" si="6"/>
        <v>90</v>
      </c>
      <c r="J408" s="2">
        <v>5000</v>
      </c>
      <c r="K408" s="2">
        <v>6.74</v>
      </c>
      <c r="L408" s="4">
        <v>119999</v>
      </c>
      <c r="M408" s="4">
        <v>34999</v>
      </c>
      <c r="N408" s="4">
        <v>3499</v>
      </c>
      <c r="O408" s="4">
        <v>499</v>
      </c>
      <c r="P408" s="4">
        <v>1999</v>
      </c>
      <c r="Q408" t="s">
        <v>2368</v>
      </c>
      <c r="R408">
        <v>2023</v>
      </c>
    </row>
    <row r="409" spans="1:18" x14ac:dyDescent="0.25">
      <c r="A409" t="s">
        <v>733</v>
      </c>
      <c r="B409" t="s">
        <v>758</v>
      </c>
      <c r="C409" s="2">
        <v>238</v>
      </c>
      <c r="D409" t="s">
        <v>759</v>
      </c>
      <c r="E409" t="s">
        <v>461</v>
      </c>
      <c r="F409" t="s">
        <v>760</v>
      </c>
      <c r="G409" s="5" t="s">
        <v>401</v>
      </c>
      <c r="H409" t="s">
        <v>2437</v>
      </c>
      <c r="I409" s="6">
        <f t="shared" si="6"/>
        <v>95</v>
      </c>
      <c r="J409" s="2">
        <v>4800</v>
      </c>
      <c r="K409" s="2">
        <v>7.8</v>
      </c>
      <c r="L409" s="4">
        <v>299999</v>
      </c>
      <c r="M409" s="4">
        <v>74999</v>
      </c>
      <c r="N409" s="4">
        <v>6999</v>
      </c>
      <c r="O409" s="4">
        <v>1099</v>
      </c>
      <c r="P409" s="4">
        <v>4299</v>
      </c>
      <c r="Q409" t="s">
        <v>2368</v>
      </c>
      <c r="R409">
        <v>2024</v>
      </c>
    </row>
    <row r="410" spans="1:18" x14ac:dyDescent="0.25">
      <c r="A410" t="s">
        <v>733</v>
      </c>
      <c r="B410" t="s">
        <v>763</v>
      </c>
      <c r="C410" s="2">
        <v>200</v>
      </c>
      <c r="D410" t="s">
        <v>375</v>
      </c>
      <c r="E410" t="s">
        <v>461</v>
      </c>
      <c r="F410" t="s">
        <v>736</v>
      </c>
      <c r="G410" s="5" t="s">
        <v>451</v>
      </c>
      <c r="H410" t="s">
        <v>2437</v>
      </c>
      <c r="I410" s="6">
        <f t="shared" si="6"/>
        <v>90</v>
      </c>
      <c r="J410" s="2">
        <v>5000</v>
      </c>
      <c r="K410" s="2">
        <v>6.7</v>
      </c>
      <c r="L410" s="4">
        <v>199999</v>
      </c>
      <c r="M410" s="4">
        <v>64999</v>
      </c>
      <c r="N410" s="4">
        <v>4999</v>
      </c>
      <c r="O410" s="4">
        <v>899</v>
      </c>
      <c r="P410" s="4">
        <v>3299</v>
      </c>
      <c r="Q410" t="s">
        <v>2368</v>
      </c>
      <c r="R410">
        <v>2022</v>
      </c>
    </row>
    <row r="411" spans="1:18" x14ac:dyDescent="0.25">
      <c r="A411" t="s">
        <v>733</v>
      </c>
      <c r="B411" t="s">
        <v>766</v>
      </c>
      <c r="C411" s="2">
        <v>203</v>
      </c>
      <c r="D411" t="s">
        <v>375</v>
      </c>
      <c r="E411" t="s">
        <v>585</v>
      </c>
      <c r="F411" t="s">
        <v>527</v>
      </c>
      <c r="G411" s="5" t="s">
        <v>767</v>
      </c>
      <c r="H411" t="s">
        <v>2437</v>
      </c>
      <c r="I411" s="6">
        <f t="shared" si="6"/>
        <v>92</v>
      </c>
      <c r="J411" s="2">
        <v>4500</v>
      </c>
      <c r="K411" s="2">
        <v>6.7</v>
      </c>
      <c r="L411" s="4">
        <v>179999</v>
      </c>
      <c r="M411" s="4">
        <v>54999</v>
      </c>
      <c r="N411" s="4">
        <v>4699</v>
      </c>
      <c r="O411" s="4">
        <v>749</v>
      </c>
      <c r="P411" s="4">
        <v>2899</v>
      </c>
      <c r="Q411" t="s">
        <v>2368</v>
      </c>
      <c r="R411">
        <v>2022</v>
      </c>
    </row>
    <row r="412" spans="1:18" x14ac:dyDescent="0.25">
      <c r="A412" t="s">
        <v>733</v>
      </c>
      <c r="B412" t="s">
        <v>770</v>
      </c>
      <c r="C412" s="2">
        <v>192</v>
      </c>
      <c r="D412" t="s">
        <v>375</v>
      </c>
      <c r="E412" t="s">
        <v>585</v>
      </c>
      <c r="F412" t="s">
        <v>771</v>
      </c>
      <c r="G412" s="5" t="s">
        <v>639</v>
      </c>
      <c r="H412" t="s">
        <v>2437</v>
      </c>
      <c r="I412" s="6">
        <f t="shared" si="6"/>
        <v>85</v>
      </c>
      <c r="J412" s="2">
        <v>4500</v>
      </c>
      <c r="K412" s="2">
        <v>6.7</v>
      </c>
      <c r="L412" s="4">
        <v>179999</v>
      </c>
      <c r="M412" s="4">
        <v>59999</v>
      </c>
      <c r="N412" s="4">
        <v>4199</v>
      </c>
      <c r="O412" s="4">
        <v>699</v>
      </c>
      <c r="P412" s="4">
        <v>2799</v>
      </c>
      <c r="Q412" t="s">
        <v>2368</v>
      </c>
      <c r="R412">
        <v>2021</v>
      </c>
    </row>
    <row r="413" spans="1:18" x14ac:dyDescent="0.25">
      <c r="A413" t="s">
        <v>733</v>
      </c>
      <c r="B413" t="s">
        <v>773</v>
      </c>
      <c r="C413" s="2">
        <v>183</v>
      </c>
      <c r="D413" t="s">
        <v>68</v>
      </c>
      <c r="E413" t="s">
        <v>585</v>
      </c>
      <c r="F413" t="s">
        <v>771</v>
      </c>
      <c r="G413" s="5" t="s">
        <v>639</v>
      </c>
      <c r="H413" t="s">
        <v>2437</v>
      </c>
      <c r="I413" s="6">
        <f t="shared" si="6"/>
        <v>85</v>
      </c>
      <c r="J413" s="2">
        <v>4500</v>
      </c>
      <c r="K413" s="2">
        <v>6.55</v>
      </c>
      <c r="L413" s="4">
        <v>149999</v>
      </c>
      <c r="M413" s="4">
        <v>39999</v>
      </c>
      <c r="N413" s="4">
        <v>3699</v>
      </c>
      <c r="O413" s="4">
        <v>599</v>
      </c>
      <c r="P413" s="4">
        <v>2299</v>
      </c>
      <c r="Q413" t="s">
        <v>2368</v>
      </c>
      <c r="R413">
        <v>2021</v>
      </c>
    </row>
    <row r="414" spans="1:18" x14ac:dyDescent="0.25">
      <c r="A414" t="s">
        <v>733</v>
      </c>
      <c r="B414" t="s">
        <v>778</v>
      </c>
      <c r="C414" s="2">
        <v>204</v>
      </c>
      <c r="D414" t="s">
        <v>759</v>
      </c>
      <c r="E414" t="s">
        <v>461</v>
      </c>
      <c r="F414" t="s">
        <v>736</v>
      </c>
      <c r="G414" s="5" t="s">
        <v>401</v>
      </c>
      <c r="H414" t="s">
        <v>2437</v>
      </c>
      <c r="I414" s="6">
        <f t="shared" si="6"/>
        <v>95</v>
      </c>
      <c r="J414" s="2">
        <v>5000</v>
      </c>
      <c r="K414" s="2">
        <v>6.7</v>
      </c>
      <c r="L414" s="4">
        <v>219999</v>
      </c>
      <c r="M414" s="4">
        <v>74999</v>
      </c>
      <c r="N414" s="4">
        <v>6399</v>
      </c>
      <c r="O414" s="4">
        <v>899</v>
      </c>
      <c r="P414" s="4">
        <v>3599</v>
      </c>
      <c r="Q414" t="s">
        <v>2368</v>
      </c>
      <c r="R414">
        <v>2023</v>
      </c>
    </row>
    <row r="415" spans="1:18" x14ac:dyDescent="0.25">
      <c r="A415" t="s">
        <v>733</v>
      </c>
      <c r="B415" t="s">
        <v>793</v>
      </c>
      <c r="C415" s="2">
        <v>188</v>
      </c>
      <c r="D415" t="s">
        <v>375</v>
      </c>
      <c r="E415" t="s">
        <v>585</v>
      </c>
      <c r="F415" t="s">
        <v>794</v>
      </c>
      <c r="G415" s="5" t="s">
        <v>795</v>
      </c>
      <c r="H415" t="s">
        <v>2437</v>
      </c>
      <c r="I415" s="6">
        <f t="shared" si="6"/>
        <v>80</v>
      </c>
      <c r="J415" s="2">
        <v>4500</v>
      </c>
      <c r="K415" s="2">
        <v>6.55</v>
      </c>
      <c r="L415" s="4">
        <v>139999</v>
      </c>
      <c r="M415" s="4">
        <v>45999</v>
      </c>
      <c r="N415" s="4">
        <v>3699</v>
      </c>
      <c r="O415" s="4">
        <v>749</v>
      </c>
      <c r="P415" s="4">
        <v>2999</v>
      </c>
      <c r="Q415" t="s">
        <v>2368</v>
      </c>
      <c r="R415">
        <v>2020</v>
      </c>
    </row>
    <row r="416" spans="1:18" x14ac:dyDescent="0.25">
      <c r="A416" t="s">
        <v>733</v>
      </c>
      <c r="B416" t="s">
        <v>798</v>
      </c>
      <c r="C416" s="2">
        <v>192</v>
      </c>
      <c r="D416" t="s">
        <v>68</v>
      </c>
      <c r="E416" t="s">
        <v>585</v>
      </c>
      <c r="F416" t="s">
        <v>771</v>
      </c>
      <c r="G416" s="5" t="s">
        <v>639</v>
      </c>
      <c r="H416" t="s">
        <v>2437</v>
      </c>
      <c r="I416" s="6">
        <f t="shared" si="6"/>
        <v>85</v>
      </c>
      <c r="J416" s="2">
        <v>4500</v>
      </c>
      <c r="K416" s="2">
        <v>6.55</v>
      </c>
      <c r="L416" s="4">
        <v>159999</v>
      </c>
      <c r="M416" s="4">
        <v>49999</v>
      </c>
      <c r="N416" s="4">
        <v>4199</v>
      </c>
      <c r="O416" s="4">
        <v>649</v>
      </c>
      <c r="P416" s="4">
        <v>2799</v>
      </c>
      <c r="Q416" t="s">
        <v>2368</v>
      </c>
      <c r="R416">
        <v>2021</v>
      </c>
    </row>
    <row r="417" spans="1:18" x14ac:dyDescent="0.25">
      <c r="A417" t="s">
        <v>733</v>
      </c>
      <c r="B417" t="s">
        <v>799</v>
      </c>
      <c r="C417" s="2">
        <v>188</v>
      </c>
      <c r="D417" t="s">
        <v>375</v>
      </c>
      <c r="E417" t="s">
        <v>585</v>
      </c>
      <c r="F417" t="s">
        <v>794</v>
      </c>
      <c r="G417" s="5" t="s">
        <v>795</v>
      </c>
      <c r="H417" t="s">
        <v>2437</v>
      </c>
      <c r="I417" s="6">
        <f t="shared" si="6"/>
        <v>80</v>
      </c>
      <c r="J417" s="2">
        <v>4500</v>
      </c>
      <c r="K417" s="2">
        <v>6.55</v>
      </c>
      <c r="L417" s="4">
        <v>119999</v>
      </c>
      <c r="M417" s="4">
        <v>42999</v>
      </c>
      <c r="N417" s="4">
        <v>3499</v>
      </c>
      <c r="O417" s="4">
        <v>599</v>
      </c>
      <c r="P417" s="4">
        <v>2499</v>
      </c>
      <c r="Q417" t="s">
        <v>2368</v>
      </c>
      <c r="R417">
        <v>2020</v>
      </c>
    </row>
    <row r="418" spans="1:18" x14ac:dyDescent="0.25">
      <c r="A418" t="s">
        <v>733</v>
      </c>
      <c r="B418" t="s">
        <v>801</v>
      </c>
      <c r="C418" s="2">
        <v>203</v>
      </c>
      <c r="D418" t="s">
        <v>375</v>
      </c>
      <c r="E418" t="s">
        <v>585</v>
      </c>
      <c r="F418" t="s">
        <v>527</v>
      </c>
      <c r="G418" s="5" t="s">
        <v>767</v>
      </c>
      <c r="H418" t="s">
        <v>2437</v>
      </c>
      <c r="I418" s="6">
        <f t="shared" si="6"/>
        <v>92</v>
      </c>
      <c r="J418" s="2">
        <v>4500</v>
      </c>
      <c r="K418" s="2">
        <v>6.7</v>
      </c>
      <c r="L418" s="4">
        <v>179999</v>
      </c>
      <c r="M418" s="4">
        <v>54999</v>
      </c>
      <c r="N418" s="4">
        <v>4699</v>
      </c>
      <c r="O418" s="4">
        <v>749</v>
      </c>
      <c r="P418" s="4">
        <v>2899</v>
      </c>
      <c r="Q418" t="s">
        <v>2368</v>
      </c>
      <c r="R418">
        <v>2022</v>
      </c>
    </row>
    <row r="419" spans="1:18" x14ac:dyDescent="0.25">
      <c r="A419" t="s">
        <v>733</v>
      </c>
      <c r="B419" t="s">
        <v>802</v>
      </c>
      <c r="C419" s="2">
        <v>189</v>
      </c>
      <c r="D419" t="s">
        <v>68</v>
      </c>
      <c r="E419" t="s">
        <v>585</v>
      </c>
      <c r="F419" t="s">
        <v>803</v>
      </c>
      <c r="G419" s="5" t="s">
        <v>804</v>
      </c>
      <c r="H419" t="s">
        <v>2437</v>
      </c>
      <c r="I419" s="6">
        <f t="shared" si="6"/>
        <v>82</v>
      </c>
      <c r="J419" s="2">
        <v>4500</v>
      </c>
      <c r="K419" s="2">
        <v>6.55</v>
      </c>
      <c r="L419" s="4">
        <v>159999</v>
      </c>
      <c r="M419" s="4">
        <v>39999</v>
      </c>
      <c r="N419" s="4">
        <v>3499</v>
      </c>
      <c r="O419" s="4">
        <v>599</v>
      </c>
      <c r="P419" s="4">
        <v>2499</v>
      </c>
      <c r="Q419" t="s">
        <v>2368</v>
      </c>
      <c r="R419">
        <v>2021</v>
      </c>
    </row>
    <row r="420" spans="1:18" x14ac:dyDescent="0.25">
      <c r="A420" t="s">
        <v>733</v>
      </c>
      <c r="B420" t="s">
        <v>805</v>
      </c>
      <c r="C420" s="2">
        <v>199</v>
      </c>
      <c r="D420" t="s">
        <v>375</v>
      </c>
      <c r="E420" t="s">
        <v>585</v>
      </c>
      <c r="F420" t="s">
        <v>760</v>
      </c>
      <c r="G420" s="5" t="s">
        <v>795</v>
      </c>
      <c r="H420" t="s">
        <v>2437</v>
      </c>
      <c r="I420" s="6">
        <f t="shared" si="6"/>
        <v>80</v>
      </c>
      <c r="J420" s="2">
        <v>4510</v>
      </c>
      <c r="K420" s="2">
        <v>6.78</v>
      </c>
      <c r="L420" s="4">
        <v>159999</v>
      </c>
      <c r="M420" s="4">
        <v>54999</v>
      </c>
      <c r="N420" s="4">
        <v>4999</v>
      </c>
      <c r="O420" s="4">
        <v>749</v>
      </c>
      <c r="P420" s="4">
        <v>2999</v>
      </c>
      <c r="Q420" t="s">
        <v>2368</v>
      </c>
      <c r="R420">
        <v>2020</v>
      </c>
    </row>
    <row r="421" spans="1:18" x14ac:dyDescent="0.25">
      <c r="A421" t="s">
        <v>733</v>
      </c>
      <c r="B421" t="s">
        <v>808</v>
      </c>
      <c r="C421" s="2">
        <v>180</v>
      </c>
      <c r="D421" t="s">
        <v>68</v>
      </c>
      <c r="E421" t="s">
        <v>585</v>
      </c>
      <c r="F421" t="s">
        <v>794</v>
      </c>
      <c r="G421" s="5" t="s">
        <v>795</v>
      </c>
      <c r="H421" t="s">
        <v>2437</v>
      </c>
      <c r="I421" s="6">
        <f t="shared" si="6"/>
        <v>80</v>
      </c>
      <c r="J421" s="2">
        <v>4300</v>
      </c>
      <c r="K421" s="2">
        <v>6.55</v>
      </c>
      <c r="L421" s="4">
        <v>119999</v>
      </c>
      <c r="M421" s="4">
        <v>41999</v>
      </c>
      <c r="N421" s="4">
        <v>3499</v>
      </c>
      <c r="O421" s="4">
        <v>699</v>
      </c>
      <c r="P421" s="4">
        <v>2499</v>
      </c>
      <c r="Q421" t="s">
        <v>2368</v>
      </c>
      <c r="R421">
        <v>2020</v>
      </c>
    </row>
    <row r="422" spans="1:18" x14ac:dyDescent="0.25">
      <c r="A422" t="s">
        <v>733</v>
      </c>
      <c r="B422" t="s">
        <v>832</v>
      </c>
      <c r="C422" s="2">
        <v>192</v>
      </c>
      <c r="D422" t="s">
        <v>68</v>
      </c>
      <c r="E422" t="s">
        <v>585</v>
      </c>
      <c r="F422" t="s">
        <v>803</v>
      </c>
      <c r="G422" s="5" t="s">
        <v>795</v>
      </c>
      <c r="H422" t="s">
        <v>2437</v>
      </c>
      <c r="I422" s="6">
        <f t="shared" si="6"/>
        <v>80</v>
      </c>
      <c r="J422" s="2">
        <v>4300</v>
      </c>
      <c r="K422" s="2">
        <v>6.55</v>
      </c>
      <c r="L422" s="4">
        <v>119999</v>
      </c>
      <c r="M422" s="4">
        <v>41999</v>
      </c>
      <c r="N422" s="4">
        <v>3499</v>
      </c>
      <c r="O422" s="4">
        <v>649</v>
      </c>
      <c r="P422" s="4">
        <v>2499</v>
      </c>
      <c r="Q422" t="s">
        <v>2368</v>
      </c>
      <c r="R422">
        <v>2020</v>
      </c>
    </row>
    <row r="423" spans="1:18" x14ac:dyDescent="0.25">
      <c r="A423" t="s">
        <v>733</v>
      </c>
      <c r="B423" t="s">
        <v>833</v>
      </c>
      <c r="C423" s="2">
        <v>190</v>
      </c>
      <c r="D423" t="s">
        <v>18</v>
      </c>
      <c r="E423" t="s">
        <v>585</v>
      </c>
      <c r="F423" t="s">
        <v>803</v>
      </c>
      <c r="G423" s="5" t="s">
        <v>834</v>
      </c>
      <c r="H423" t="s">
        <v>2437</v>
      </c>
      <c r="I423" s="6">
        <f t="shared" si="6"/>
        <v>75</v>
      </c>
      <c r="J423" s="2">
        <v>3700</v>
      </c>
      <c r="K423" s="2">
        <v>6.41</v>
      </c>
      <c r="L423" s="4">
        <v>109999</v>
      </c>
      <c r="M423" s="4">
        <v>38999</v>
      </c>
      <c r="N423" s="4">
        <v>3199</v>
      </c>
      <c r="O423" s="4">
        <v>599</v>
      </c>
      <c r="P423" s="4">
        <v>2399</v>
      </c>
      <c r="Q423" t="s">
        <v>2368</v>
      </c>
      <c r="R423">
        <v>2020</v>
      </c>
    </row>
    <row r="424" spans="1:18" x14ac:dyDescent="0.25">
      <c r="A424" t="s">
        <v>733</v>
      </c>
      <c r="B424" t="s">
        <v>840</v>
      </c>
      <c r="C424" s="2">
        <v>185</v>
      </c>
      <c r="D424" t="s">
        <v>841</v>
      </c>
      <c r="E424" t="s">
        <v>585</v>
      </c>
      <c r="F424" t="s">
        <v>842</v>
      </c>
      <c r="G424" s="5" t="s">
        <v>843</v>
      </c>
      <c r="H424" t="s">
        <v>2437</v>
      </c>
      <c r="I424" s="6">
        <f t="shared" si="6"/>
        <v>70</v>
      </c>
      <c r="J424" s="2">
        <v>3700</v>
      </c>
      <c r="K424" s="2">
        <v>6.41</v>
      </c>
      <c r="L424" s="4">
        <v>149999</v>
      </c>
      <c r="M424" s="4">
        <v>50999</v>
      </c>
      <c r="N424" s="4">
        <v>4699</v>
      </c>
      <c r="O424" s="4">
        <v>799</v>
      </c>
      <c r="P424" s="4">
        <v>3299</v>
      </c>
      <c r="Q424" t="s">
        <v>2368</v>
      </c>
      <c r="R424">
        <v>2018</v>
      </c>
    </row>
    <row r="425" spans="1:18" x14ac:dyDescent="0.25">
      <c r="A425" t="s">
        <v>733</v>
      </c>
      <c r="B425" t="s">
        <v>845</v>
      </c>
      <c r="C425" s="2">
        <v>162</v>
      </c>
      <c r="D425" t="s">
        <v>18</v>
      </c>
      <c r="E425" t="s">
        <v>585</v>
      </c>
      <c r="F425" t="s">
        <v>847</v>
      </c>
      <c r="G425" s="5" t="s">
        <v>848</v>
      </c>
      <c r="H425" t="s">
        <v>2437</v>
      </c>
      <c r="I425" s="6">
        <f t="shared" si="6"/>
        <v>65</v>
      </c>
      <c r="J425" s="2">
        <v>3300</v>
      </c>
      <c r="K425" s="2">
        <v>6.01</v>
      </c>
      <c r="L425" s="4">
        <v>89999</v>
      </c>
      <c r="M425" s="4">
        <v>34999</v>
      </c>
      <c r="N425" s="4">
        <v>3499</v>
      </c>
      <c r="O425" s="4">
        <v>649</v>
      </c>
      <c r="P425" s="4">
        <v>2499</v>
      </c>
      <c r="Q425" t="s">
        <v>2368</v>
      </c>
      <c r="R425">
        <v>2017</v>
      </c>
    </row>
    <row r="426" spans="1:18" x14ac:dyDescent="0.25">
      <c r="A426" t="s">
        <v>733</v>
      </c>
      <c r="B426" t="s">
        <v>850</v>
      </c>
      <c r="C426" s="2">
        <v>210</v>
      </c>
      <c r="D426" t="s">
        <v>68</v>
      </c>
      <c r="E426" t="s">
        <v>585</v>
      </c>
      <c r="F426" t="s">
        <v>527</v>
      </c>
      <c r="G426" s="5" t="s">
        <v>401</v>
      </c>
      <c r="H426" t="s">
        <v>2437</v>
      </c>
      <c r="I426" s="6">
        <f t="shared" si="6"/>
        <v>95</v>
      </c>
      <c r="J426" s="2">
        <v>4500</v>
      </c>
      <c r="K426" s="2">
        <v>6.7</v>
      </c>
      <c r="L426" s="4">
        <v>219999</v>
      </c>
      <c r="M426" s="4">
        <v>74999</v>
      </c>
      <c r="N426" s="4">
        <v>6499</v>
      </c>
      <c r="O426" s="4">
        <v>849</v>
      </c>
      <c r="P426" s="4">
        <v>3599</v>
      </c>
      <c r="Q426" t="s">
        <v>2368</v>
      </c>
      <c r="R426">
        <v>2023</v>
      </c>
    </row>
    <row r="427" spans="1:18" x14ac:dyDescent="0.25">
      <c r="A427" t="s">
        <v>733</v>
      </c>
      <c r="B427" t="s">
        <v>852</v>
      </c>
      <c r="C427" s="2">
        <v>202</v>
      </c>
      <c r="D427" t="s">
        <v>375</v>
      </c>
      <c r="E427" t="s">
        <v>461</v>
      </c>
      <c r="F427" t="s">
        <v>736</v>
      </c>
      <c r="G427" s="5" t="s">
        <v>401</v>
      </c>
      <c r="H427" t="s">
        <v>2437</v>
      </c>
      <c r="I427" s="6">
        <f t="shared" si="6"/>
        <v>95</v>
      </c>
      <c r="J427" s="2">
        <v>5000</v>
      </c>
      <c r="K427" s="2">
        <v>6.7</v>
      </c>
      <c r="L427" s="4">
        <v>199999</v>
      </c>
      <c r="M427" s="4">
        <v>74999</v>
      </c>
      <c r="N427" s="4">
        <v>5999</v>
      </c>
      <c r="O427" s="4">
        <v>799</v>
      </c>
      <c r="P427" s="4">
        <v>3499</v>
      </c>
      <c r="Q427" t="s">
        <v>2368</v>
      </c>
      <c r="R427">
        <v>2023</v>
      </c>
    </row>
    <row r="428" spans="1:18" x14ac:dyDescent="0.25">
      <c r="A428" t="s">
        <v>733</v>
      </c>
      <c r="B428" t="s">
        <v>857</v>
      </c>
      <c r="C428" s="2">
        <v>206</v>
      </c>
      <c r="D428" t="s">
        <v>375</v>
      </c>
      <c r="E428" t="s">
        <v>585</v>
      </c>
      <c r="F428" t="s">
        <v>476</v>
      </c>
      <c r="G428" s="5" t="s">
        <v>834</v>
      </c>
      <c r="H428" t="s">
        <v>2437</v>
      </c>
      <c r="I428" s="6">
        <f t="shared" si="6"/>
        <v>75</v>
      </c>
      <c r="J428" s="2">
        <v>4000</v>
      </c>
      <c r="K428" s="2">
        <v>6.67</v>
      </c>
      <c r="L428" s="4">
        <v>169999</v>
      </c>
      <c r="M428" s="4">
        <v>59999</v>
      </c>
      <c r="N428" s="4">
        <v>4699</v>
      </c>
      <c r="O428" s="4">
        <v>799</v>
      </c>
      <c r="P428" s="4">
        <v>3299</v>
      </c>
      <c r="Q428" t="s">
        <v>2368</v>
      </c>
      <c r="R428">
        <v>2019</v>
      </c>
    </row>
    <row r="429" spans="1:18" x14ac:dyDescent="0.25">
      <c r="A429" t="s">
        <v>733</v>
      </c>
      <c r="B429" t="s">
        <v>859</v>
      </c>
      <c r="C429" s="2">
        <v>177</v>
      </c>
      <c r="D429" t="s">
        <v>18</v>
      </c>
      <c r="E429" t="s">
        <v>585</v>
      </c>
      <c r="F429" t="s">
        <v>842</v>
      </c>
      <c r="G429" s="5" t="s">
        <v>843</v>
      </c>
      <c r="H429" t="s">
        <v>2437</v>
      </c>
      <c r="I429" s="6">
        <f t="shared" si="6"/>
        <v>70</v>
      </c>
      <c r="J429" s="2">
        <v>3300</v>
      </c>
      <c r="K429" s="2">
        <v>6.28</v>
      </c>
      <c r="L429" s="4">
        <v>99999</v>
      </c>
      <c r="M429" s="4">
        <v>37999</v>
      </c>
      <c r="N429" s="4">
        <v>3499</v>
      </c>
      <c r="O429" s="4">
        <v>599</v>
      </c>
      <c r="P429" s="4">
        <v>2499</v>
      </c>
      <c r="Q429" t="s">
        <v>2368</v>
      </c>
      <c r="R429">
        <v>2018</v>
      </c>
    </row>
    <row r="430" spans="1:18" x14ac:dyDescent="0.25">
      <c r="A430" t="s">
        <v>733</v>
      </c>
      <c r="B430" t="s">
        <v>863</v>
      </c>
      <c r="C430" s="2">
        <v>155</v>
      </c>
      <c r="D430" t="s">
        <v>68</v>
      </c>
      <c r="E430" t="s">
        <v>585</v>
      </c>
      <c r="F430" t="s">
        <v>842</v>
      </c>
      <c r="G430" s="5" t="s">
        <v>848</v>
      </c>
      <c r="H430" t="s">
        <v>2437</v>
      </c>
      <c r="I430" s="6">
        <f t="shared" si="6"/>
        <v>65</v>
      </c>
      <c r="J430" s="2">
        <v>3300</v>
      </c>
      <c r="K430" s="2">
        <v>5.5</v>
      </c>
      <c r="L430" s="4">
        <v>94999</v>
      </c>
      <c r="M430" s="4">
        <v>36999</v>
      </c>
      <c r="N430" s="4">
        <v>3299</v>
      </c>
      <c r="O430" s="4">
        <v>599</v>
      </c>
      <c r="P430" s="4">
        <v>2399</v>
      </c>
      <c r="Q430" t="s">
        <v>2368</v>
      </c>
      <c r="R430">
        <v>2017</v>
      </c>
    </row>
    <row r="431" spans="1:18" x14ac:dyDescent="0.25">
      <c r="A431" t="s">
        <v>733</v>
      </c>
      <c r="B431" t="s">
        <v>868</v>
      </c>
      <c r="C431" s="2">
        <v>199</v>
      </c>
      <c r="D431" t="s">
        <v>375</v>
      </c>
      <c r="E431" t="s">
        <v>585</v>
      </c>
      <c r="F431" t="s">
        <v>476</v>
      </c>
      <c r="G431" s="5" t="s">
        <v>795</v>
      </c>
      <c r="H431" t="s">
        <v>2437</v>
      </c>
      <c r="I431" s="6">
        <f t="shared" si="6"/>
        <v>80</v>
      </c>
      <c r="J431" s="2">
        <v>4510</v>
      </c>
      <c r="K431" s="2">
        <v>6.78</v>
      </c>
      <c r="L431" s="4">
        <v>169999</v>
      </c>
      <c r="M431" s="4">
        <v>59999</v>
      </c>
      <c r="N431" s="4">
        <v>4999</v>
      </c>
      <c r="O431" s="4">
        <v>899</v>
      </c>
      <c r="P431" s="4">
        <v>3599</v>
      </c>
      <c r="Q431" t="s">
        <v>2368</v>
      </c>
      <c r="R431">
        <v>2020</v>
      </c>
    </row>
    <row r="432" spans="1:18" x14ac:dyDescent="0.25">
      <c r="A432" t="s">
        <v>733</v>
      </c>
      <c r="B432" t="s">
        <v>869</v>
      </c>
      <c r="C432" s="2">
        <v>188</v>
      </c>
      <c r="D432" t="s">
        <v>375</v>
      </c>
      <c r="E432" t="s">
        <v>585</v>
      </c>
      <c r="F432" t="s">
        <v>794</v>
      </c>
      <c r="G432" s="5" t="s">
        <v>795</v>
      </c>
      <c r="H432" t="s">
        <v>2437</v>
      </c>
      <c r="I432" s="6">
        <f t="shared" si="6"/>
        <v>80</v>
      </c>
      <c r="J432" s="2">
        <v>4500</v>
      </c>
      <c r="K432" s="2">
        <v>6.55</v>
      </c>
      <c r="L432" s="4">
        <v>169999</v>
      </c>
      <c r="M432" s="4">
        <v>58999</v>
      </c>
      <c r="N432" s="4">
        <v>4699</v>
      </c>
      <c r="O432" s="4">
        <v>799</v>
      </c>
      <c r="P432" s="4">
        <v>3299</v>
      </c>
      <c r="Q432" t="s">
        <v>2368</v>
      </c>
      <c r="R432">
        <v>2020</v>
      </c>
    </row>
    <row r="433" spans="1:18" x14ac:dyDescent="0.25">
      <c r="A433" t="s">
        <v>733</v>
      </c>
      <c r="B433" t="s">
        <v>871</v>
      </c>
      <c r="C433" s="2">
        <v>206</v>
      </c>
      <c r="D433" t="s">
        <v>375</v>
      </c>
      <c r="E433" t="s">
        <v>585</v>
      </c>
      <c r="F433" t="s">
        <v>476</v>
      </c>
      <c r="G433" s="5" t="s">
        <v>834</v>
      </c>
      <c r="H433" t="s">
        <v>2437</v>
      </c>
      <c r="I433" s="6">
        <f t="shared" si="6"/>
        <v>75</v>
      </c>
      <c r="J433" s="2">
        <v>4085</v>
      </c>
      <c r="K433" s="2">
        <v>6.67</v>
      </c>
      <c r="L433" s="4">
        <v>179999</v>
      </c>
      <c r="M433" s="4">
        <v>69999</v>
      </c>
      <c r="N433" s="4">
        <v>5299</v>
      </c>
      <c r="O433" s="4">
        <v>899</v>
      </c>
      <c r="P433" s="4">
        <v>3799</v>
      </c>
      <c r="Q433" t="s">
        <v>2368</v>
      </c>
      <c r="R433">
        <v>2019</v>
      </c>
    </row>
    <row r="434" spans="1:18" x14ac:dyDescent="0.25">
      <c r="A434" t="s">
        <v>733</v>
      </c>
      <c r="B434" t="s">
        <v>873</v>
      </c>
      <c r="C434" s="2">
        <v>210</v>
      </c>
      <c r="D434" t="s">
        <v>375</v>
      </c>
      <c r="E434" t="s">
        <v>461</v>
      </c>
      <c r="F434" t="s">
        <v>527</v>
      </c>
      <c r="G434" s="5" t="s">
        <v>737</v>
      </c>
      <c r="H434" t="s">
        <v>2437</v>
      </c>
      <c r="I434" s="6">
        <f t="shared" si="6"/>
        <v>100</v>
      </c>
      <c r="J434" s="2">
        <v>5000</v>
      </c>
      <c r="K434" s="2">
        <v>6.7</v>
      </c>
      <c r="L434" s="4">
        <v>229999</v>
      </c>
      <c r="M434" s="4">
        <v>74999</v>
      </c>
      <c r="N434" s="4">
        <v>6499</v>
      </c>
      <c r="O434" s="4">
        <v>849</v>
      </c>
      <c r="P434" s="4">
        <v>3699</v>
      </c>
      <c r="Q434" t="s">
        <v>2368</v>
      </c>
      <c r="R434">
        <v>2023</v>
      </c>
    </row>
    <row r="435" spans="1:18" x14ac:dyDescent="0.25">
      <c r="A435" t="s">
        <v>733</v>
      </c>
      <c r="B435" t="s">
        <v>875</v>
      </c>
      <c r="C435" s="2">
        <v>202</v>
      </c>
      <c r="D435" t="s">
        <v>68</v>
      </c>
      <c r="E435" t="s">
        <v>585</v>
      </c>
      <c r="F435" t="s">
        <v>816</v>
      </c>
      <c r="G435" s="5" t="s">
        <v>401</v>
      </c>
      <c r="H435" t="s">
        <v>2437</v>
      </c>
      <c r="I435" s="6">
        <f t="shared" si="6"/>
        <v>95</v>
      </c>
      <c r="J435" s="2">
        <v>4800</v>
      </c>
      <c r="K435" s="2">
        <v>6.55</v>
      </c>
      <c r="L435" s="4">
        <v>199999</v>
      </c>
      <c r="M435" s="4">
        <v>69999</v>
      </c>
      <c r="N435" s="4">
        <v>5999</v>
      </c>
      <c r="O435" s="4">
        <v>799</v>
      </c>
      <c r="P435" s="4">
        <v>3499</v>
      </c>
      <c r="Q435" t="s">
        <v>2368</v>
      </c>
      <c r="R435">
        <v>2023</v>
      </c>
    </row>
    <row r="436" spans="1:18" x14ac:dyDescent="0.25">
      <c r="A436" t="s">
        <v>733</v>
      </c>
      <c r="B436" t="s">
        <v>876</v>
      </c>
      <c r="C436" s="2">
        <v>215</v>
      </c>
      <c r="D436" t="s">
        <v>375</v>
      </c>
      <c r="E436" t="s">
        <v>461</v>
      </c>
      <c r="F436" t="s">
        <v>736</v>
      </c>
      <c r="G436" s="5" t="s">
        <v>401</v>
      </c>
      <c r="H436" t="s">
        <v>2437</v>
      </c>
      <c r="I436" s="6">
        <f t="shared" si="6"/>
        <v>95</v>
      </c>
      <c r="J436" s="2">
        <v>5000</v>
      </c>
      <c r="K436" s="2">
        <v>6.7</v>
      </c>
      <c r="L436" s="4">
        <v>219999</v>
      </c>
      <c r="M436" s="4">
        <v>74999</v>
      </c>
      <c r="N436" s="4">
        <v>6199</v>
      </c>
      <c r="O436" s="4">
        <v>899</v>
      </c>
      <c r="P436" s="4">
        <v>3799</v>
      </c>
      <c r="Q436" t="s">
        <v>2368</v>
      </c>
      <c r="R436">
        <v>2023</v>
      </c>
    </row>
    <row r="437" spans="1:18" x14ac:dyDescent="0.25">
      <c r="A437" t="s">
        <v>733</v>
      </c>
      <c r="B437" t="s">
        <v>878</v>
      </c>
      <c r="C437" s="2">
        <v>200</v>
      </c>
      <c r="D437" t="s">
        <v>375</v>
      </c>
      <c r="E437" t="s">
        <v>585</v>
      </c>
      <c r="F437" t="s">
        <v>527</v>
      </c>
      <c r="G437" s="5" t="s">
        <v>401</v>
      </c>
      <c r="H437" t="s">
        <v>2437</v>
      </c>
      <c r="I437" s="6">
        <f t="shared" si="6"/>
        <v>95</v>
      </c>
      <c r="J437" s="2">
        <v>5000</v>
      </c>
      <c r="K437" s="2">
        <v>6.7</v>
      </c>
      <c r="L437" s="4">
        <v>219999</v>
      </c>
      <c r="M437" s="4">
        <v>74999</v>
      </c>
      <c r="N437" s="4">
        <v>5899</v>
      </c>
      <c r="O437" s="4">
        <v>849</v>
      </c>
      <c r="P437" s="4">
        <v>3599</v>
      </c>
      <c r="Q437" t="s">
        <v>2368</v>
      </c>
      <c r="R437">
        <v>2023</v>
      </c>
    </row>
    <row r="438" spans="1:18" x14ac:dyDescent="0.25">
      <c r="A438" t="s">
        <v>733</v>
      </c>
      <c r="B438" t="s">
        <v>879</v>
      </c>
      <c r="C438" s="2">
        <v>550</v>
      </c>
      <c r="D438" t="s">
        <v>68</v>
      </c>
      <c r="E438" t="s">
        <v>307</v>
      </c>
      <c r="F438" t="s">
        <v>475</v>
      </c>
      <c r="G438" s="5" t="s">
        <v>2379</v>
      </c>
      <c r="H438" t="s">
        <v>2437</v>
      </c>
      <c r="I438" s="6">
        <f t="shared" si="6"/>
        <v>90</v>
      </c>
      <c r="J438" s="2">
        <v>9510</v>
      </c>
      <c r="K438" s="2">
        <v>11.61</v>
      </c>
      <c r="L438" s="4">
        <v>94999</v>
      </c>
      <c r="M438" s="4">
        <v>39999</v>
      </c>
      <c r="N438" s="4">
        <v>3999</v>
      </c>
      <c r="O438" s="4">
        <v>499</v>
      </c>
      <c r="P438" s="4">
        <v>1799</v>
      </c>
      <c r="Q438" t="s">
        <v>2369</v>
      </c>
      <c r="R438">
        <v>2023</v>
      </c>
    </row>
    <row r="439" spans="1:18" x14ac:dyDescent="0.25">
      <c r="A439" t="s">
        <v>733</v>
      </c>
      <c r="B439" t="s">
        <v>884</v>
      </c>
      <c r="C439" s="2">
        <v>550</v>
      </c>
      <c r="D439" t="s">
        <v>68</v>
      </c>
      <c r="E439" t="s">
        <v>307</v>
      </c>
      <c r="F439" t="s">
        <v>475</v>
      </c>
      <c r="G439" s="5" t="s">
        <v>2379</v>
      </c>
      <c r="H439" t="s">
        <v>2437</v>
      </c>
      <c r="I439" s="6">
        <f t="shared" si="6"/>
        <v>90</v>
      </c>
      <c r="J439" s="2">
        <v>9510</v>
      </c>
      <c r="K439" s="2">
        <v>11.61</v>
      </c>
      <c r="L439" s="4">
        <v>104999</v>
      </c>
      <c r="M439" s="4">
        <v>44999</v>
      </c>
      <c r="N439" s="4">
        <v>4499</v>
      </c>
      <c r="O439" s="4">
        <v>549</v>
      </c>
      <c r="P439" s="4">
        <v>1999</v>
      </c>
      <c r="Q439" t="s">
        <v>2369</v>
      </c>
      <c r="R439">
        <v>2024</v>
      </c>
    </row>
    <row r="440" spans="1:18" x14ac:dyDescent="0.25">
      <c r="A440" t="s">
        <v>733</v>
      </c>
      <c r="B440" t="s">
        <v>887</v>
      </c>
      <c r="C440" s="2">
        <v>610</v>
      </c>
      <c r="D440" t="s">
        <v>375</v>
      </c>
      <c r="E440" t="s">
        <v>585</v>
      </c>
      <c r="F440" t="s">
        <v>580</v>
      </c>
      <c r="G440" s="5" t="s">
        <v>737</v>
      </c>
      <c r="H440" t="s">
        <v>2437</v>
      </c>
      <c r="I440" s="6">
        <f t="shared" si="6"/>
        <v>100</v>
      </c>
      <c r="J440" s="2">
        <v>11000</v>
      </c>
      <c r="K440" s="2">
        <v>12.4</v>
      </c>
      <c r="L440" s="4">
        <v>169999</v>
      </c>
      <c r="M440" s="4">
        <v>69999</v>
      </c>
      <c r="N440" s="4">
        <v>5999</v>
      </c>
      <c r="O440" s="4">
        <v>799</v>
      </c>
      <c r="P440" s="4">
        <v>2599</v>
      </c>
      <c r="Q440" t="s">
        <v>2369</v>
      </c>
      <c r="R440">
        <v>2024</v>
      </c>
    </row>
    <row r="441" spans="1:18" x14ac:dyDescent="0.25">
      <c r="A441" t="s">
        <v>733</v>
      </c>
      <c r="B441" t="s">
        <v>747</v>
      </c>
      <c r="C441" s="2">
        <v>179</v>
      </c>
      <c r="D441" t="s">
        <v>68</v>
      </c>
      <c r="E441" t="s">
        <v>585</v>
      </c>
      <c r="F441" t="s">
        <v>497</v>
      </c>
      <c r="G441" s="5" t="s">
        <v>749</v>
      </c>
      <c r="H441" t="s">
        <v>2438</v>
      </c>
      <c r="I441" s="6">
        <f t="shared" si="6"/>
        <v>65</v>
      </c>
      <c r="J441" s="2">
        <v>5000</v>
      </c>
      <c r="K441" s="2">
        <v>6.72</v>
      </c>
      <c r="L441" s="4">
        <v>85000</v>
      </c>
      <c r="M441" s="4">
        <v>22999</v>
      </c>
      <c r="N441" s="4">
        <v>2799</v>
      </c>
      <c r="O441" s="4">
        <v>399</v>
      </c>
      <c r="P441" s="4">
        <v>1499</v>
      </c>
      <c r="Q441" t="s">
        <v>2368</v>
      </c>
      <c r="R441">
        <v>2023</v>
      </c>
    </row>
    <row r="442" spans="1:18" x14ac:dyDescent="0.25">
      <c r="A442" t="s">
        <v>733</v>
      </c>
      <c r="B442" t="s">
        <v>752</v>
      </c>
      <c r="C442" s="2">
        <v>195</v>
      </c>
      <c r="D442" t="s">
        <v>68</v>
      </c>
      <c r="E442" t="s">
        <v>585</v>
      </c>
      <c r="F442" t="s">
        <v>753</v>
      </c>
      <c r="G442" s="5" t="s">
        <v>680</v>
      </c>
      <c r="H442" t="s">
        <v>2438</v>
      </c>
      <c r="I442" s="6">
        <f t="shared" si="6"/>
        <v>40</v>
      </c>
      <c r="J442" s="2">
        <v>5000</v>
      </c>
      <c r="K442" s="2">
        <v>6.72</v>
      </c>
      <c r="L442" s="4">
        <v>59999</v>
      </c>
      <c r="M442" s="4">
        <v>17999</v>
      </c>
      <c r="N442" s="4">
        <v>2099</v>
      </c>
      <c r="O442" s="4">
        <v>299</v>
      </c>
      <c r="P442" s="4">
        <v>1199</v>
      </c>
      <c r="Q442" t="s">
        <v>2368</v>
      </c>
      <c r="R442">
        <v>2023</v>
      </c>
    </row>
    <row r="443" spans="1:18" x14ac:dyDescent="0.25">
      <c r="A443" t="s">
        <v>733</v>
      </c>
      <c r="B443" t="s">
        <v>779</v>
      </c>
      <c r="C443" s="2">
        <v>190</v>
      </c>
      <c r="D443" t="s">
        <v>68</v>
      </c>
      <c r="E443" t="s">
        <v>461</v>
      </c>
      <c r="F443" t="s">
        <v>527</v>
      </c>
      <c r="G443" s="5" t="s">
        <v>1233</v>
      </c>
      <c r="H443" t="s">
        <v>2438</v>
      </c>
      <c r="I443" s="6">
        <f t="shared" si="6"/>
        <v>40</v>
      </c>
      <c r="J443" s="2">
        <v>4500</v>
      </c>
      <c r="K443" s="2">
        <v>6.43</v>
      </c>
      <c r="L443" s="4">
        <v>69999</v>
      </c>
      <c r="M443" s="4">
        <v>28999</v>
      </c>
      <c r="N443" s="4">
        <v>2499</v>
      </c>
      <c r="O443" s="4">
        <v>399</v>
      </c>
      <c r="P443" s="4">
        <v>1699</v>
      </c>
      <c r="Q443" t="s">
        <v>2368</v>
      </c>
      <c r="R443">
        <v>2022</v>
      </c>
    </row>
    <row r="444" spans="1:18" x14ac:dyDescent="0.25">
      <c r="A444" t="s">
        <v>733</v>
      </c>
      <c r="B444" t="s">
        <v>782</v>
      </c>
      <c r="C444" s="2">
        <v>190</v>
      </c>
      <c r="D444" t="s">
        <v>68</v>
      </c>
      <c r="E444" t="s">
        <v>461</v>
      </c>
      <c r="F444" t="s">
        <v>527</v>
      </c>
      <c r="G444" s="5" t="s">
        <v>2405</v>
      </c>
      <c r="H444" t="s">
        <v>2438</v>
      </c>
      <c r="I444" s="6">
        <f t="shared" si="6"/>
        <v>40</v>
      </c>
      <c r="J444" s="2">
        <v>4500</v>
      </c>
      <c r="K444" s="2">
        <v>6.43</v>
      </c>
      <c r="L444" s="4">
        <v>59999</v>
      </c>
      <c r="M444" s="4">
        <v>27999</v>
      </c>
      <c r="N444" s="4">
        <v>2299</v>
      </c>
      <c r="O444" s="4">
        <v>349</v>
      </c>
      <c r="P444" s="4">
        <v>1499</v>
      </c>
      <c r="Q444" t="s">
        <v>2368</v>
      </c>
      <c r="R444">
        <v>2021</v>
      </c>
    </row>
    <row r="445" spans="1:18" x14ac:dyDescent="0.25">
      <c r="A445" t="s">
        <v>733</v>
      </c>
      <c r="B445" t="s">
        <v>811</v>
      </c>
      <c r="C445" s="2">
        <v>195</v>
      </c>
      <c r="D445" t="s">
        <v>18</v>
      </c>
      <c r="E445" t="s">
        <v>585</v>
      </c>
      <c r="F445" t="s">
        <v>755</v>
      </c>
      <c r="G445" s="5" t="s">
        <v>915</v>
      </c>
      <c r="H445" t="s">
        <v>2438</v>
      </c>
      <c r="I445" s="6">
        <f t="shared" si="6"/>
        <v>28</v>
      </c>
      <c r="J445" s="2">
        <v>5000</v>
      </c>
      <c r="K445" s="2">
        <v>6.59</v>
      </c>
      <c r="L445" s="4">
        <v>49999</v>
      </c>
      <c r="M445" s="4">
        <v>19999</v>
      </c>
      <c r="N445" s="4">
        <v>1799</v>
      </c>
      <c r="O445" s="4">
        <v>249</v>
      </c>
      <c r="P445" s="4">
        <v>999</v>
      </c>
      <c r="Q445" t="s">
        <v>2368</v>
      </c>
      <c r="R445">
        <v>2022</v>
      </c>
    </row>
    <row r="446" spans="1:18" x14ac:dyDescent="0.25">
      <c r="A446" t="s">
        <v>733</v>
      </c>
      <c r="B446" t="s">
        <v>814</v>
      </c>
      <c r="C446" s="2">
        <v>173</v>
      </c>
      <c r="D446" t="s">
        <v>68</v>
      </c>
      <c r="E446" t="s">
        <v>585</v>
      </c>
      <c r="F446" t="s">
        <v>816</v>
      </c>
      <c r="G446" s="5" t="s">
        <v>911</v>
      </c>
      <c r="H446" t="s">
        <v>2438</v>
      </c>
      <c r="I446" s="6">
        <f t="shared" si="6"/>
        <v>38</v>
      </c>
      <c r="J446" s="2">
        <v>4500</v>
      </c>
      <c r="K446" s="2">
        <v>6.43</v>
      </c>
      <c r="L446" s="4">
        <v>64999</v>
      </c>
      <c r="M446" s="4">
        <v>23999</v>
      </c>
      <c r="N446" s="4">
        <v>2499</v>
      </c>
      <c r="O446" s="4">
        <v>299</v>
      </c>
      <c r="P446" s="4">
        <v>1299</v>
      </c>
      <c r="Q446" t="s">
        <v>2368</v>
      </c>
      <c r="R446">
        <v>2022</v>
      </c>
    </row>
    <row r="447" spans="1:18" x14ac:dyDescent="0.25">
      <c r="A447" t="s">
        <v>733</v>
      </c>
      <c r="B447" t="s">
        <v>819</v>
      </c>
      <c r="C447" s="2">
        <v>184</v>
      </c>
      <c r="D447" t="s">
        <v>18</v>
      </c>
      <c r="E447" t="s">
        <v>585</v>
      </c>
      <c r="F447" t="s">
        <v>803</v>
      </c>
      <c r="G447" s="5" t="s">
        <v>821</v>
      </c>
      <c r="H447" t="s">
        <v>2438</v>
      </c>
      <c r="I447" s="6">
        <f t="shared" si="6"/>
        <v>52</v>
      </c>
      <c r="J447" s="2">
        <v>4115</v>
      </c>
      <c r="K447" s="2">
        <v>6.44</v>
      </c>
      <c r="L447" s="4">
        <v>49999</v>
      </c>
      <c r="M447" s="4">
        <v>22999</v>
      </c>
      <c r="N447" s="4">
        <v>2099</v>
      </c>
      <c r="O447" s="4">
        <v>349</v>
      </c>
      <c r="P447" s="4">
        <v>1499</v>
      </c>
      <c r="Q447" t="s">
        <v>2368</v>
      </c>
      <c r="R447">
        <v>2020</v>
      </c>
    </row>
    <row r="448" spans="1:18" x14ac:dyDescent="0.25">
      <c r="A448" t="s">
        <v>733</v>
      </c>
      <c r="B448" t="s">
        <v>824</v>
      </c>
      <c r="C448" s="2">
        <v>170</v>
      </c>
      <c r="D448" t="s">
        <v>18</v>
      </c>
      <c r="E448" t="s">
        <v>585</v>
      </c>
      <c r="F448" t="s">
        <v>816</v>
      </c>
      <c r="G448" s="5" t="s">
        <v>826</v>
      </c>
      <c r="H448" t="s">
        <v>2438</v>
      </c>
      <c r="I448" s="6">
        <f t="shared" si="6"/>
        <v>50</v>
      </c>
      <c r="J448" s="2">
        <v>4500</v>
      </c>
      <c r="K448" s="2">
        <v>6.43</v>
      </c>
      <c r="L448" s="4">
        <v>54999</v>
      </c>
      <c r="M448" s="4">
        <v>24999</v>
      </c>
      <c r="N448" s="4">
        <v>2499</v>
      </c>
      <c r="O448" s="4">
        <v>299</v>
      </c>
      <c r="P448" s="4">
        <v>1499</v>
      </c>
      <c r="Q448" t="s">
        <v>2368</v>
      </c>
      <c r="R448">
        <v>2021</v>
      </c>
    </row>
    <row r="449" spans="1:18" x14ac:dyDescent="0.25">
      <c r="A449" t="s">
        <v>733</v>
      </c>
      <c r="B449" t="s">
        <v>828</v>
      </c>
      <c r="C449" s="2">
        <v>189</v>
      </c>
      <c r="D449" t="s">
        <v>68</v>
      </c>
      <c r="E449" t="s">
        <v>461</v>
      </c>
      <c r="F449" t="s">
        <v>527</v>
      </c>
      <c r="G449" s="5" t="s">
        <v>2405</v>
      </c>
      <c r="H449" t="s">
        <v>2438</v>
      </c>
      <c r="I449" s="6">
        <f t="shared" si="6"/>
        <v>40</v>
      </c>
      <c r="J449" s="2">
        <v>4500</v>
      </c>
      <c r="K449" s="2">
        <v>6.43</v>
      </c>
      <c r="L449" s="4">
        <v>69999</v>
      </c>
      <c r="M449" s="4">
        <v>27999</v>
      </c>
      <c r="N449" s="4">
        <v>2499</v>
      </c>
      <c r="O449" s="4">
        <v>399</v>
      </c>
      <c r="P449" s="4">
        <v>1699</v>
      </c>
      <c r="Q449" t="s">
        <v>2368</v>
      </c>
      <c r="R449">
        <v>2021</v>
      </c>
    </row>
    <row r="450" spans="1:18" x14ac:dyDescent="0.25">
      <c r="A450" t="s">
        <v>733</v>
      </c>
      <c r="B450" t="s">
        <v>830</v>
      </c>
      <c r="C450" s="2">
        <v>190</v>
      </c>
      <c r="D450" t="s">
        <v>18</v>
      </c>
      <c r="E450" t="s">
        <v>585</v>
      </c>
      <c r="F450" t="s">
        <v>816</v>
      </c>
      <c r="G450" s="5" t="s">
        <v>2406</v>
      </c>
      <c r="H450" t="s">
        <v>2438</v>
      </c>
      <c r="I450" s="6">
        <f t="shared" ref="I450:I513" si="7">_xlfn.XLOOKUP(G450, $T$2:$T$183,$U$2:$U$183,"Unknown",0)</f>
        <v>38</v>
      </c>
      <c r="J450" s="2">
        <v>4300</v>
      </c>
      <c r="K450" s="2">
        <v>6.49</v>
      </c>
      <c r="L450" s="4">
        <v>49999</v>
      </c>
      <c r="M450" s="4">
        <v>19999</v>
      </c>
      <c r="N450" s="4">
        <v>1799</v>
      </c>
      <c r="O450" s="4">
        <v>299</v>
      </c>
      <c r="P450" s="4">
        <v>1099</v>
      </c>
      <c r="Q450" t="s">
        <v>2368</v>
      </c>
      <c r="R450">
        <v>2020</v>
      </c>
    </row>
    <row r="451" spans="1:18" x14ac:dyDescent="0.25">
      <c r="A451" t="s">
        <v>733</v>
      </c>
      <c r="B451" t="s">
        <v>853</v>
      </c>
      <c r="C451" s="2">
        <v>205</v>
      </c>
      <c r="D451" t="s">
        <v>68</v>
      </c>
      <c r="E451" t="s">
        <v>585</v>
      </c>
      <c r="F451" t="s">
        <v>854</v>
      </c>
      <c r="G451" s="5" t="s">
        <v>1229</v>
      </c>
      <c r="H451" t="s">
        <v>2438</v>
      </c>
      <c r="I451" s="6">
        <f t="shared" si="7"/>
        <v>65</v>
      </c>
      <c r="J451" s="2">
        <v>4500</v>
      </c>
      <c r="K451" s="2">
        <v>6.7</v>
      </c>
      <c r="L451" s="4">
        <v>169999</v>
      </c>
      <c r="M451" s="4">
        <v>49999</v>
      </c>
      <c r="N451" s="4">
        <v>3899</v>
      </c>
      <c r="O451" s="4">
        <v>599</v>
      </c>
      <c r="P451" s="4">
        <v>2499</v>
      </c>
      <c r="Q451" t="s">
        <v>2368</v>
      </c>
      <c r="R451">
        <v>2022</v>
      </c>
    </row>
    <row r="452" spans="1:18" x14ac:dyDescent="0.25">
      <c r="A452" t="s">
        <v>733</v>
      </c>
      <c r="B452" t="s">
        <v>867</v>
      </c>
      <c r="C452" s="2">
        <v>190</v>
      </c>
      <c r="D452" t="s">
        <v>68</v>
      </c>
      <c r="E452" t="s">
        <v>461</v>
      </c>
      <c r="F452" t="s">
        <v>816</v>
      </c>
      <c r="G452" s="5" t="s">
        <v>821</v>
      </c>
      <c r="H452" t="s">
        <v>2438</v>
      </c>
      <c r="I452" s="6">
        <f t="shared" si="7"/>
        <v>52</v>
      </c>
      <c r="J452" s="2">
        <v>4000</v>
      </c>
      <c r="K452" s="2">
        <v>6.44</v>
      </c>
      <c r="L452" s="4">
        <v>69999</v>
      </c>
      <c r="M452" s="4">
        <v>24999</v>
      </c>
      <c r="N452" s="4">
        <v>2499</v>
      </c>
      <c r="O452" s="4">
        <v>299</v>
      </c>
      <c r="P452" s="4">
        <v>1299</v>
      </c>
      <c r="Q452" t="s">
        <v>2368</v>
      </c>
      <c r="R452">
        <v>2020</v>
      </c>
    </row>
    <row r="453" spans="1:18" x14ac:dyDescent="0.25">
      <c r="A453" t="s">
        <v>1118</v>
      </c>
      <c r="B453" t="s">
        <v>1132</v>
      </c>
      <c r="C453" s="2">
        <v>192</v>
      </c>
      <c r="D453" t="s">
        <v>68</v>
      </c>
      <c r="E453" t="s">
        <v>461</v>
      </c>
      <c r="F453" t="s">
        <v>1133</v>
      </c>
      <c r="G453" s="5" t="s">
        <v>2407</v>
      </c>
      <c r="H453" t="s">
        <v>2439</v>
      </c>
      <c r="I453" s="6">
        <f t="shared" si="7"/>
        <v>25</v>
      </c>
      <c r="J453" s="2">
        <v>5800</v>
      </c>
      <c r="K453" s="2">
        <v>6.67</v>
      </c>
      <c r="L453" s="4">
        <v>79999</v>
      </c>
      <c r="M453" s="4">
        <v>44999</v>
      </c>
      <c r="N453" s="4">
        <v>3499</v>
      </c>
      <c r="O453" s="4">
        <v>499</v>
      </c>
      <c r="P453" s="4">
        <v>1899</v>
      </c>
      <c r="Q453" t="s">
        <v>2368</v>
      </c>
      <c r="R453">
        <v>2025</v>
      </c>
    </row>
    <row r="454" spans="1:18" x14ac:dyDescent="0.25">
      <c r="A454" t="s">
        <v>1118</v>
      </c>
      <c r="B454" t="s">
        <v>1136</v>
      </c>
      <c r="C454" s="2">
        <v>192</v>
      </c>
      <c r="D454" t="s">
        <v>68</v>
      </c>
      <c r="E454" t="s">
        <v>461</v>
      </c>
      <c r="F454" t="s">
        <v>1133</v>
      </c>
      <c r="G454" s="5" t="s">
        <v>2407</v>
      </c>
      <c r="H454" t="s">
        <v>2439</v>
      </c>
      <c r="I454" s="6">
        <f t="shared" si="7"/>
        <v>25</v>
      </c>
      <c r="J454" s="2">
        <v>5800</v>
      </c>
      <c r="K454" s="2">
        <v>6.67</v>
      </c>
      <c r="L454" s="4">
        <v>79999</v>
      </c>
      <c r="M454" s="4">
        <v>44999</v>
      </c>
      <c r="N454" s="4">
        <v>3499</v>
      </c>
      <c r="O454" s="4">
        <v>499</v>
      </c>
      <c r="P454" s="4">
        <v>1899</v>
      </c>
      <c r="Q454" t="s">
        <v>2368</v>
      </c>
      <c r="R454">
        <v>2025</v>
      </c>
    </row>
    <row r="455" spans="1:18" x14ac:dyDescent="0.25">
      <c r="A455" t="s">
        <v>1118</v>
      </c>
      <c r="B455" t="s">
        <v>1158</v>
      </c>
      <c r="C455" s="2">
        <v>186</v>
      </c>
      <c r="D455" t="s">
        <v>68</v>
      </c>
      <c r="E455" t="s">
        <v>307</v>
      </c>
      <c r="F455" t="s">
        <v>497</v>
      </c>
      <c r="G455" s="5" t="s">
        <v>1159</v>
      </c>
      <c r="H455" t="s">
        <v>2439</v>
      </c>
      <c r="I455" s="6">
        <f t="shared" si="7"/>
        <v>15</v>
      </c>
      <c r="J455" s="2">
        <v>5100</v>
      </c>
      <c r="K455" s="2">
        <v>6.67</v>
      </c>
      <c r="L455" s="4">
        <v>79999</v>
      </c>
      <c r="M455" s="4">
        <v>44999</v>
      </c>
      <c r="N455" s="4">
        <v>3499</v>
      </c>
      <c r="O455" s="4">
        <v>499</v>
      </c>
      <c r="P455" s="4">
        <v>1899</v>
      </c>
      <c r="Q455" t="s">
        <v>2368</v>
      </c>
      <c r="R455">
        <v>2024</v>
      </c>
    </row>
    <row r="456" spans="1:18" x14ac:dyDescent="0.25">
      <c r="A456" t="s">
        <v>1118</v>
      </c>
      <c r="B456" t="s">
        <v>1160</v>
      </c>
      <c r="C456" s="2">
        <v>186</v>
      </c>
      <c r="D456" t="s">
        <v>162</v>
      </c>
      <c r="E456" t="s">
        <v>508</v>
      </c>
      <c r="F456" t="s">
        <v>580</v>
      </c>
      <c r="G456" s="5" t="s">
        <v>1161</v>
      </c>
      <c r="H456" t="s">
        <v>2439</v>
      </c>
      <c r="I456" s="6">
        <f t="shared" si="7"/>
        <v>26</v>
      </c>
      <c r="J456" s="2">
        <v>5000</v>
      </c>
      <c r="K456" s="2">
        <v>6.7</v>
      </c>
      <c r="L456" s="4">
        <v>59999</v>
      </c>
      <c r="M456" s="4">
        <v>34999</v>
      </c>
      <c r="N456" s="4">
        <v>2999</v>
      </c>
      <c r="O456" s="4">
        <v>399</v>
      </c>
      <c r="P456" s="4">
        <v>1499</v>
      </c>
      <c r="Q456" t="s">
        <v>2368</v>
      </c>
      <c r="R456">
        <v>2024</v>
      </c>
    </row>
    <row r="457" spans="1:18" x14ac:dyDescent="0.25">
      <c r="A457" t="s">
        <v>1118</v>
      </c>
      <c r="B457" t="s">
        <v>1162</v>
      </c>
      <c r="C457" s="2">
        <v>186</v>
      </c>
      <c r="D457" t="s">
        <v>162</v>
      </c>
      <c r="E457" t="s">
        <v>307</v>
      </c>
      <c r="F457" t="s">
        <v>1163</v>
      </c>
      <c r="G457" s="5" t="s">
        <v>1161</v>
      </c>
      <c r="H457" t="s">
        <v>2439</v>
      </c>
      <c r="I457" s="6">
        <f t="shared" si="7"/>
        <v>26</v>
      </c>
      <c r="J457" s="2">
        <v>5100</v>
      </c>
      <c r="K457" s="2">
        <v>6.67</v>
      </c>
      <c r="L457" s="4">
        <v>64999</v>
      </c>
      <c r="M457" s="4">
        <v>36999</v>
      </c>
      <c r="N457" s="4">
        <v>3199</v>
      </c>
      <c r="O457" s="4">
        <v>449</v>
      </c>
      <c r="P457" s="4">
        <v>1699</v>
      </c>
      <c r="Q457" t="s">
        <v>2368</v>
      </c>
      <c r="R457">
        <v>2024</v>
      </c>
    </row>
    <row r="458" spans="1:18" x14ac:dyDescent="0.25">
      <c r="A458" t="s">
        <v>1118</v>
      </c>
      <c r="B458" t="s">
        <v>1164</v>
      </c>
      <c r="C458" s="2">
        <v>186</v>
      </c>
      <c r="D458" t="s">
        <v>18</v>
      </c>
      <c r="E458" t="s">
        <v>307</v>
      </c>
      <c r="F458" t="s">
        <v>1163</v>
      </c>
      <c r="G458" s="5" t="s">
        <v>1161</v>
      </c>
      <c r="H458" t="s">
        <v>2439</v>
      </c>
      <c r="I458" s="6">
        <f t="shared" si="7"/>
        <v>26</v>
      </c>
      <c r="J458" s="2">
        <v>5100</v>
      </c>
      <c r="K458" s="2">
        <v>6.67</v>
      </c>
      <c r="L458" s="4">
        <v>69999</v>
      </c>
      <c r="M458" s="4">
        <v>39999</v>
      </c>
      <c r="N458" s="4">
        <v>3499</v>
      </c>
      <c r="O458" s="4">
        <v>499</v>
      </c>
      <c r="P458" s="4">
        <v>1899</v>
      </c>
      <c r="Q458" t="s">
        <v>2368</v>
      </c>
      <c r="R458">
        <v>2024</v>
      </c>
    </row>
    <row r="459" spans="1:18" x14ac:dyDescent="0.25">
      <c r="A459" t="s">
        <v>1118</v>
      </c>
      <c r="B459" t="s">
        <v>1165</v>
      </c>
      <c r="C459" s="2">
        <v>186</v>
      </c>
      <c r="D459" t="s">
        <v>162</v>
      </c>
      <c r="E459" t="s">
        <v>508</v>
      </c>
      <c r="F459" t="s">
        <v>580</v>
      </c>
      <c r="G459" s="5" t="s">
        <v>1161</v>
      </c>
      <c r="H459" t="s">
        <v>2439</v>
      </c>
      <c r="I459" s="6">
        <f t="shared" si="7"/>
        <v>26</v>
      </c>
      <c r="J459" s="2">
        <v>5000</v>
      </c>
      <c r="K459" s="2">
        <v>6.7</v>
      </c>
      <c r="L459" s="4">
        <v>59999</v>
      </c>
      <c r="M459" s="4">
        <v>34999</v>
      </c>
      <c r="N459" s="4">
        <v>2999</v>
      </c>
      <c r="O459" s="4">
        <v>399</v>
      </c>
      <c r="P459" s="4">
        <v>1499</v>
      </c>
      <c r="Q459" t="s">
        <v>2368</v>
      </c>
      <c r="R459">
        <v>2024</v>
      </c>
    </row>
    <row r="460" spans="1:18" x14ac:dyDescent="0.25">
      <c r="A460" t="s">
        <v>1118</v>
      </c>
      <c r="B460" t="s">
        <v>1166</v>
      </c>
      <c r="C460" s="2">
        <v>186</v>
      </c>
      <c r="D460" t="s">
        <v>162</v>
      </c>
      <c r="E460" t="s">
        <v>307</v>
      </c>
      <c r="F460" t="s">
        <v>1163</v>
      </c>
      <c r="G460" s="5" t="s">
        <v>1161</v>
      </c>
      <c r="H460" t="s">
        <v>2439</v>
      </c>
      <c r="I460" s="6">
        <f t="shared" si="7"/>
        <v>26</v>
      </c>
      <c r="J460" s="2">
        <v>5100</v>
      </c>
      <c r="K460" s="2">
        <v>6.67</v>
      </c>
      <c r="L460" s="4">
        <v>64999</v>
      </c>
      <c r="M460" s="4">
        <v>36999</v>
      </c>
      <c r="N460" s="4">
        <v>3199</v>
      </c>
      <c r="O460" s="4">
        <v>449</v>
      </c>
      <c r="P460" s="4">
        <v>1699</v>
      </c>
      <c r="Q460" t="s">
        <v>2368</v>
      </c>
      <c r="R460">
        <v>2024</v>
      </c>
    </row>
    <row r="461" spans="1:18" x14ac:dyDescent="0.25">
      <c r="A461" t="s">
        <v>1118</v>
      </c>
      <c r="B461" t="s">
        <v>1167</v>
      </c>
      <c r="C461" s="2">
        <v>186</v>
      </c>
      <c r="D461" t="s">
        <v>18</v>
      </c>
      <c r="E461" t="s">
        <v>307</v>
      </c>
      <c r="F461" t="s">
        <v>1163</v>
      </c>
      <c r="G461" s="5" t="s">
        <v>1161</v>
      </c>
      <c r="H461" t="s">
        <v>2439</v>
      </c>
      <c r="I461" s="6">
        <f t="shared" si="7"/>
        <v>26</v>
      </c>
      <c r="J461" s="2">
        <v>5100</v>
      </c>
      <c r="K461" s="2">
        <v>6.67</v>
      </c>
      <c r="L461" s="4">
        <v>69999</v>
      </c>
      <c r="M461" s="4">
        <v>39999</v>
      </c>
      <c r="N461" s="4">
        <v>3499</v>
      </c>
      <c r="O461" s="4">
        <v>499</v>
      </c>
      <c r="P461" s="4">
        <v>1899</v>
      </c>
      <c r="Q461" t="s">
        <v>2368</v>
      </c>
      <c r="R461">
        <v>2024</v>
      </c>
    </row>
    <row r="462" spans="1:18" x14ac:dyDescent="0.25">
      <c r="A462" t="s">
        <v>1118</v>
      </c>
      <c r="B462" t="s">
        <v>1165</v>
      </c>
      <c r="C462" s="2">
        <v>186</v>
      </c>
      <c r="D462" t="s">
        <v>162</v>
      </c>
      <c r="E462" t="s">
        <v>508</v>
      </c>
      <c r="F462" t="s">
        <v>580</v>
      </c>
      <c r="G462" s="5" t="s">
        <v>1161</v>
      </c>
      <c r="H462" t="s">
        <v>2439</v>
      </c>
      <c r="I462" s="6">
        <f t="shared" si="7"/>
        <v>26</v>
      </c>
      <c r="J462" s="2">
        <v>5000</v>
      </c>
      <c r="K462" s="2">
        <v>6.7</v>
      </c>
      <c r="L462" s="4">
        <v>59999</v>
      </c>
      <c r="M462" s="4">
        <v>34999</v>
      </c>
      <c r="N462" s="4">
        <v>2999</v>
      </c>
      <c r="O462" s="4">
        <v>399</v>
      </c>
      <c r="P462" s="4">
        <v>1499</v>
      </c>
      <c r="Q462" t="s">
        <v>2368</v>
      </c>
      <c r="R462">
        <v>2024</v>
      </c>
    </row>
    <row r="463" spans="1:18" x14ac:dyDescent="0.25">
      <c r="A463" t="s">
        <v>1118</v>
      </c>
      <c r="B463" t="s">
        <v>1269</v>
      </c>
      <c r="C463" s="2">
        <v>186</v>
      </c>
      <c r="D463" t="s">
        <v>18</v>
      </c>
      <c r="E463" t="s">
        <v>307</v>
      </c>
      <c r="F463" t="s">
        <v>535</v>
      </c>
      <c r="G463" s="5" t="s">
        <v>2381</v>
      </c>
      <c r="H463" t="s">
        <v>2439</v>
      </c>
      <c r="I463" s="6">
        <f t="shared" si="7"/>
        <v>20</v>
      </c>
      <c r="J463" s="2">
        <v>5000</v>
      </c>
      <c r="K463" s="2">
        <v>6.56</v>
      </c>
      <c r="L463" s="4">
        <v>39999</v>
      </c>
      <c r="M463" s="4">
        <v>14999</v>
      </c>
      <c r="N463" s="4">
        <v>1699</v>
      </c>
      <c r="O463" s="4">
        <v>199</v>
      </c>
      <c r="P463" s="4">
        <v>1000</v>
      </c>
      <c r="Q463" t="s">
        <v>2368</v>
      </c>
      <c r="R463">
        <v>2023</v>
      </c>
    </row>
    <row r="464" spans="1:18" x14ac:dyDescent="0.25">
      <c r="A464" t="s">
        <v>1118</v>
      </c>
      <c r="B464" t="s">
        <v>1271</v>
      </c>
      <c r="C464" s="2">
        <v>186</v>
      </c>
      <c r="D464" t="s">
        <v>68</v>
      </c>
      <c r="E464" t="s">
        <v>307</v>
      </c>
      <c r="F464" t="s">
        <v>535</v>
      </c>
      <c r="G464" s="5" t="s">
        <v>2381</v>
      </c>
      <c r="H464" t="s">
        <v>2439</v>
      </c>
      <c r="I464" s="6">
        <f t="shared" si="7"/>
        <v>20</v>
      </c>
      <c r="J464" s="2">
        <v>5000</v>
      </c>
      <c r="K464" s="2">
        <v>6.56</v>
      </c>
      <c r="L464" s="4">
        <v>44999</v>
      </c>
      <c r="M464" s="4">
        <v>16999</v>
      </c>
      <c r="N464" s="4">
        <v>1899</v>
      </c>
      <c r="O464" s="4">
        <v>229</v>
      </c>
      <c r="P464" s="4">
        <v>1200</v>
      </c>
      <c r="Q464" t="s">
        <v>2368</v>
      </c>
      <c r="R464">
        <v>2023</v>
      </c>
    </row>
    <row r="465" spans="1:18" x14ac:dyDescent="0.25">
      <c r="A465" t="s">
        <v>1118</v>
      </c>
      <c r="B465" t="s">
        <v>1273</v>
      </c>
      <c r="C465" s="2">
        <v>188</v>
      </c>
      <c r="D465" t="s">
        <v>68</v>
      </c>
      <c r="E465" t="s">
        <v>307</v>
      </c>
      <c r="F465" t="s">
        <v>497</v>
      </c>
      <c r="G465" s="5" t="s">
        <v>2373</v>
      </c>
      <c r="H465" t="s">
        <v>2439</v>
      </c>
      <c r="I465" s="6">
        <f t="shared" si="7"/>
        <v>18</v>
      </c>
      <c r="J465" s="2">
        <v>5000</v>
      </c>
      <c r="K465" s="2">
        <v>6.56</v>
      </c>
      <c r="L465" s="4">
        <v>49999</v>
      </c>
      <c r="M465" s="4">
        <v>19000</v>
      </c>
      <c r="N465" s="4">
        <v>1699</v>
      </c>
      <c r="O465" s="4">
        <v>249</v>
      </c>
      <c r="P465" s="4">
        <v>1300</v>
      </c>
      <c r="Q465" t="s">
        <v>2368</v>
      </c>
      <c r="R465">
        <v>2022</v>
      </c>
    </row>
    <row r="466" spans="1:18" x14ac:dyDescent="0.25">
      <c r="A466" t="s">
        <v>1118</v>
      </c>
      <c r="B466" t="s">
        <v>1279</v>
      </c>
      <c r="C466" s="2">
        <v>189</v>
      </c>
      <c r="D466" t="s">
        <v>18</v>
      </c>
      <c r="E466" t="s">
        <v>307</v>
      </c>
      <c r="F466" t="s">
        <v>535</v>
      </c>
      <c r="G466" s="5" t="s">
        <v>2373</v>
      </c>
      <c r="H466" t="s">
        <v>2439</v>
      </c>
      <c r="I466" s="6">
        <f t="shared" si="7"/>
        <v>18</v>
      </c>
      <c r="J466" s="2">
        <v>5000</v>
      </c>
      <c r="K466" s="2">
        <v>6.5</v>
      </c>
      <c r="L466" s="4">
        <v>32999</v>
      </c>
      <c r="M466" s="4">
        <v>14999</v>
      </c>
      <c r="N466" s="4">
        <v>1499</v>
      </c>
      <c r="O466" s="4">
        <v>199</v>
      </c>
      <c r="P466" s="4">
        <v>1000</v>
      </c>
      <c r="Q466" t="s">
        <v>2368</v>
      </c>
      <c r="R466">
        <v>2021</v>
      </c>
    </row>
    <row r="467" spans="1:18" x14ac:dyDescent="0.25">
      <c r="A467" t="s">
        <v>1118</v>
      </c>
      <c r="B467" t="s">
        <v>1281</v>
      </c>
      <c r="C467" s="2">
        <v>186</v>
      </c>
      <c r="D467" t="s">
        <v>18</v>
      </c>
      <c r="E467" t="s">
        <v>307</v>
      </c>
      <c r="F467" t="s">
        <v>1282</v>
      </c>
      <c r="G467" s="5" t="s">
        <v>2373</v>
      </c>
      <c r="H467" t="s">
        <v>2439</v>
      </c>
      <c r="I467" s="6">
        <f t="shared" si="7"/>
        <v>18</v>
      </c>
      <c r="J467" s="2">
        <v>5000</v>
      </c>
      <c r="K467" s="2">
        <v>6.5</v>
      </c>
      <c r="L467" s="4">
        <v>29999</v>
      </c>
      <c r="M467" s="4">
        <v>13999</v>
      </c>
      <c r="N467" s="4">
        <v>1399</v>
      </c>
      <c r="O467" s="4">
        <v>189</v>
      </c>
      <c r="P467" s="4">
        <v>950</v>
      </c>
      <c r="Q467" t="s">
        <v>2368</v>
      </c>
      <c r="R467">
        <v>2021</v>
      </c>
    </row>
    <row r="468" spans="1:18" x14ac:dyDescent="0.25">
      <c r="A468" t="s">
        <v>1118</v>
      </c>
      <c r="B468" t="s">
        <v>1285</v>
      </c>
      <c r="C468" s="2">
        <v>190</v>
      </c>
      <c r="D468" t="s">
        <v>18</v>
      </c>
      <c r="E468" t="s">
        <v>585</v>
      </c>
      <c r="F468" t="s">
        <v>1258</v>
      </c>
      <c r="G468" s="5" t="s">
        <v>785</v>
      </c>
      <c r="H468" t="s">
        <v>2439</v>
      </c>
      <c r="I468" s="6">
        <f t="shared" si="7"/>
        <v>20</v>
      </c>
      <c r="J468" s="2">
        <v>5000</v>
      </c>
      <c r="K468" s="2">
        <v>6.5</v>
      </c>
      <c r="L468" s="4">
        <v>34999</v>
      </c>
      <c r="M468" s="4">
        <v>15999</v>
      </c>
      <c r="N468" s="4">
        <v>1599</v>
      </c>
      <c r="O468" s="4">
        <v>219</v>
      </c>
      <c r="P468" s="4">
        <v>1100</v>
      </c>
      <c r="Q468" t="s">
        <v>2368</v>
      </c>
      <c r="R468">
        <v>2021</v>
      </c>
    </row>
    <row r="469" spans="1:18" x14ac:dyDescent="0.25">
      <c r="A469" t="s">
        <v>1118</v>
      </c>
      <c r="B469" t="s">
        <v>1287</v>
      </c>
      <c r="C469" s="2">
        <v>175</v>
      </c>
      <c r="D469" t="s">
        <v>162</v>
      </c>
      <c r="E469" t="s">
        <v>307</v>
      </c>
      <c r="F469" t="s">
        <v>1288</v>
      </c>
      <c r="G469" s="5" t="s">
        <v>2408</v>
      </c>
      <c r="H469" t="s">
        <v>2439</v>
      </c>
      <c r="I469" s="6">
        <f t="shared" si="7"/>
        <v>19</v>
      </c>
      <c r="J469" s="2">
        <v>4040</v>
      </c>
      <c r="K469" s="2">
        <v>6.5</v>
      </c>
      <c r="L469" s="4">
        <v>27999</v>
      </c>
      <c r="M469" s="4">
        <v>12999</v>
      </c>
      <c r="N469" s="4">
        <v>1299</v>
      </c>
      <c r="O469" s="4">
        <v>179</v>
      </c>
      <c r="P469" s="4">
        <v>900</v>
      </c>
      <c r="Q469" t="s">
        <v>2368</v>
      </c>
      <c r="R469">
        <v>2020</v>
      </c>
    </row>
    <row r="470" spans="1:18" x14ac:dyDescent="0.25">
      <c r="A470" t="s">
        <v>1118</v>
      </c>
      <c r="B470" t="s">
        <v>1292</v>
      </c>
      <c r="C470" s="2">
        <v>184</v>
      </c>
      <c r="D470" t="s">
        <v>162</v>
      </c>
      <c r="E470" t="s">
        <v>307</v>
      </c>
      <c r="F470" t="s">
        <v>1293</v>
      </c>
      <c r="G470" s="5" t="s">
        <v>2408</v>
      </c>
      <c r="H470" t="s">
        <v>2439</v>
      </c>
      <c r="I470" s="6">
        <f t="shared" si="7"/>
        <v>19</v>
      </c>
      <c r="J470" s="2">
        <v>4000</v>
      </c>
      <c r="K470" s="2">
        <v>6.5</v>
      </c>
      <c r="L470" s="4">
        <v>25999</v>
      </c>
      <c r="M470" s="4">
        <v>11999</v>
      </c>
      <c r="N470" s="4">
        <v>1199</v>
      </c>
      <c r="O470" s="4">
        <v>169</v>
      </c>
      <c r="P470" s="4">
        <v>850</v>
      </c>
      <c r="Q470" t="s">
        <v>2368</v>
      </c>
      <c r="R470">
        <v>2020</v>
      </c>
    </row>
    <row r="471" spans="1:18" x14ac:dyDescent="0.25">
      <c r="A471" t="s">
        <v>1118</v>
      </c>
      <c r="B471" t="s">
        <v>1296</v>
      </c>
      <c r="C471" s="2">
        <v>186</v>
      </c>
      <c r="D471" t="s">
        <v>162</v>
      </c>
      <c r="E471" t="s">
        <v>307</v>
      </c>
      <c r="F471" t="s">
        <v>1282</v>
      </c>
      <c r="G471" s="5" t="s">
        <v>2373</v>
      </c>
      <c r="H471" t="s">
        <v>2439</v>
      </c>
      <c r="I471" s="6">
        <f t="shared" si="7"/>
        <v>18</v>
      </c>
      <c r="J471" s="2">
        <v>4000</v>
      </c>
      <c r="K471" s="2">
        <v>6.5</v>
      </c>
      <c r="L471" s="4">
        <v>23999</v>
      </c>
      <c r="M471" s="4">
        <v>10999</v>
      </c>
      <c r="N471" s="4">
        <v>1099</v>
      </c>
      <c r="O471" s="4">
        <v>149</v>
      </c>
      <c r="P471" s="4">
        <v>800</v>
      </c>
      <c r="Q471" t="s">
        <v>2368</v>
      </c>
      <c r="R471">
        <v>2020</v>
      </c>
    </row>
    <row r="472" spans="1:18" x14ac:dyDescent="0.25">
      <c r="A472" t="s">
        <v>1118</v>
      </c>
      <c r="B472" t="s">
        <v>1299</v>
      </c>
      <c r="C472" s="2">
        <v>185</v>
      </c>
      <c r="D472" t="s">
        <v>162</v>
      </c>
      <c r="E472" t="s">
        <v>307</v>
      </c>
      <c r="F472" t="s">
        <v>535</v>
      </c>
      <c r="G472" s="5" t="s">
        <v>2373</v>
      </c>
      <c r="H472" t="s">
        <v>2439</v>
      </c>
      <c r="I472" s="6">
        <f t="shared" si="7"/>
        <v>18</v>
      </c>
      <c r="J472" s="2">
        <v>4000</v>
      </c>
      <c r="K472" s="2">
        <v>6.5</v>
      </c>
      <c r="L472" s="4">
        <v>21999</v>
      </c>
      <c r="M472" s="4">
        <v>9999</v>
      </c>
      <c r="N472" s="4">
        <v>999</v>
      </c>
      <c r="O472" s="4">
        <v>139</v>
      </c>
      <c r="P472" s="4">
        <v>750</v>
      </c>
      <c r="Q472" t="s">
        <v>2368</v>
      </c>
      <c r="R472">
        <v>2020</v>
      </c>
    </row>
    <row r="473" spans="1:18" x14ac:dyDescent="0.25">
      <c r="A473" t="s">
        <v>1118</v>
      </c>
      <c r="B473" t="s">
        <v>1302</v>
      </c>
      <c r="C473" s="2">
        <v>185</v>
      </c>
      <c r="D473" t="s">
        <v>162</v>
      </c>
      <c r="E473" t="s">
        <v>307</v>
      </c>
      <c r="F473" t="s">
        <v>535</v>
      </c>
      <c r="G473" s="5" t="s">
        <v>2373</v>
      </c>
      <c r="H473" t="s">
        <v>2439</v>
      </c>
      <c r="I473" s="6">
        <f t="shared" si="7"/>
        <v>18</v>
      </c>
      <c r="J473" s="2">
        <v>4000</v>
      </c>
      <c r="K473" s="2">
        <v>6.5</v>
      </c>
      <c r="L473" s="4">
        <v>19999</v>
      </c>
      <c r="M473" s="4">
        <v>8999</v>
      </c>
      <c r="N473" s="4">
        <v>899</v>
      </c>
      <c r="O473" s="4">
        <v>129</v>
      </c>
      <c r="P473" s="4">
        <v>700</v>
      </c>
      <c r="Q473" t="s">
        <v>2368</v>
      </c>
      <c r="R473">
        <v>2020</v>
      </c>
    </row>
    <row r="474" spans="1:18" x14ac:dyDescent="0.25">
      <c r="A474" t="s">
        <v>1118</v>
      </c>
      <c r="B474" t="s">
        <v>1305</v>
      </c>
      <c r="C474" s="2">
        <v>186</v>
      </c>
      <c r="D474" t="s">
        <v>162</v>
      </c>
      <c r="E474" t="s">
        <v>508</v>
      </c>
      <c r="F474" t="s">
        <v>580</v>
      </c>
      <c r="G474" s="5" t="s">
        <v>2409</v>
      </c>
      <c r="H474" t="s">
        <v>2439</v>
      </c>
      <c r="I474" s="6">
        <f t="shared" si="7"/>
        <v>25</v>
      </c>
      <c r="J474" s="2">
        <v>5100</v>
      </c>
      <c r="K474" s="2">
        <v>6.67</v>
      </c>
      <c r="L474" s="4">
        <v>39999</v>
      </c>
      <c r="M474" s="4">
        <v>19999</v>
      </c>
      <c r="N474" s="4">
        <v>1499</v>
      </c>
      <c r="O474" s="4">
        <v>199</v>
      </c>
      <c r="P474" s="4">
        <v>1000</v>
      </c>
      <c r="Q474" t="s">
        <v>2368</v>
      </c>
      <c r="R474">
        <v>2024</v>
      </c>
    </row>
    <row r="475" spans="1:18" x14ac:dyDescent="0.25">
      <c r="A475" t="s">
        <v>1118</v>
      </c>
      <c r="B475" t="s">
        <v>1308</v>
      </c>
      <c r="C475" s="2">
        <v>186</v>
      </c>
      <c r="D475" t="s">
        <v>18</v>
      </c>
      <c r="E475" t="s">
        <v>508</v>
      </c>
      <c r="F475" t="s">
        <v>580</v>
      </c>
      <c r="G475" s="5" t="s">
        <v>2409</v>
      </c>
      <c r="H475" t="s">
        <v>2439</v>
      </c>
      <c r="I475" s="6">
        <f t="shared" si="7"/>
        <v>25</v>
      </c>
      <c r="J475" s="2">
        <v>5100</v>
      </c>
      <c r="K475" s="2">
        <v>6.67</v>
      </c>
      <c r="L475" s="4">
        <v>44999</v>
      </c>
      <c r="M475" s="4">
        <v>22999</v>
      </c>
      <c r="N475" s="4">
        <v>1799</v>
      </c>
      <c r="O475" s="4">
        <v>229</v>
      </c>
      <c r="P475" s="4">
        <v>1200</v>
      </c>
      <c r="Q475" t="s">
        <v>2368</v>
      </c>
      <c r="R475">
        <v>2024</v>
      </c>
    </row>
    <row r="476" spans="1:18" x14ac:dyDescent="0.25">
      <c r="A476" t="s">
        <v>1118</v>
      </c>
      <c r="B476" t="s">
        <v>1330</v>
      </c>
      <c r="C476" s="2">
        <v>194</v>
      </c>
      <c r="D476" t="s">
        <v>18</v>
      </c>
      <c r="E476" t="s">
        <v>585</v>
      </c>
      <c r="F476" t="s">
        <v>1258</v>
      </c>
      <c r="G476" s="5" t="s">
        <v>2408</v>
      </c>
      <c r="H476" t="s">
        <v>2439</v>
      </c>
      <c r="I476" s="6">
        <f t="shared" si="7"/>
        <v>19</v>
      </c>
      <c r="J476" s="2">
        <v>5000</v>
      </c>
      <c r="K476" s="2">
        <v>6.5</v>
      </c>
      <c r="L476" s="4">
        <v>44999</v>
      </c>
      <c r="M476" s="4">
        <v>14999</v>
      </c>
      <c r="N476" s="4">
        <v>1499</v>
      </c>
      <c r="O476" s="4">
        <v>199</v>
      </c>
      <c r="P476" s="4">
        <v>1000</v>
      </c>
      <c r="Q476" t="s">
        <v>2368</v>
      </c>
      <c r="R476">
        <v>2020</v>
      </c>
    </row>
    <row r="477" spans="1:18" x14ac:dyDescent="0.25">
      <c r="A477" t="s">
        <v>1118</v>
      </c>
      <c r="B477" t="s">
        <v>1330</v>
      </c>
      <c r="C477" s="2">
        <v>194</v>
      </c>
      <c r="D477" t="s">
        <v>18</v>
      </c>
      <c r="E477" t="s">
        <v>585</v>
      </c>
      <c r="F477" t="s">
        <v>1258</v>
      </c>
      <c r="G477" s="5" t="s">
        <v>2408</v>
      </c>
      <c r="H477" t="s">
        <v>2439</v>
      </c>
      <c r="I477" s="6">
        <f t="shared" si="7"/>
        <v>19</v>
      </c>
      <c r="J477" s="2">
        <v>5000</v>
      </c>
      <c r="K477" s="2">
        <v>6.5</v>
      </c>
      <c r="L477" s="4">
        <v>44999</v>
      </c>
      <c r="M477" s="4">
        <v>14999</v>
      </c>
      <c r="N477" s="4">
        <v>1499</v>
      </c>
      <c r="O477" s="4">
        <v>199</v>
      </c>
      <c r="P477" s="4">
        <v>1000</v>
      </c>
      <c r="Q477" t="s">
        <v>2368</v>
      </c>
      <c r="R477">
        <v>2020</v>
      </c>
    </row>
    <row r="478" spans="1:18" x14ac:dyDescent="0.25">
      <c r="A478" t="s">
        <v>1118</v>
      </c>
      <c r="B478" t="s">
        <v>1119</v>
      </c>
      <c r="C478" s="2">
        <v>239</v>
      </c>
      <c r="D478" t="s">
        <v>375</v>
      </c>
      <c r="E478" t="s">
        <v>461</v>
      </c>
      <c r="F478" t="s">
        <v>1121</v>
      </c>
      <c r="G478" s="5" t="s">
        <v>401</v>
      </c>
      <c r="H478" t="s">
        <v>2437</v>
      </c>
      <c r="I478" s="6">
        <f t="shared" si="7"/>
        <v>95</v>
      </c>
      <c r="J478" s="2">
        <v>4805</v>
      </c>
      <c r="K478" s="2">
        <v>7.82</v>
      </c>
      <c r="L478" s="4">
        <v>299999</v>
      </c>
      <c r="M478" s="4">
        <v>159999</v>
      </c>
      <c r="N478" s="4">
        <v>9999</v>
      </c>
      <c r="O478" s="4">
        <v>1399</v>
      </c>
      <c r="P478" s="4">
        <v>5199</v>
      </c>
      <c r="Q478" t="s">
        <v>2368</v>
      </c>
      <c r="R478">
        <v>2023</v>
      </c>
    </row>
    <row r="479" spans="1:18" x14ac:dyDescent="0.25">
      <c r="A479" t="s">
        <v>1118</v>
      </c>
      <c r="B479" t="s">
        <v>1126</v>
      </c>
      <c r="C479" s="2">
        <v>198</v>
      </c>
      <c r="D479" t="s">
        <v>375</v>
      </c>
      <c r="E479" t="s">
        <v>461</v>
      </c>
      <c r="F479" t="s">
        <v>1127</v>
      </c>
      <c r="G479" s="5" t="s">
        <v>1203</v>
      </c>
      <c r="H479" t="s">
        <v>2437</v>
      </c>
      <c r="I479" s="6">
        <f t="shared" si="7"/>
        <v>95</v>
      </c>
      <c r="J479" s="2">
        <v>4300</v>
      </c>
      <c r="K479" s="2">
        <v>6.8</v>
      </c>
      <c r="L479" s="4">
        <v>199999</v>
      </c>
      <c r="M479" s="4">
        <v>109999</v>
      </c>
      <c r="N479" s="4">
        <v>6999</v>
      </c>
      <c r="O479" s="4">
        <v>999</v>
      </c>
      <c r="P479" s="4">
        <v>3699</v>
      </c>
      <c r="Q479" t="s">
        <v>2368</v>
      </c>
      <c r="R479">
        <v>2023</v>
      </c>
    </row>
    <row r="480" spans="1:18" x14ac:dyDescent="0.25">
      <c r="A480" t="s">
        <v>1118</v>
      </c>
      <c r="B480" t="s">
        <v>1128</v>
      </c>
      <c r="C480" s="2">
        <v>210</v>
      </c>
      <c r="D480" t="s">
        <v>375</v>
      </c>
      <c r="E480" t="s">
        <v>461</v>
      </c>
      <c r="F480" t="s">
        <v>1129</v>
      </c>
      <c r="G480" s="5" t="s">
        <v>401</v>
      </c>
      <c r="H480" t="s">
        <v>2437</v>
      </c>
      <c r="I480" s="6">
        <f t="shared" si="7"/>
        <v>95</v>
      </c>
      <c r="J480" s="2">
        <v>5000</v>
      </c>
      <c r="K480" s="2">
        <v>6.8</v>
      </c>
      <c r="L480" s="4">
        <v>249999</v>
      </c>
      <c r="M480" s="4">
        <v>139999</v>
      </c>
      <c r="N480" s="4">
        <v>8999</v>
      </c>
      <c r="O480" s="4">
        <v>1299</v>
      </c>
      <c r="P480" s="4">
        <v>4799</v>
      </c>
      <c r="Q480" t="s">
        <v>2368</v>
      </c>
      <c r="R480">
        <v>2024</v>
      </c>
    </row>
    <row r="481" spans="1:18" x14ac:dyDescent="0.25">
      <c r="A481" t="s">
        <v>1118</v>
      </c>
      <c r="B481" t="s">
        <v>1130</v>
      </c>
      <c r="C481" s="2">
        <v>195</v>
      </c>
      <c r="D481" t="s">
        <v>68</v>
      </c>
      <c r="E481" t="s">
        <v>461</v>
      </c>
      <c r="F481" t="s">
        <v>1131</v>
      </c>
      <c r="G481" s="5" t="s">
        <v>401</v>
      </c>
      <c r="H481" t="s">
        <v>2437</v>
      </c>
      <c r="I481" s="6">
        <f t="shared" si="7"/>
        <v>95</v>
      </c>
      <c r="J481" s="2">
        <v>4800</v>
      </c>
      <c r="K481" s="2">
        <v>6.7</v>
      </c>
      <c r="L481" s="4">
        <v>199999</v>
      </c>
      <c r="M481" s="4">
        <v>119999</v>
      </c>
      <c r="N481" s="4">
        <v>7499</v>
      </c>
      <c r="O481" s="4">
        <v>1099</v>
      </c>
      <c r="P481" s="4">
        <v>4099</v>
      </c>
      <c r="Q481" t="s">
        <v>2368</v>
      </c>
      <c r="R481">
        <v>2024</v>
      </c>
    </row>
    <row r="482" spans="1:18" x14ac:dyDescent="0.25">
      <c r="A482" t="s">
        <v>1118</v>
      </c>
      <c r="B482" t="s">
        <v>1107</v>
      </c>
      <c r="C482" s="2">
        <v>586</v>
      </c>
      <c r="D482" t="s">
        <v>375</v>
      </c>
      <c r="E482" t="s">
        <v>307</v>
      </c>
      <c r="F482" t="s">
        <v>475</v>
      </c>
      <c r="G482" s="5" t="s">
        <v>737</v>
      </c>
      <c r="H482" t="s">
        <v>2437</v>
      </c>
      <c r="I482" s="6">
        <f t="shared" si="7"/>
        <v>100</v>
      </c>
      <c r="J482" s="2">
        <v>9510</v>
      </c>
      <c r="K482" s="2">
        <v>12.1</v>
      </c>
      <c r="L482" s="4">
        <v>119999</v>
      </c>
      <c r="M482" s="4">
        <v>64999</v>
      </c>
      <c r="N482" s="4">
        <v>5499</v>
      </c>
      <c r="O482" s="4">
        <v>899</v>
      </c>
      <c r="P482" s="4">
        <v>3299</v>
      </c>
      <c r="Q482" t="s">
        <v>2369</v>
      </c>
      <c r="R482">
        <v>2024</v>
      </c>
    </row>
    <row r="483" spans="1:18" x14ac:dyDescent="0.25">
      <c r="A483" t="s">
        <v>1118</v>
      </c>
      <c r="B483" t="s">
        <v>1187</v>
      </c>
      <c r="C483" s="2">
        <v>586</v>
      </c>
      <c r="D483" t="s">
        <v>759</v>
      </c>
      <c r="E483" t="s">
        <v>307</v>
      </c>
      <c r="F483" t="s">
        <v>475</v>
      </c>
      <c r="G483" s="5" t="s">
        <v>737</v>
      </c>
      <c r="H483" t="s">
        <v>2437</v>
      </c>
      <c r="I483" s="6">
        <f t="shared" si="7"/>
        <v>100</v>
      </c>
      <c r="J483" s="2">
        <v>9510</v>
      </c>
      <c r="K483" s="2">
        <v>12.1</v>
      </c>
      <c r="L483" s="4">
        <v>129999</v>
      </c>
      <c r="M483" s="4">
        <v>69999</v>
      </c>
      <c r="N483" s="4">
        <v>5999</v>
      </c>
      <c r="O483" s="4">
        <v>999</v>
      </c>
      <c r="P483" s="4">
        <v>3699</v>
      </c>
      <c r="Q483" t="s">
        <v>2369</v>
      </c>
      <c r="R483">
        <v>2024</v>
      </c>
    </row>
    <row r="484" spans="1:18" x14ac:dyDescent="0.25">
      <c r="A484" t="s">
        <v>1118</v>
      </c>
      <c r="B484" t="s">
        <v>1188</v>
      </c>
      <c r="C484" s="2">
        <v>520</v>
      </c>
      <c r="D484" t="s">
        <v>18</v>
      </c>
      <c r="E484" t="s">
        <v>307</v>
      </c>
      <c r="F484" t="s">
        <v>475</v>
      </c>
      <c r="G484" s="5" t="s">
        <v>804</v>
      </c>
      <c r="H484" t="s">
        <v>2437</v>
      </c>
      <c r="I484" s="6">
        <f t="shared" si="7"/>
        <v>82</v>
      </c>
      <c r="J484" s="2">
        <v>8360</v>
      </c>
      <c r="K484" s="2">
        <v>11</v>
      </c>
      <c r="L484" s="4">
        <v>79999</v>
      </c>
      <c r="M484" s="4">
        <v>44999</v>
      </c>
      <c r="N484" s="4">
        <v>3499</v>
      </c>
      <c r="O484" s="4">
        <v>499</v>
      </c>
      <c r="P484" s="4">
        <v>1899</v>
      </c>
      <c r="Q484" t="s">
        <v>2369</v>
      </c>
      <c r="R484">
        <v>2023</v>
      </c>
    </row>
    <row r="485" spans="1:18" x14ac:dyDescent="0.25">
      <c r="A485" t="s">
        <v>1118</v>
      </c>
      <c r="B485" t="s">
        <v>1190</v>
      </c>
      <c r="C485" s="2">
        <v>520</v>
      </c>
      <c r="D485" t="s">
        <v>68</v>
      </c>
      <c r="E485" t="s">
        <v>307</v>
      </c>
      <c r="F485" t="s">
        <v>475</v>
      </c>
      <c r="G485" s="5" t="s">
        <v>804</v>
      </c>
      <c r="H485" t="s">
        <v>2437</v>
      </c>
      <c r="I485" s="6">
        <f t="shared" si="7"/>
        <v>82</v>
      </c>
      <c r="J485" s="2">
        <v>8360</v>
      </c>
      <c r="K485" s="2">
        <v>11</v>
      </c>
      <c r="L485" s="4">
        <v>89999</v>
      </c>
      <c r="M485" s="4">
        <v>49999</v>
      </c>
      <c r="N485" s="4">
        <v>3999</v>
      </c>
      <c r="O485" s="4">
        <v>599</v>
      </c>
      <c r="P485" s="4">
        <v>2199</v>
      </c>
      <c r="Q485" t="s">
        <v>2369</v>
      </c>
      <c r="R485">
        <v>2023</v>
      </c>
    </row>
    <row r="486" spans="1:18" x14ac:dyDescent="0.25">
      <c r="A486" t="s">
        <v>1118</v>
      </c>
      <c r="B486" t="s">
        <v>1191</v>
      </c>
      <c r="C486" s="2">
        <v>221</v>
      </c>
      <c r="D486" t="s">
        <v>375</v>
      </c>
      <c r="E486" t="s">
        <v>461</v>
      </c>
      <c r="F486" t="s">
        <v>1129</v>
      </c>
      <c r="G486" s="5" t="s">
        <v>737</v>
      </c>
      <c r="H486" t="s">
        <v>2437</v>
      </c>
      <c r="I486" s="6">
        <f t="shared" si="7"/>
        <v>100</v>
      </c>
      <c r="J486" s="2">
        <v>5000</v>
      </c>
      <c r="K486" s="2">
        <v>6.82</v>
      </c>
      <c r="L486" s="4">
        <v>199999</v>
      </c>
      <c r="M486" s="4">
        <v>109999</v>
      </c>
      <c r="N486" s="4">
        <v>7999</v>
      </c>
      <c r="O486" s="4">
        <v>1199</v>
      </c>
      <c r="P486" s="4">
        <v>4399</v>
      </c>
      <c r="Q486" t="s">
        <v>2368</v>
      </c>
      <c r="R486">
        <v>2024</v>
      </c>
    </row>
    <row r="487" spans="1:18" x14ac:dyDescent="0.25">
      <c r="A487" t="s">
        <v>1118</v>
      </c>
      <c r="B487" t="s">
        <v>1193</v>
      </c>
      <c r="C487" s="2">
        <v>221</v>
      </c>
      <c r="D487" t="s">
        <v>759</v>
      </c>
      <c r="E487" t="s">
        <v>461</v>
      </c>
      <c r="F487" t="s">
        <v>1129</v>
      </c>
      <c r="G487" s="5" t="s">
        <v>737</v>
      </c>
      <c r="H487" t="s">
        <v>2437</v>
      </c>
      <c r="I487" s="6">
        <f t="shared" si="7"/>
        <v>100</v>
      </c>
      <c r="J487" s="2">
        <v>5000</v>
      </c>
      <c r="K487" s="2">
        <v>6.82</v>
      </c>
      <c r="L487" s="4">
        <v>219999</v>
      </c>
      <c r="M487" s="4">
        <v>119999</v>
      </c>
      <c r="N487" s="4">
        <v>8999</v>
      </c>
      <c r="O487" s="4">
        <v>1299</v>
      </c>
      <c r="P487" s="4">
        <v>4799</v>
      </c>
      <c r="Q487" t="s">
        <v>2368</v>
      </c>
      <c r="R487">
        <v>2024</v>
      </c>
    </row>
    <row r="488" spans="1:18" x14ac:dyDescent="0.25">
      <c r="A488" t="s">
        <v>1118</v>
      </c>
      <c r="B488" t="s">
        <v>1194</v>
      </c>
      <c r="C488" s="2">
        <v>206</v>
      </c>
      <c r="D488" t="s">
        <v>375</v>
      </c>
      <c r="E488" t="s">
        <v>461</v>
      </c>
      <c r="F488" t="s">
        <v>1195</v>
      </c>
      <c r="G488" s="5" t="s">
        <v>1196</v>
      </c>
      <c r="H488" t="s">
        <v>2437</v>
      </c>
      <c r="I488" s="6">
        <f t="shared" si="7"/>
        <v>100</v>
      </c>
      <c r="J488" s="2">
        <v>5000</v>
      </c>
      <c r="K488" s="2">
        <v>6.78</v>
      </c>
      <c r="L488" s="4">
        <v>179999</v>
      </c>
      <c r="M488" s="4">
        <v>99999</v>
      </c>
      <c r="N488" s="4">
        <v>6999</v>
      </c>
      <c r="O488" s="4">
        <v>1099</v>
      </c>
      <c r="P488" s="4">
        <v>3999</v>
      </c>
      <c r="Q488" t="s">
        <v>2368</v>
      </c>
      <c r="R488">
        <v>2024</v>
      </c>
    </row>
    <row r="489" spans="1:18" x14ac:dyDescent="0.25">
      <c r="A489" t="s">
        <v>1118</v>
      </c>
      <c r="B489" t="s">
        <v>1197</v>
      </c>
      <c r="C489" s="2">
        <v>206</v>
      </c>
      <c r="D489" t="s">
        <v>759</v>
      </c>
      <c r="E489" t="s">
        <v>461</v>
      </c>
      <c r="F489" t="s">
        <v>1195</v>
      </c>
      <c r="G489" s="5" t="s">
        <v>1196</v>
      </c>
      <c r="H489" t="s">
        <v>2437</v>
      </c>
      <c r="I489" s="6">
        <f t="shared" si="7"/>
        <v>100</v>
      </c>
      <c r="J489" s="2">
        <v>5000</v>
      </c>
      <c r="K489" s="2">
        <v>6.78</v>
      </c>
      <c r="L489" s="4">
        <v>199999</v>
      </c>
      <c r="M489" s="4">
        <v>109999</v>
      </c>
      <c r="N489" s="4">
        <v>7999</v>
      </c>
      <c r="O489" s="4">
        <v>1199</v>
      </c>
      <c r="P489" s="4">
        <v>4399</v>
      </c>
      <c r="Q489" t="s">
        <v>2368</v>
      </c>
      <c r="R489">
        <v>2024</v>
      </c>
    </row>
    <row r="490" spans="1:18" x14ac:dyDescent="0.25">
      <c r="A490" t="s">
        <v>1118</v>
      </c>
      <c r="B490" t="s">
        <v>1198</v>
      </c>
      <c r="C490" s="2">
        <v>218</v>
      </c>
      <c r="D490" t="s">
        <v>375</v>
      </c>
      <c r="E490" t="s">
        <v>461</v>
      </c>
      <c r="F490" t="s">
        <v>1129</v>
      </c>
      <c r="G490" s="5" t="s">
        <v>401</v>
      </c>
      <c r="H490" t="s">
        <v>2437</v>
      </c>
      <c r="I490" s="6">
        <f t="shared" si="7"/>
        <v>95</v>
      </c>
      <c r="J490" s="2">
        <v>5000</v>
      </c>
      <c r="K490" s="2">
        <v>6.82</v>
      </c>
      <c r="L490" s="4">
        <v>169999</v>
      </c>
      <c r="M490" s="4">
        <v>94999</v>
      </c>
      <c r="N490" s="4">
        <v>6499</v>
      </c>
      <c r="O490" s="4">
        <v>999</v>
      </c>
      <c r="P490" s="4">
        <v>3699</v>
      </c>
      <c r="Q490" t="s">
        <v>2368</v>
      </c>
      <c r="R490">
        <v>2023</v>
      </c>
    </row>
    <row r="491" spans="1:18" x14ac:dyDescent="0.25">
      <c r="A491" t="s">
        <v>1118</v>
      </c>
      <c r="B491" t="s">
        <v>1200</v>
      </c>
      <c r="C491" s="2">
        <v>218</v>
      </c>
      <c r="D491" t="s">
        <v>759</v>
      </c>
      <c r="E491" t="s">
        <v>461</v>
      </c>
      <c r="F491" t="s">
        <v>1129</v>
      </c>
      <c r="G491" s="5" t="s">
        <v>401</v>
      </c>
      <c r="H491" t="s">
        <v>2437</v>
      </c>
      <c r="I491" s="6">
        <f t="shared" si="7"/>
        <v>95</v>
      </c>
      <c r="J491" s="2">
        <v>5000</v>
      </c>
      <c r="K491" s="2">
        <v>6.82</v>
      </c>
      <c r="L491" s="4">
        <v>189999</v>
      </c>
      <c r="M491" s="4">
        <v>104999</v>
      </c>
      <c r="N491" s="4">
        <v>7499</v>
      </c>
      <c r="O491" s="4">
        <v>1099</v>
      </c>
      <c r="P491" s="4">
        <v>4099</v>
      </c>
      <c r="Q491" t="s">
        <v>2368</v>
      </c>
      <c r="R491">
        <v>2023</v>
      </c>
    </row>
    <row r="492" spans="1:18" x14ac:dyDescent="0.25">
      <c r="A492" t="s">
        <v>1118</v>
      </c>
      <c r="B492" t="s">
        <v>1201</v>
      </c>
      <c r="C492" s="2">
        <v>207</v>
      </c>
      <c r="D492" t="s">
        <v>375</v>
      </c>
      <c r="E492" t="s">
        <v>461</v>
      </c>
      <c r="F492" t="s">
        <v>1129</v>
      </c>
      <c r="G492" s="5" t="s">
        <v>1203</v>
      </c>
      <c r="H492" t="s">
        <v>2437</v>
      </c>
      <c r="I492" s="6">
        <f t="shared" si="7"/>
        <v>95</v>
      </c>
      <c r="J492" s="2">
        <v>4800</v>
      </c>
      <c r="K492" s="2">
        <v>6.74</v>
      </c>
      <c r="L492" s="4">
        <v>149999</v>
      </c>
      <c r="M492" s="4">
        <v>84999</v>
      </c>
      <c r="N492" s="4">
        <v>5999</v>
      </c>
      <c r="O492" s="4">
        <v>899</v>
      </c>
      <c r="P492" s="4">
        <v>3299</v>
      </c>
      <c r="Q492" t="s">
        <v>2368</v>
      </c>
      <c r="R492">
        <v>2023</v>
      </c>
    </row>
    <row r="493" spans="1:18" x14ac:dyDescent="0.25">
      <c r="A493" t="s">
        <v>1118</v>
      </c>
      <c r="B493" t="s">
        <v>1204</v>
      </c>
      <c r="C493" s="2">
        <v>207</v>
      </c>
      <c r="D493" t="s">
        <v>759</v>
      </c>
      <c r="E493" t="s">
        <v>461</v>
      </c>
      <c r="F493" t="s">
        <v>1129</v>
      </c>
      <c r="G493" s="5" t="s">
        <v>1203</v>
      </c>
      <c r="H493" t="s">
        <v>2437</v>
      </c>
      <c r="I493" s="6">
        <f t="shared" si="7"/>
        <v>95</v>
      </c>
      <c r="J493" s="2">
        <v>4800</v>
      </c>
      <c r="K493" s="2">
        <v>6.74</v>
      </c>
      <c r="L493" s="4">
        <v>169999</v>
      </c>
      <c r="M493" s="4">
        <v>94999</v>
      </c>
      <c r="N493" s="4">
        <v>6999</v>
      </c>
      <c r="O493" s="4">
        <v>999</v>
      </c>
      <c r="P493" s="4">
        <v>3699</v>
      </c>
      <c r="Q493" t="s">
        <v>2368</v>
      </c>
      <c r="R493">
        <v>2023</v>
      </c>
    </row>
    <row r="494" spans="1:18" x14ac:dyDescent="0.25">
      <c r="A494" t="s">
        <v>1118</v>
      </c>
      <c r="B494" t="s">
        <v>1205</v>
      </c>
      <c r="C494" s="2">
        <v>218</v>
      </c>
      <c r="D494" t="s">
        <v>375</v>
      </c>
      <c r="E494" t="s">
        <v>461</v>
      </c>
      <c r="F494" t="s">
        <v>1206</v>
      </c>
      <c r="G494" s="5" t="s">
        <v>451</v>
      </c>
      <c r="H494" t="s">
        <v>2437</v>
      </c>
      <c r="I494" s="6">
        <f t="shared" si="7"/>
        <v>90</v>
      </c>
      <c r="J494" s="2">
        <v>5000</v>
      </c>
      <c r="K494" s="2">
        <v>6.7</v>
      </c>
      <c r="L494" s="4">
        <v>159999</v>
      </c>
      <c r="M494" s="4">
        <v>89999</v>
      </c>
      <c r="N494" s="4">
        <v>5999</v>
      </c>
      <c r="O494" s="4">
        <v>899</v>
      </c>
      <c r="P494" s="4">
        <v>3299</v>
      </c>
      <c r="Q494" t="s">
        <v>2368</v>
      </c>
      <c r="R494">
        <v>2022</v>
      </c>
    </row>
    <row r="495" spans="1:18" x14ac:dyDescent="0.25">
      <c r="A495" t="s">
        <v>1118</v>
      </c>
      <c r="B495" t="s">
        <v>1207</v>
      </c>
      <c r="C495" s="2">
        <v>218</v>
      </c>
      <c r="D495" t="s">
        <v>759</v>
      </c>
      <c r="E495" t="s">
        <v>461</v>
      </c>
      <c r="F495" t="s">
        <v>1206</v>
      </c>
      <c r="G495" s="5" t="s">
        <v>451</v>
      </c>
      <c r="H495" t="s">
        <v>2437</v>
      </c>
      <c r="I495" s="6">
        <f t="shared" si="7"/>
        <v>90</v>
      </c>
      <c r="J495" s="2">
        <v>5000</v>
      </c>
      <c r="K495" s="2">
        <v>6.7</v>
      </c>
      <c r="L495" s="4">
        <v>179999</v>
      </c>
      <c r="M495" s="4">
        <v>99999</v>
      </c>
      <c r="N495" s="4">
        <v>6999</v>
      </c>
      <c r="O495" s="4">
        <v>999</v>
      </c>
      <c r="P495" s="4">
        <v>3699</v>
      </c>
      <c r="Q495" t="s">
        <v>2368</v>
      </c>
      <c r="R495">
        <v>2022</v>
      </c>
    </row>
    <row r="496" spans="1:18" x14ac:dyDescent="0.25">
      <c r="A496" t="s">
        <v>1118</v>
      </c>
      <c r="B496" t="s">
        <v>1208</v>
      </c>
      <c r="C496" s="2">
        <v>196</v>
      </c>
      <c r="D496" t="s">
        <v>68</v>
      </c>
      <c r="E496" t="s">
        <v>461</v>
      </c>
      <c r="F496" t="s">
        <v>1206</v>
      </c>
      <c r="G496" s="5" t="s">
        <v>639</v>
      </c>
      <c r="H496" t="s">
        <v>2437</v>
      </c>
      <c r="I496" s="6">
        <f t="shared" si="7"/>
        <v>85</v>
      </c>
      <c r="J496" s="2">
        <v>4800</v>
      </c>
      <c r="K496" s="2">
        <v>6.55</v>
      </c>
      <c r="L496" s="4">
        <v>139999</v>
      </c>
      <c r="M496" s="4">
        <v>79999</v>
      </c>
      <c r="N496" s="4">
        <v>4999</v>
      </c>
      <c r="O496" s="4">
        <v>799</v>
      </c>
      <c r="P496" s="4">
        <v>2999</v>
      </c>
      <c r="Q496" t="s">
        <v>2368</v>
      </c>
      <c r="R496">
        <v>2022</v>
      </c>
    </row>
    <row r="497" spans="1:18" x14ac:dyDescent="0.25">
      <c r="A497" t="s">
        <v>1118</v>
      </c>
      <c r="B497" t="s">
        <v>1209</v>
      </c>
      <c r="C497" s="2">
        <v>191</v>
      </c>
      <c r="D497" t="s">
        <v>68</v>
      </c>
      <c r="E497" t="s">
        <v>461</v>
      </c>
      <c r="F497" t="s">
        <v>527</v>
      </c>
      <c r="G497" s="5" t="s">
        <v>1210</v>
      </c>
      <c r="H497" t="s">
        <v>2437</v>
      </c>
      <c r="I497" s="6">
        <f t="shared" si="7"/>
        <v>92</v>
      </c>
      <c r="J497" s="2">
        <v>4300</v>
      </c>
      <c r="K497" s="2">
        <v>6.8</v>
      </c>
      <c r="L497" s="4">
        <v>149999</v>
      </c>
      <c r="M497" s="4">
        <v>84999</v>
      </c>
      <c r="N497" s="4">
        <v>5999</v>
      </c>
      <c r="O497" s="4">
        <v>899</v>
      </c>
      <c r="P497" s="4">
        <v>3299</v>
      </c>
      <c r="Q497" t="s">
        <v>2368</v>
      </c>
      <c r="R497">
        <v>2023</v>
      </c>
    </row>
    <row r="498" spans="1:18" x14ac:dyDescent="0.25">
      <c r="A498" t="s">
        <v>1118</v>
      </c>
      <c r="B498" t="s">
        <v>1211</v>
      </c>
      <c r="C498" s="2">
        <v>191</v>
      </c>
      <c r="D498" t="s">
        <v>375</v>
      </c>
      <c r="E498" t="s">
        <v>461</v>
      </c>
      <c r="F498" t="s">
        <v>527</v>
      </c>
      <c r="G498" s="5" t="s">
        <v>1210</v>
      </c>
      <c r="H498" t="s">
        <v>2437</v>
      </c>
      <c r="I498" s="6">
        <f t="shared" si="7"/>
        <v>92</v>
      </c>
      <c r="J498" s="2">
        <v>4300</v>
      </c>
      <c r="K498" s="2">
        <v>6.8</v>
      </c>
      <c r="L498" s="4">
        <v>169999</v>
      </c>
      <c r="M498" s="4">
        <v>94999</v>
      </c>
      <c r="N498" s="4">
        <v>6999</v>
      </c>
      <c r="O498" s="4">
        <v>999</v>
      </c>
      <c r="P498" s="4">
        <v>3699</v>
      </c>
      <c r="Q498" t="s">
        <v>2368</v>
      </c>
      <c r="R498">
        <v>2023</v>
      </c>
    </row>
    <row r="499" spans="1:18" x14ac:dyDescent="0.25">
      <c r="A499" t="s">
        <v>1118</v>
      </c>
      <c r="B499" t="s">
        <v>1212</v>
      </c>
      <c r="C499" s="2">
        <v>233</v>
      </c>
      <c r="D499" t="s">
        <v>375</v>
      </c>
      <c r="E499" t="s">
        <v>461</v>
      </c>
      <c r="F499" t="s">
        <v>1214</v>
      </c>
      <c r="G499" s="5" t="s">
        <v>767</v>
      </c>
      <c r="H499" t="s">
        <v>2437</v>
      </c>
      <c r="I499" s="6">
        <f t="shared" si="7"/>
        <v>92</v>
      </c>
      <c r="J499" s="2">
        <v>4520</v>
      </c>
      <c r="K499" s="2">
        <v>7.1</v>
      </c>
      <c r="L499" s="4">
        <v>179999</v>
      </c>
      <c r="M499" s="4">
        <v>99999</v>
      </c>
      <c r="N499" s="4">
        <v>6999</v>
      </c>
      <c r="O499" s="4">
        <v>1099</v>
      </c>
      <c r="P499" s="4">
        <v>3999</v>
      </c>
      <c r="Q499" t="s">
        <v>2368</v>
      </c>
      <c r="R499">
        <v>2022</v>
      </c>
    </row>
    <row r="500" spans="1:18" x14ac:dyDescent="0.25">
      <c r="A500" t="s">
        <v>1118</v>
      </c>
      <c r="B500" t="s">
        <v>1223</v>
      </c>
      <c r="C500" s="2">
        <v>194</v>
      </c>
      <c r="D500" t="s">
        <v>759</v>
      </c>
      <c r="E500" t="s">
        <v>461</v>
      </c>
      <c r="F500" t="s">
        <v>1224</v>
      </c>
      <c r="G500" s="5" t="s">
        <v>767</v>
      </c>
      <c r="H500" t="s">
        <v>2437</v>
      </c>
      <c r="I500" s="6">
        <f t="shared" si="7"/>
        <v>92</v>
      </c>
      <c r="J500" s="2">
        <v>4700</v>
      </c>
      <c r="K500" s="2">
        <v>6.74</v>
      </c>
      <c r="L500" s="4">
        <v>199999</v>
      </c>
      <c r="M500" s="4">
        <v>54999</v>
      </c>
      <c r="N500" s="4">
        <v>3999</v>
      </c>
      <c r="O500" s="4">
        <v>699</v>
      </c>
      <c r="P500" s="4">
        <v>2599</v>
      </c>
      <c r="Q500" t="s">
        <v>2368</v>
      </c>
      <c r="R500">
        <v>2023</v>
      </c>
    </row>
    <row r="501" spans="1:18" x14ac:dyDescent="0.25">
      <c r="A501" t="s">
        <v>1118</v>
      </c>
      <c r="B501" t="s">
        <v>1230</v>
      </c>
      <c r="C501" s="2">
        <v>192</v>
      </c>
      <c r="D501" t="s">
        <v>759</v>
      </c>
      <c r="E501" t="s">
        <v>461</v>
      </c>
      <c r="F501" t="s">
        <v>1133</v>
      </c>
      <c r="G501" s="5" t="s">
        <v>767</v>
      </c>
      <c r="H501" t="s">
        <v>2437</v>
      </c>
      <c r="I501" s="6">
        <f t="shared" si="7"/>
        <v>92</v>
      </c>
      <c r="J501" s="2">
        <v>4700</v>
      </c>
      <c r="K501" s="2">
        <v>6.7</v>
      </c>
      <c r="L501" s="4">
        <v>189999</v>
      </c>
      <c r="M501" s="4">
        <v>52999</v>
      </c>
      <c r="N501" s="4">
        <v>3799</v>
      </c>
      <c r="O501" s="4">
        <v>649</v>
      </c>
      <c r="P501" s="4">
        <v>2499</v>
      </c>
      <c r="Q501" t="s">
        <v>2368</v>
      </c>
      <c r="R501">
        <v>2022</v>
      </c>
    </row>
    <row r="502" spans="1:18" x14ac:dyDescent="0.25">
      <c r="A502" t="s">
        <v>1118</v>
      </c>
      <c r="B502" t="s">
        <v>1247</v>
      </c>
      <c r="C502" s="2">
        <v>188</v>
      </c>
      <c r="D502" t="s">
        <v>375</v>
      </c>
      <c r="E502" t="s">
        <v>461</v>
      </c>
      <c r="F502" t="s">
        <v>1248</v>
      </c>
      <c r="G502" s="5" t="s">
        <v>804</v>
      </c>
      <c r="H502" t="s">
        <v>2437</v>
      </c>
      <c r="I502" s="6">
        <f t="shared" si="7"/>
        <v>82</v>
      </c>
      <c r="J502" s="2">
        <v>4500</v>
      </c>
      <c r="K502" s="2">
        <v>6.55</v>
      </c>
      <c r="L502" s="4">
        <v>129999</v>
      </c>
      <c r="M502" s="4">
        <v>49999</v>
      </c>
      <c r="N502" s="4">
        <v>3999</v>
      </c>
      <c r="O502" s="4">
        <v>599</v>
      </c>
      <c r="P502" s="4">
        <v>2199</v>
      </c>
      <c r="Q502" t="s">
        <v>2368</v>
      </c>
      <c r="R502">
        <v>2021</v>
      </c>
    </row>
    <row r="503" spans="1:18" x14ac:dyDescent="0.25">
      <c r="A503" t="s">
        <v>1118</v>
      </c>
      <c r="B503" t="s">
        <v>1255</v>
      </c>
      <c r="C503" s="2">
        <v>184</v>
      </c>
      <c r="D503" t="s">
        <v>375</v>
      </c>
      <c r="E503" t="s">
        <v>461</v>
      </c>
      <c r="F503" t="s">
        <v>1256</v>
      </c>
      <c r="G503" s="5" t="s">
        <v>795</v>
      </c>
      <c r="H503" t="s">
        <v>2437</v>
      </c>
      <c r="I503" s="6">
        <f t="shared" si="7"/>
        <v>80</v>
      </c>
      <c r="J503" s="2">
        <v>4500</v>
      </c>
      <c r="K503" s="2">
        <v>6.55</v>
      </c>
      <c r="L503" s="4">
        <v>119999</v>
      </c>
      <c r="M503" s="4">
        <v>44999</v>
      </c>
      <c r="N503" s="4">
        <v>3799</v>
      </c>
      <c r="O503" s="4">
        <v>599</v>
      </c>
      <c r="P503" s="4">
        <v>2099</v>
      </c>
      <c r="Q503" t="s">
        <v>2368</v>
      </c>
      <c r="R503">
        <v>2020</v>
      </c>
    </row>
    <row r="504" spans="1:18" x14ac:dyDescent="0.25">
      <c r="A504" t="s">
        <v>1118</v>
      </c>
      <c r="B504" t="s">
        <v>1137</v>
      </c>
      <c r="C504" s="2">
        <v>210</v>
      </c>
      <c r="D504" t="s">
        <v>375</v>
      </c>
      <c r="E504" t="s">
        <v>580</v>
      </c>
      <c r="F504" t="s">
        <v>1138</v>
      </c>
      <c r="G504" s="5" t="s">
        <v>1183</v>
      </c>
      <c r="H504" t="s">
        <v>2438</v>
      </c>
      <c r="I504" s="6">
        <f t="shared" si="7"/>
        <v>75</v>
      </c>
      <c r="J504" s="2">
        <v>5800</v>
      </c>
      <c r="K504" s="2">
        <v>6.83</v>
      </c>
      <c r="L504" s="4">
        <v>129999</v>
      </c>
      <c r="M504" s="4">
        <v>69999</v>
      </c>
      <c r="N504" s="4">
        <v>5999</v>
      </c>
      <c r="O504" s="4">
        <v>799</v>
      </c>
      <c r="P504" s="4">
        <v>2999</v>
      </c>
      <c r="Q504" t="s">
        <v>2368</v>
      </c>
      <c r="R504">
        <v>2025</v>
      </c>
    </row>
    <row r="505" spans="1:18" x14ac:dyDescent="0.25">
      <c r="A505" t="s">
        <v>1118</v>
      </c>
      <c r="B505" t="s">
        <v>1142</v>
      </c>
      <c r="C505" s="2">
        <v>200</v>
      </c>
      <c r="D505" t="s">
        <v>375</v>
      </c>
      <c r="E505" t="s">
        <v>580</v>
      </c>
      <c r="F505" t="s">
        <v>527</v>
      </c>
      <c r="G505" s="5" t="s">
        <v>1183</v>
      </c>
      <c r="H505" t="s">
        <v>2438</v>
      </c>
      <c r="I505" s="6">
        <f t="shared" si="7"/>
        <v>75</v>
      </c>
      <c r="J505" s="2">
        <v>5600</v>
      </c>
      <c r="K505" s="2">
        <v>6.59</v>
      </c>
      <c r="L505" s="4">
        <v>99999</v>
      </c>
      <c r="M505" s="4">
        <v>54999</v>
      </c>
      <c r="N505" s="4">
        <v>4999</v>
      </c>
      <c r="O505" s="4">
        <v>699</v>
      </c>
      <c r="P505" s="4">
        <v>2599</v>
      </c>
      <c r="Q505" t="s">
        <v>2368</v>
      </c>
      <c r="R505">
        <v>2025</v>
      </c>
    </row>
    <row r="506" spans="1:18" x14ac:dyDescent="0.25">
      <c r="A506" t="s">
        <v>1118</v>
      </c>
      <c r="B506" t="s">
        <v>1144</v>
      </c>
      <c r="C506" s="2">
        <v>187</v>
      </c>
      <c r="D506" t="s">
        <v>68</v>
      </c>
      <c r="E506" t="s">
        <v>461</v>
      </c>
      <c r="F506" t="s">
        <v>1133</v>
      </c>
      <c r="G506" s="5" t="s">
        <v>1145</v>
      </c>
      <c r="H506" t="s">
        <v>2438</v>
      </c>
      <c r="I506" s="6">
        <f t="shared" si="7"/>
        <v>35</v>
      </c>
      <c r="J506" s="2">
        <v>5000</v>
      </c>
      <c r="K506" s="2">
        <v>6.7</v>
      </c>
      <c r="L506" s="4">
        <v>69999</v>
      </c>
      <c r="M506" s="4">
        <v>39999</v>
      </c>
      <c r="N506" s="4">
        <v>3199</v>
      </c>
      <c r="O506" s="4">
        <v>449</v>
      </c>
      <c r="P506" s="4">
        <v>1699</v>
      </c>
      <c r="Q506" t="s">
        <v>2368</v>
      </c>
      <c r="R506">
        <v>2024</v>
      </c>
    </row>
    <row r="507" spans="1:18" x14ac:dyDescent="0.25">
      <c r="A507" t="s">
        <v>1118</v>
      </c>
      <c r="B507" t="s">
        <v>1146</v>
      </c>
      <c r="C507" s="2">
        <v>187</v>
      </c>
      <c r="D507" t="s">
        <v>68</v>
      </c>
      <c r="E507" t="s">
        <v>461</v>
      </c>
      <c r="F507" t="s">
        <v>1133</v>
      </c>
      <c r="G507" s="5" t="s">
        <v>1145</v>
      </c>
      <c r="H507" t="s">
        <v>2438</v>
      </c>
      <c r="I507" s="6">
        <f t="shared" si="7"/>
        <v>35</v>
      </c>
      <c r="J507" s="2">
        <v>5000</v>
      </c>
      <c r="K507" s="2">
        <v>6.7</v>
      </c>
      <c r="L507" s="4">
        <v>69999</v>
      </c>
      <c r="M507" s="4">
        <v>39999</v>
      </c>
      <c r="N507" s="4">
        <v>3199</v>
      </c>
      <c r="O507" s="4">
        <v>449</v>
      </c>
      <c r="P507" s="4">
        <v>1699</v>
      </c>
      <c r="Q507" t="s">
        <v>2368</v>
      </c>
      <c r="R507">
        <v>2024</v>
      </c>
    </row>
    <row r="508" spans="1:18" x14ac:dyDescent="0.25">
      <c r="A508" t="s">
        <v>1118</v>
      </c>
      <c r="B508" t="s">
        <v>1147</v>
      </c>
      <c r="C508" s="2">
        <v>190</v>
      </c>
      <c r="D508" t="s">
        <v>375</v>
      </c>
      <c r="E508" t="s">
        <v>461</v>
      </c>
      <c r="F508" t="s">
        <v>1148</v>
      </c>
      <c r="G508" s="5" t="s">
        <v>2392</v>
      </c>
      <c r="H508" t="s">
        <v>2438</v>
      </c>
      <c r="I508" s="6">
        <f t="shared" si="7"/>
        <v>70</v>
      </c>
      <c r="J508" s="2">
        <v>4600</v>
      </c>
      <c r="K508" s="2">
        <v>6.74</v>
      </c>
      <c r="L508" s="4">
        <v>119999</v>
      </c>
      <c r="M508" s="4">
        <v>64999</v>
      </c>
      <c r="N508" s="4">
        <v>5499</v>
      </c>
      <c r="O508" s="4">
        <v>749</v>
      </c>
      <c r="P508" s="4">
        <v>2799</v>
      </c>
      <c r="Q508" t="s">
        <v>2368</v>
      </c>
      <c r="R508">
        <v>2024</v>
      </c>
    </row>
    <row r="509" spans="1:18" x14ac:dyDescent="0.25">
      <c r="A509" t="s">
        <v>1118</v>
      </c>
      <c r="B509" t="s">
        <v>1149</v>
      </c>
      <c r="C509" s="2">
        <v>185</v>
      </c>
      <c r="D509" t="s">
        <v>68</v>
      </c>
      <c r="E509" t="s">
        <v>461</v>
      </c>
      <c r="F509" t="s">
        <v>527</v>
      </c>
      <c r="G509" s="5" t="s">
        <v>1176</v>
      </c>
      <c r="H509" t="s">
        <v>2438</v>
      </c>
      <c r="I509" s="6">
        <f t="shared" si="7"/>
        <v>48</v>
      </c>
      <c r="J509" s="2">
        <v>5000</v>
      </c>
      <c r="K509" s="2">
        <v>6.7</v>
      </c>
      <c r="L509" s="4">
        <v>89999</v>
      </c>
      <c r="M509" s="4">
        <v>49999</v>
      </c>
      <c r="N509" s="4">
        <v>3999</v>
      </c>
      <c r="O509" s="4">
        <v>599</v>
      </c>
      <c r="P509" s="4">
        <v>2199</v>
      </c>
      <c r="Q509" t="s">
        <v>2368</v>
      </c>
      <c r="R509">
        <v>2024</v>
      </c>
    </row>
    <row r="510" spans="1:18" x14ac:dyDescent="0.25">
      <c r="A510" t="s">
        <v>1118</v>
      </c>
      <c r="B510" t="s">
        <v>1151</v>
      </c>
      <c r="C510" s="2">
        <v>185</v>
      </c>
      <c r="D510" t="s">
        <v>68</v>
      </c>
      <c r="E510" t="s">
        <v>461</v>
      </c>
      <c r="F510" t="s">
        <v>1152</v>
      </c>
      <c r="G510" s="5" t="s">
        <v>1176</v>
      </c>
      <c r="H510" t="s">
        <v>2438</v>
      </c>
      <c r="I510" s="6">
        <f t="shared" si="7"/>
        <v>48</v>
      </c>
      <c r="J510" s="2">
        <v>5000</v>
      </c>
      <c r="K510" s="2">
        <v>6.7</v>
      </c>
      <c r="L510" s="4">
        <v>79999</v>
      </c>
      <c r="M510" s="4">
        <v>44999</v>
      </c>
      <c r="N510" s="4">
        <v>3499</v>
      </c>
      <c r="O510" s="4">
        <v>499</v>
      </c>
      <c r="P510" s="4">
        <v>1899</v>
      </c>
      <c r="Q510" t="s">
        <v>2368</v>
      </c>
      <c r="R510">
        <v>2024</v>
      </c>
    </row>
    <row r="511" spans="1:18" x14ac:dyDescent="0.25">
      <c r="A511" t="s">
        <v>1118</v>
      </c>
      <c r="B511" t="s">
        <v>1153</v>
      </c>
      <c r="C511" s="2">
        <v>190</v>
      </c>
      <c r="D511" t="s">
        <v>375</v>
      </c>
      <c r="E511" t="s">
        <v>461</v>
      </c>
      <c r="F511" t="s">
        <v>1148</v>
      </c>
      <c r="G511" s="5" t="s">
        <v>2392</v>
      </c>
      <c r="H511" t="s">
        <v>2438</v>
      </c>
      <c r="I511" s="6">
        <f t="shared" si="7"/>
        <v>70</v>
      </c>
      <c r="J511" s="2">
        <v>4600</v>
      </c>
      <c r="K511" s="2">
        <v>6.74</v>
      </c>
      <c r="L511" s="4">
        <v>109999</v>
      </c>
      <c r="M511" s="4">
        <v>59999</v>
      </c>
      <c r="N511" s="4">
        <v>4999</v>
      </c>
      <c r="O511" s="4">
        <v>699</v>
      </c>
      <c r="P511" s="4">
        <v>2599</v>
      </c>
      <c r="Q511" t="s">
        <v>2368</v>
      </c>
      <c r="R511">
        <v>2024</v>
      </c>
    </row>
    <row r="512" spans="1:18" x14ac:dyDescent="0.25">
      <c r="A512" t="s">
        <v>1118</v>
      </c>
      <c r="B512" t="s">
        <v>1154</v>
      </c>
      <c r="C512" s="2">
        <v>180</v>
      </c>
      <c r="D512" t="s">
        <v>68</v>
      </c>
      <c r="E512" t="s">
        <v>585</v>
      </c>
      <c r="F512" t="s">
        <v>497</v>
      </c>
      <c r="G512" s="5" t="s">
        <v>1155</v>
      </c>
      <c r="H512" t="s">
        <v>2438</v>
      </c>
      <c r="I512" s="6">
        <f t="shared" si="7"/>
        <v>55</v>
      </c>
      <c r="J512" s="2">
        <v>6000</v>
      </c>
      <c r="K512" s="2">
        <v>6.7</v>
      </c>
      <c r="L512" s="4">
        <v>89999</v>
      </c>
      <c r="M512" s="4">
        <v>49999</v>
      </c>
      <c r="N512" s="4">
        <v>3999</v>
      </c>
      <c r="O512" s="4">
        <v>599</v>
      </c>
      <c r="P512" s="4">
        <v>2199</v>
      </c>
      <c r="Q512" t="s">
        <v>2368</v>
      </c>
      <c r="R512">
        <v>2024</v>
      </c>
    </row>
    <row r="513" spans="1:18" x14ac:dyDescent="0.25">
      <c r="A513" t="s">
        <v>1118</v>
      </c>
      <c r="B513" t="s">
        <v>1156</v>
      </c>
      <c r="C513" s="2">
        <v>186</v>
      </c>
      <c r="D513" t="s">
        <v>375</v>
      </c>
      <c r="E513" t="s">
        <v>585</v>
      </c>
      <c r="F513" t="s">
        <v>497</v>
      </c>
      <c r="G513" s="5" t="s">
        <v>1155</v>
      </c>
      <c r="H513" t="s">
        <v>2438</v>
      </c>
      <c r="I513" s="6">
        <f t="shared" si="7"/>
        <v>55</v>
      </c>
      <c r="J513" s="2">
        <v>6000</v>
      </c>
      <c r="K513" s="2">
        <v>6.7</v>
      </c>
      <c r="L513" s="4">
        <v>99999</v>
      </c>
      <c r="M513" s="4">
        <v>54999</v>
      </c>
      <c r="N513" s="4">
        <v>4499</v>
      </c>
      <c r="O513" s="4">
        <v>699</v>
      </c>
      <c r="P513" s="4">
        <v>2499</v>
      </c>
      <c r="Q513" t="s">
        <v>2368</v>
      </c>
      <c r="R513">
        <v>2024</v>
      </c>
    </row>
    <row r="514" spans="1:18" x14ac:dyDescent="0.25">
      <c r="A514" t="s">
        <v>1118</v>
      </c>
      <c r="B514" t="s">
        <v>1168</v>
      </c>
      <c r="C514" s="2">
        <v>186</v>
      </c>
      <c r="D514" t="s">
        <v>68</v>
      </c>
      <c r="E514" t="s">
        <v>307</v>
      </c>
      <c r="F514" t="s">
        <v>497</v>
      </c>
      <c r="G514" s="5" t="s">
        <v>1169</v>
      </c>
      <c r="H514" t="s">
        <v>2438</v>
      </c>
      <c r="I514" s="6">
        <f t="shared" ref="I514:I577" si="8">_xlfn.XLOOKUP(G514, $T$2:$T$183,$U$2:$U$183,"Unknown",0)</f>
        <v>32</v>
      </c>
      <c r="J514" s="2">
        <v>5000</v>
      </c>
      <c r="K514" s="2">
        <v>6.67</v>
      </c>
      <c r="L514" s="4">
        <v>69999</v>
      </c>
      <c r="M514" s="4">
        <v>39999</v>
      </c>
      <c r="N514" s="4">
        <v>3199</v>
      </c>
      <c r="O514" s="4">
        <v>449</v>
      </c>
      <c r="P514" s="4">
        <v>1699</v>
      </c>
      <c r="Q514" t="s">
        <v>2368</v>
      </c>
      <c r="R514">
        <v>2024</v>
      </c>
    </row>
    <row r="515" spans="1:18" x14ac:dyDescent="0.25">
      <c r="A515" t="s">
        <v>1118</v>
      </c>
      <c r="B515" t="s">
        <v>1170</v>
      </c>
      <c r="C515" s="2">
        <v>186</v>
      </c>
      <c r="D515" t="s">
        <v>68</v>
      </c>
      <c r="E515" t="s">
        <v>307</v>
      </c>
      <c r="F515" t="s">
        <v>497</v>
      </c>
      <c r="G515" s="5" t="s">
        <v>1169</v>
      </c>
      <c r="H515" t="s">
        <v>2438</v>
      </c>
      <c r="I515" s="6">
        <f t="shared" si="8"/>
        <v>32</v>
      </c>
      <c r="J515" s="2">
        <v>5000</v>
      </c>
      <c r="K515" s="2">
        <v>6.67</v>
      </c>
      <c r="L515" s="4">
        <v>74999</v>
      </c>
      <c r="M515" s="4">
        <v>42999</v>
      </c>
      <c r="N515" s="4">
        <v>3499</v>
      </c>
      <c r="O515" s="4">
        <v>499</v>
      </c>
      <c r="P515" s="4">
        <v>1899</v>
      </c>
      <c r="Q515" t="s">
        <v>2368</v>
      </c>
      <c r="R515">
        <v>2024</v>
      </c>
    </row>
    <row r="516" spans="1:18" x14ac:dyDescent="0.25">
      <c r="A516" t="s">
        <v>1118</v>
      </c>
      <c r="B516" t="s">
        <v>1171</v>
      </c>
      <c r="C516" s="2">
        <v>192</v>
      </c>
      <c r="D516" t="s">
        <v>68</v>
      </c>
      <c r="E516" t="s">
        <v>585</v>
      </c>
      <c r="F516" t="s">
        <v>580</v>
      </c>
      <c r="G516" s="5" t="s">
        <v>1172</v>
      </c>
      <c r="H516" t="s">
        <v>2438</v>
      </c>
      <c r="I516" s="6">
        <f t="shared" si="8"/>
        <v>60</v>
      </c>
      <c r="J516" s="2">
        <v>6400</v>
      </c>
      <c r="K516" s="2">
        <v>6.7</v>
      </c>
      <c r="L516" s="4">
        <v>109999</v>
      </c>
      <c r="M516" s="4">
        <v>59999</v>
      </c>
      <c r="N516" s="4">
        <v>4999</v>
      </c>
      <c r="O516" s="4">
        <v>699</v>
      </c>
      <c r="P516" s="4">
        <v>2599</v>
      </c>
      <c r="Q516" t="s">
        <v>2368</v>
      </c>
      <c r="R516">
        <v>2024</v>
      </c>
    </row>
    <row r="517" spans="1:18" x14ac:dyDescent="0.25">
      <c r="A517" t="s">
        <v>1118</v>
      </c>
      <c r="B517" t="s">
        <v>1174</v>
      </c>
      <c r="C517" s="2">
        <v>192</v>
      </c>
      <c r="D517" t="s">
        <v>375</v>
      </c>
      <c r="E517" t="s">
        <v>585</v>
      </c>
      <c r="F517" t="s">
        <v>580</v>
      </c>
      <c r="G517" s="5" t="s">
        <v>1172</v>
      </c>
      <c r="H517" t="s">
        <v>2438</v>
      </c>
      <c r="I517" s="6">
        <f t="shared" si="8"/>
        <v>60</v>
      </c>
      <c r="J517" s="2">
        <v>6400</v>
      </c>
      <c r="K517" s="2">
        <v>6.7</v>
      </c>
      <c r="L517" s="4">
        <v>119999</v>
      </c>
      <c r="M517" s="4">
        <v>64999</v>
      </c>
      <c r="N517" s="4">
        <v>5499</v>
      </c>
      <c r="O517" s="4">
        <v>799</v>
      </c>
      <c r="P517" s="4">
        <v>2999</v>
      </c>
      <c r="Q517" t="s">
        <v>2368</v>
      </c>
      <c r="R517">
        <v>2024</v>
      </c>
    </row>
    <row r="518" spans="1:18" x14ac:dyDescent="0.25">
      <c r="A518" t="s">
        <v>1118</v>
      </c>
      <c r="B518" t="s">
        <v>1175</v>
      </c>
      <c r="C518" s="2">
        <v>175</v>
      </c>
      <c r="D518" t="s">
        <v>68</v>
      </c>
      <c r="E518" t="s">
        <v>461</v>
      </c>
      <c r="F518" t="s">
        <v>755</v>
      </c>
      <c r="G518" s="5" t="s">
        <v>1176</v>
      </c>
      <c r="H518" t="s">
        <v>2438</v>
      </c>
      <c r="I518" s="6">
        <f t="shared" si="8"/>
        <v>48</v>
      </c>
      <c r="J518" s="2">
        <v>5000</v>
      </c>
      <c r="K518" s="2">
        <v>6.7</v>
      </c>
      <c r="L518" s="4">
        <v>79999</v>
      </c>
      <c r="M518" s="4">
        <v>44999</v>
      </c>
      <c r="N518" s="4">
        <v>3499</v>
      </c>
      <c r="O518" s="4">
        <v>499</v>
      </c>
      <c r="P518" s="4">
        <v>1899</v>
      </c>
      <c r="Q518" t="s">
        <v>2368</v>
      </c>
      <c r="R518">
        <v>2024</v>
      </c>
    </row>
    <row r="519" spans="1:18" x14ac:dyDescent="0.25">
      <c r="A519" t="s">
        <v>1118</v>
      </c>
      <c r="B519" t="s">
        <v>1177</v>
      </c>
      <c r="C519" s="2">
        <v>175</v>
      </c>
      <c r="D519" t="s">
        <v>68</v>
      </c>
      <c r="E519" t="s">
        <v>461</v>
      </c>
      <c r="F519" t="s">
        <v>755</v>
      </c>
      <c r="G519" s="5" t="s">
        <v>1176</v>
      </c>
      <c r="H519" t="s">
        <v>2438</v>
      </c>
      <c r="I519" s="6">
        <f t="shared" si="8"/>
        <v>48</v>
      </c>
      <c r="J519" s="2">
        <v>5000</v>
      </c>
      <c r="K519" s="2">
        <v>6.7</v>
      </c>
      <c r="L519" s="4">
        <v>84999</v>
      </c>
      <c r="M519" s="4">
        <v>47999</v>
      </c>
      <c r="N519" s="4">
        <v>3799</v>
      </c>
      <c r="O519" s="4">
        <v>549</v>
      </c>
      <c r="P519" s="4">
        <v>2099</v>
      </c>
      <c r="Q519" t="s">
        <v>2368</v>
      </c>
      <c r="R519">
        <v>2024</v>
      </c>
    </row>
    <row r="520" spans="1:18" x14ac:dyDescent="0.25">
      <c r="A520" t="s">
        <v>1118</v>
      </c>
      <c r="B520" t="s">
        <v>1178</v>
      </c>
      <c r="C520" s="2">
        <v>177</v>
      </c>
      <c r="D520" t="s">
        <v>68</v>
      </c>
      <c r="E520" t="s">
        <v>461</v>
      </c>
      <c r="F520" t="s">
        <v>755</v>
      </c>
      <c r="G520" s="5" t="s">
        <v>1176</v>
      </c>
      <c r="H520" t="s">
        <v>2438</v>
      </c>
      <c r="I520" s="6">
        <f t="shared" si="8"/>
        <v>48</v>
      </c>
      <c r="J520" s="2">
        <v>5000</v>
      </c>
      <c r="K520" s="2">
        <v>6.7</v>
      </c>
      <c r="L520" s="4">
        <v>89999</v>
      </c>
      <c r="M520" s="4">
        <v>49999</v>
      </c>
      <c r="N520" s="4">
        <v>3999</v>
      </c>
      <c r="O520" s="4">
        <v>599</v>
      </c>
      <c r="P520" s="4">
        <v>2199</v>
      </c>
      <c r="Q520" t="s">
        <v>2368</v>
      </c>
      <c r="R520">
        <v>2024</v>
      </c>
    </row>
    <row r="521" spans="1:18" x14ac:dyDescent="0.25">
      <c r="A521" t="s">
        <v>1118</v>
      </c>
      <c r="B521" t="s">
        <v>1179</v>
      </c>
      <c r="C521" s="2">
        <v>177</v>
      </c>
      <c r="D521" t="s">
        <v>375</v>
      </c>
      <c r="E521" t="s">
        <v>461</v>
      </c>
      <c r="F521" t="s">
        <v>755</v>
      </c>
      <c r="G521" s="5" t="s">
        <v>1176</v>
      </c>
      <c r="H521" t="s">
        <v>2438</v>
      </c>
      <c r="I521" s="6">
        <f t="shared" si="8"/>
        <v>48</v>
      </c>
      <c r="J521" s="2">
        <v>5000</v>
      </c>
      <c r="K521" s="2">
        <v>6.7</v>
      </c>
      <c r="L521" s="4">
        <v>99999</v>
      </c>
      <c r="M521" s="4">
        <v>54999</v>
      </c>
      <c r="N521" s="4">
        <v>4499</v>
      </c>
      <c r="O521" s="4">
        <v>699</v>
      </c>
      <c r="P521" s="4">
        <v>2499</v>
      </c>
      <c r="Q521" t="s">
        <v>2368</v>
      </c>
      <c r="R521">
        <v>2024</v>
      </c>
    </row>
    <row r="522" spans="1:18" x14ac:dyDescent="0.25">
      <c r="A522" t="s">
        <v>1118</v>
      </c>
      <c r="B522" t="s">
        <v>1180</v>
      </c>
      <c r="C522" s="2">
        <v>173</v>
      </c>
      <c r="D522" t="s">
        <v>68</v>
      </c>
      <c r="E522" t="s">
        <v>461</v>
      </c>
      <c r="F522" t="s">
        <v>755</v>
      </c>
      <c r="G522" s="5" t="s">
        <v>708</v>
      </c>
      <c r="H522" t="s">
        <v>2438</v>
      </c>
      <c r="I522" s="6">
        <f t="shared" si="8"/>
        <v>60</v>
      </c>
      <c r="J522" s="2">
        <v>4500</v>
      </c>
      <c r="K522" s="2">
        <v>6.55</v>
      </c>
      <c r="L522" s="4">
        <v>74999</v>
      </c>
      <c r="M522" s="4">
        <v>42999</v>
      </c>
      <c r="N522" s="4">
        <v>3499</v>
      </c>
      <c r="O522" s="4">
        <v>549</v>
      </c>
      <c r="P522" s="4">
        <v>1999</v>
      </c>
      <c r="Q522" t="s">
        <v>2368</v>
      </c>
      <c r="R522">
        <v>2023</v>
      </c>
    </row>
    <row r="523" spans="1:18" x14ac:dyDescent="0.25">
      <c r="A523" t="s">
        <v>1118</v>
      </c>
      <c r="B523" t="s">
        <v>1181</v>
      </c>
      <c r="C523" s="2">
        <v>173</v>
      </c>
      <c r="D523" t="s">
        <v>68</v>
      </c>
      <c r="E523" t="s">
        <v>461</v>
      </c>
      <c r="F523" t="s">
        <v>755</v>
      </c>
      <c r="G523" s="5" t="s">
        <v>708</v>
      </c>
      <c r="H523" t="s">
        <v>2438</v>
      </c>
      <c r="I523" s="6">
        <f t="shared" si="8"/>
        <v>60</v>
      </c>
      <c r="J523" s="2">
        <v>4500</v>
      </c>
      <c r="K523" s="2">
        <v>6.55</v>
      </c>
      <c r="L523" s="4">
        <v>79999</v>
      </c>
      <c r="M523" s="4">
        <v>44999</v>
      </c>
      <c r="N523" s="4">
        <v>3799</v>
      </c>
      <c r="O523" s="4">
        <v>599</v>
      </c>
      <c r="P523" s="4">
        <v>2199</v>
      </c>
      <c r="Q523" t="s">
        <v>2368</v>
      </c>
      <c r="R523">
        <v>2023</v>
      </c>
    </row>
    <row r="524" spans="1:18" x14ac:dyDescent="0.25">
      <c r="A524" t="s">
        <v>1118</v>
      </c>
      <c r="B524" t="s">
        <v>1104</v>
      </c>
      <c r="C524" s="2">
        <v>533</v>
      </c>
      <c r="D524" t="s">
        <v>68</v>
      </c>
      <c r="E524" t="s">
        <v>307</v>
      </c>
      <c r="F524" t="s">
        <v>475</v>
      </c>
      <c r="G524" s="5" t="s">
        <v>1183</v>
      </c>
      <c r="H524" t="s">
        <v>2438</v>
      </c>
      <c r="I524" s="6">
        <f t="shared" si="8"/>
        <v>75</v>
      </c>
      <c r="J524" s="2">
        <v>9510</v>
      </c>
      <c r="K524" s="2">
        <v>11.6</v>
      </c>
      <c r="L524" s="4">
        <v>99999</v>
      </c>
      <c r="M524" s="4">
        <v>54999</v>
      </c>
      <c r="N524" s="4">
        <v>4499</v>
      </c>
      <c r="O524" s="4">
        <v>699</v>
      </c>
      <c r="P524" s="4">
        <v>2499</v>
      </c>
      <c r="Q524" t="s">
        <v>2369</v>
      </c>
      <c r="R524">
        <v>2024</v>
      </c>
    </row>
    <row r="525" spans="1:18" x14ac:dyDescent="0.25">
      <c r="A525" t="s">
        <v>1118</v>
      </c>
      <c r="B525" t="s">
        <v>1185</v>
      </c>
      <c r="C525" s="2">
        <v>533</v>
      </c>
      <c r="D525" t="s">
        <v>375</v>
      </c>
      <c r="E525" t="s">
        <v>307</v>
      </c>
      <c r="F525" t="s">
        <v>475</v>
      </c>
      <c r="G525" s="5" t="s">
        <v>1183</v>
      </c>
      <c r="H525" t="s">
        <v>2438</v>
      </c>
      <c r="I525" s="6">
        <f t="shared" si="8"/>
        <v>75</v>
      </c>
      <c r="J525" s="2">
        <v>9510</v>
      </c>
      <c r="K525" s="2">
        <v>11.6</v>
      </c>
      <c r="L525" s="4">
        <v>109999</v>
      </c>
      <c r="M525" s="4">
        <v>59999</v>
      </c>
      <c r="N525" s="4">
        <v>4999</v>
      </c>
      <c r="O525" s="4">
        <v>799</v>
      </c>
      <c r="P525" s="4">
        <v>2799</v>
      </c>
      <c r="Q525" t="s">
        <v>2369</v>
      </c>
      <c r="R525">
        <v>2024</v>
      </c>
    </row>
    <row r="526" spans="1:18" x14ac:dyDescent="0.25">
      <c r="A526" t="s">
        <v>1118</v>
      </c>
      <c r="B526" t="s">
        <v>1217</v>
      </c>
      <c r="C526" s="2">
        <v>180</v>
      </c>
      <c r="D526" t="s">
        <v>68</v>
      </c>
      <c r="E526" t="s">
        <v>461</v>
      </c>
      <c r="F526" t="s">
        <v>1218</v>
      </c>
      <c r="G526" s="5" t="s">
        <v>1176</v>
      </c>
      <c r="H526" t="s">
        <v>2438</v>
      </c>
      <c r="I526" s="6">
        <f t="shared" si="8"/>
        <v>48</v>
      </c>
      <c r="J526" s="2">
        <v>5000</v>
      </c>
      <c r="K526" s="2">
        <v>6.7</v>
      </c>
      <c r="L526" s="4">
        <v>129999</v>
      </c>
      <c r="M526" s="4">
        <v>38999</v>
      </c>
      <c r="N526" s="4">
        <v>2699</v>
      </c>
      <c r="O526" s="4">
        <v>499</v>
      </c>
      <c r="P526" s="4">
        <v>1899</v>
      </c>
      <c r="Q526" t="s">
        <v>2368</v>
      </c>
      <c r="R526">
        <v>2023</v>
      </c>
    </row>
    <row r="527" spans="1:18" x14ac:dyDescent="0.25">
      <c r="A527" t="s">
        <v>1118</v>
      </c>
      <c r="B527" t="s">
        <v>1220</v>
      </c>
      <c r="C527" s="2">
        <v>180</v>
      </c>
      <c r="D527" t="s">
        <v>68</v>
      </c>
      <c r="E527" t="s">
        <v>461</v>
      </c>
      <c r="F527" t="s">
        <v>1218</v>
      </c>
      <c r="G527" s="5" t="s">
        <v>1176</v>
      </c>
      <c r="H527" t="s">
        <v>2438</v>
      </c>
      <c r="I527" s="6">
        <f t="shared" si="8"/>
        <v>48</v>
      </c>
      <c r="J527" s="2">
        <v>5000</v>
      </c>
      <c r="K527" s="2">
        <v>6.7</v>
      </c>
      <c r="L527" s="4">
        <v>149999</v>
      </c>
      <c r="M527" s="4">
        <v>42999</v>
      </c>
      <c r="N527" s="4">
        <v>2999</v>
      </c>
      <c r="O527" s="4">
        <v>549</v>
      </c>
      <c r="P527" s="4">
        <v>2099</v>
      </c>
      <c r="Q527" t="s">
        <v>2368</v>
      </c>
      <c r="R527">
        <v>2023</v>
      </c>
    </row>
    <row r="528" spans="1:18" x14ac:dyDescent="0.25">
      <c r="A528" t="s">
        <v>1118</v>
      </c>
      <c r="B528" t="s">
        <v>1221</v>
      </c>
      <c r="C528" s="2">
        <v>186</v>
      </c>
      <c r="D528" t="s">
        <v>375</v>
      </c>
      <c r="E528" t="s">
        <v>461</v>
      </c>
      <c r="F528" t="s">
        <v>1148</v>
      </c>
      <c r="G528" s="5" t="s">
        <v>708</v>
      </c>
      <c r="H528" t="s">
        <v>2438</v>
      </c>
      <c r="I528" s="6">
        <f t="shared" si="8"/>
        <v>60</v>
      </c>
      <c r="J528" s="2">
        <v>4600</v>
      </c>
      <c r="K528" s="2">
        <v>6.7</v>
      </c>
      <c r="L528" s="4">
        <v>169999</v>
      </c>
      <c r="M528" s="4">
        <v>44999</v>
      </c>
      <c r="N528" s="4">
        <v>3499</v>
      </c>
      <c r="O528" s="4">
        <v>599</v>
      </c>
      <c r="P528" s="4">
        <v>2299</v>
      </c>
      <c r="Q528" t="s">
        <v>2368</v>
      </c>
      <c r="R528">
        <v>2023</v>
      </c>
    </row>
    <row r="529" spans="1:18" x14ac:dyDescent="0.25">
      <c r="A529" t="s">
        <v>1118</v>
      </c>
      <c r="B529" t="s">
        <v>1226</v>
      </c>
      <c r="C529" s="2">
        <v>174</v>
      </c>
      <c r="D529" t="s">
        <v>68</v>
      </c>
      <c r="E529" t="s">
        <v>461</v>
      </c>
      <c r="F529" t="s">
        <v>755</v>
      </c>
      <c r="G529" s="5" t="s">
        <v>708</v>
      </c>
      <c r="H529" t="s">
        <v>2438</v>
      </c>
      <c r="I529" s="6">
        <f t="shared" si="8"/>
        <v>60</v>
      </c>
      <c r="J529" s="2">
        <v>4500</v>
      </c>
      <c r="K529" s="2">
        <v>6.7</v>
      </c>
      <c r="L529" s="4">
        <v>109999</v>
      </c>
      <c r="M529" s="4">
        <v>32999</v>
      </c>
      <c r="N529" s="4">
        <v>2399</v>
      </c>
      <c r="O529" s="4">
        <v>449</v>
      </c>
      <c r="P529" s="4">
        <v>1699</v>
      </c>
      <c r="Q529" t="s">
        <v>2368</v>
      </c>
      <c r="R529">
        <v>2022</v>
      </c>
    </row>
    <row r="530" spans="1:18" x14ac:dyDescent="0.25">
      <c r="A530" t="s">
        <v>1118</v>
      </c>
      <c r="B530" t="s">
        <v>1227</v>
      </c>
      <c r="C530" s="2">
        <v>174</v>
      </c>
      <c r="D530" t="s">
        <v>375</v>
      </c>
      <c r="E530" t="s">
        <v>461</v>
      </c>
      <c r="F530" t="s">
        <v>755</v>
      </c>
      <c r="G530" s="5" t="s">
        <v>708</v>
      </c>
      <c r="H530" t="s">
        <v>2438</v>
      </c>
      <c r="I530" s="6">
        <f t="shared" si="8"/>
        <v>60</v>
      </c>
      <c r="J530" s="2">
        <v>4500</v>
      </c>
      <c r="K530" s="2">
        <v>6.7</v>
      </c>
      <c r="L530" s="4">
        <v>129999</v>
      </c>
      <c r="M530" s="4">
        <v>36999</v>
      </c>
      <c r="N530" s="4">
        <v>2699</v>
      </c>
      <c r="O530" s="4">
        <v>499</v>
      </c>
      <c r="P530" s="4">
        <v>1899</v>
      </c>
      <c r="Q530" t="s">
        <v>2368</v>
      </c>
      <c r="R530">
        <v>2022</v>
      </c>
    </row>
    <row r="531" spans="1:18" x14ac:dyDescent="0.25">
      <c r="A531" t="s">
        <v>1118</v>
      </c>
      <c r="B531" t="s">
        <v>1228</v>
      </c>
      <c r="C531" s="2">
        <v>184</v>
      </c>
      <c r="D531" t="s">
        <v>759</v>
      </c>
      <c r="E531" t="s">
        <v>461</v>
      </c>
      <c r="F531" t="s">
        <v>527</v>
      </c>
      <c r="G531" s="5" t="s">
        <v>1229</v>
      </c>
      <c r="H531" t="s">
        <v>2438</v>
      </c>
      <c r="I531" s="6">
        <f t="shared" si="8"/>
        <v>65</v>
      </c>
      <c r="J531" s="2">
        <v>4500</v>
      </c>
      <c r="K531" s="2">
        <v>6.7</v>
      </c>
      <c r="L531" s="4">
        <v>159999</v>
      </c>
      <c r="M531" s="4">
        <v>42999</v>
      </c>
      <c r="N531" s="4">
        <v>3299</v>
      </c>
      <c r="O531" s="4">
        <v>599</v>
      </c>
      <c r="P531" s="4">
        <v>2199</v>
      </c>
      <c r="Q531" t="s">
        <v>2368</v>
      </c>
      <c r="R531">
        <v>2022</v>
      </c>
    </row>
    <row r="532" spans="1:18" x14ac:dyDescent="0.25">
      <c r="A532" t="s">
        <v>1118</v>
      </c>
      <c r="B532" t="s">
        <v>1232</v>
      </c>
      <c r="C532" s="2">
        <v>179</v>
      </c>
      <c r="D532" t="s">
        <v>68</v>
      </c>
      <c r="E532" t="s">
        <v>461</v>
      </c>
      <c r="F532" t="s">
        <v>1133</v>
      </c>
      <c r="G532" s="5" t="s">
        <v>1233</v>
      </c>
      <c r="H532" t="s">
        <v>2438</v>
      </c>
      <c r="I532" s="6">
        <f t="shared" si="8"/>
        <v>40</v>
      </c>
      <c r="J532" s="2">
        <v>4500</v>
      </c>
      <c r="K532" s="2">
        <v>6.4</v>
      </c>
      <c r="L532" s="4">
        <v>89999</v>
      </c>
      <c r="M532" s="4">
        <v>29999</v>
      </c>
      <c r="N532" s="4">
        <v>2199</v>
      </c>
      <c r="O532" s="4">
        <v>399</v>
      </c>
      <c r="P532" s="4">
        <v>1499</v>
      </c>
      <c r="Q532" t="s">
        <v>2368</v>
      </c>
      <c r="R532">
        <v>2022</v>
      </c>
    </row>
    <row r="533" spans="1:18" x14ac:dyDescent="0.25">
      <c r="A533" t="s">
        <v>1118</v>
      </c>
      <c r="B533" t="s">
        <v>1234</v>
      </c>
      <c r="C533" s="2">
        <v>179</v>
      </c>
      <c r="D533" t="s">
        <v>375</v>
      </c>
      <c r="E533" t="s">
        <v>461</v>
      </c>
      <c r="F533" t="s">
        <v>1133</v>
      </c>
      <c r="G533" s="5" t="s">
        <v>1233</v>
      </c>
      <c r="H533" t="s">
        <v>2438</v>
      </c>
      <c r="I533" s="6">
        <f t="shared" si="8"/>
        <v>40</v>
      </c>
      <c r="J533" s="2">
        <v>4500</v>
      </c>
      <c r="K533" s="2">
        <v>6.4</v>
      </c>
      <c r="L533" s="4">
        <v>99999</v>
      </c>
      <c r="M533" s="4">
        <v>34999</v>
      </c>
      <c r="N533" s="4">
        <v>2499</v>
      </c>
      <c r="O533" s="4">
        <v>449</v>
      </c>
      <c r="P533" s="4">
        <v>1699</v>
      </c>
      <c r="Q533" t="s">
        <v>2368</v>
      </c>
      <c r="R533">
        <v>2022</v>
      </c>
    </row>
    <row r="534" spans="1:18" x14ac:dyDescent="0.25">
      <c r="A534" t="s">
        <v>1118</v>
      </c>
      <c r="B534" t="s">
        <v>1235</v>
      </c>
      <c r="C534" s="2">
        <v>183</v>
      </c>
      <c r="D534" t="s">
        <v>375</v>
      </c>
      <c r="E534" t="s">
        <v>461</v>
      </c>
      <c r="F534" t="s">
        <v>1133</v>
      </c>
      <c r="G534" s="5" t="s">
        <v>1229</v>
      </c>
      <c r="H534" t="s">
        <v>2438</v>
      </c>
      <c r="I534" s="6">
        <f t="shared" si="8"/>
        <v>65</v>
      </c>
      <c r="J534" s="2">
        <v>4500</v>
      </c>
      <c r="K534" s="2">
        <v>6.7</v>
      </c>
      <c r="L534" s="4">
        <v>129999</v>
      </c>
      <c r="M534" s="4">
        <v>42999</v>
      </c>
      <c r="N534" s="4">
        <v>3099</v>
      </c>
      <c r="O534" s="4">
        <v>549</v>
      </c>
      <c r="P534" s="4">
        <v>1999</v>
      </c>
      <c r="Q534" t="s">
        <v>2368</v>
      </c>
      <c r="R534">
        <v>2022</v>
      </c>
    </row>
    <row r="535" spans="1:18" x14ac:dyDescent="0.25">
      <c r="A535" t="s">
        <v>1118</v>
      </c>
      <c r="B535" t="s">
        <v>1236</v>
      </c>
      <c r="C535" s="2">
        <v>195</v>
      </c>
      <c r="D535" t="s">
        <v>375</v>
      </c>
      <c r="E535" t="s">
        <v>461</v>
      </c>
      <c r="F535" t="s">
        <v>1133</v>
      </c>
      <c r="G535" s="5" t="s">
        <v>1229</v>
      </c>
      <c r="H535" t="s">
        <v>2438</v>
      </c>
      <c r="I535" s="6">
        <f t="shared" si="8"/>
        <v>65</v>
      </c>
      <c r="J535" s="2">
        <v>4500</v>
      </c>
      <c r="K535" s="2">
        <v>6.7</v>
      </c>
      <c r="L535" s="4">
        <v>139999</v>
      </c>
      <c r="M535" s="4">
        <v>46999</v>
      </c>
      <c r="N535" s="4">
        <v>3399</v>
      </c>
      <c r="O535" s="4">
        <v>599</v>
      </c>
      <c r="P535" s="4">
        <v>2199</v>
      </c>
      <c r="Q535" t="s">
        <v>2368</v>
      </c>
      <c r="R535">
        <v>2022</v>
      </c>
    </row>
    <row r="536" spans="1:18" x14ac:dyDescent="0.25">
      <c r="A536" t="s">
        <v>1118</v>
      </c>
      <c r="B536" t="s">
        <v>1239</v>
      </c>
      <c r="C536" s="2">
        <v>173</v>
      </c>
      <c r="D536" t="s">
        <v>68</v>
      </c>
      <c r="E536" t="s">
        <v>461</v>
      </c>
      <c r="F536" t="s">
        <v>1152</v>
      </c>
      <c r="G536" s="5" t="s">
        <v>915</v>
      </c>
      <c r="H536" t="s">
        <v>2438</v>
      </c>
      <c r="I536" s="6">
        <f t="shared" si="8"/>
        <v>28</v>
      </c>
      <c r="J536" s="2">
        <v>4500</v>
      </c>
      <c r="K536" s="2">
        <v>6.4</v>
      </c>
      <c r="L536" s="4">
        <v>79999</v>
      </c>
      <c r="M536" s="4">
        <v>28999</v>
      </c>
      <c r="N536" s="4">
        <v>1999</v>
      </c>
      <c r="O536" s="4">
        <v>349</v>
      </c>
      <c r="P536" s="4">
        <v>1299</v>
      </c>
      <c r="Q536" t="s">
        <v>2368</v>
      </c>
      <c r="R536">
        <v>2021</v>
      </c>
    </row>
    <row r="537" spans="1:18" x14ac:dyDescent="0.25">
      <c r="A537" t="s">
        <v>1118</v>
      </c>
      <c r="B537" t="s">
        <v>1240</v>
      </c>
      <c r="C537" s="2">
        <v>173</v>
      </c>
      <c r="D537" t="s">
        <v>375</v>
      </c>
      <c r="E537" t="s">
        <v>461</v>
      </c>
      <c r="F537" t="s">
        <v>1152</v>
      </c>
      <c r="G537" s="5" t="s">
        <v>915</v>
      </c>
      <c r="H537" t="s">
        <v>2438</v>
      </c>
      <c r="I537" s="6">
        <f t="shared" si="8"/>
        <v>28</v>
      </c>
      <c r="J537" s="2">
        <v>4500</v>
      </c>
      <c r="K537" s="2">
        <v>6.4</v>
      </c>
      <c r="L537" s="4">
        <v>89999</v>
      </c>
      <c r="M537" s="4">
        <v>32999</v>
      </c>
      <c r="N537" s="4">
        <v>2199</v>
      </c>
      <c r="O537" s="4">
        <v>399</v>
      </c>
      <c r="P537" s="4">
        <v>1499</v>
      </c>
      <c r="Q537" t="s">
        <v>2368</v>
      </c>
      <c r="R537">
        <v>2021</v>
      </c>
    </row>
    <row r="538" spans="1:18" x14ac:dyDescent="0.25">
      <c r="A538" t="s">
        <v>1118</v>
      </c>
      <c r="B538" t="s">
        <v>1241</v>
      </c>
      <c r="C538" s="2">
        <v>180</v>
      </c>
      <c r="D538" t="s">
        <v>375</v>
      </c>
      <c r="E538" t="s">
        <v>461</v>
      </c>
      <c r="F538" t="s">
        <v>1133</v>
      </c>
      <c r="G538" s="5" t="s">
        <v>911</v>
      </c>
      <c r="H538" t="s">
        <v>2438</v>
      </c>
      <c r="I538" s="6">
        <f t="shared" si="8"/>
        <v>38</v>
      </c>
      <c r="J538" s="2">
        <v>4500</v>
      </c>
      <c r="K538" s="2">
        <v>6.55</v>
      </c>
      <c r="L538" s="4">
        <v>109999</v>
      </c>
      <c r="M538" s="4">
        <v>39999</v>
      </c>
      <c r="N538" s="4">
        <v>2799</v>
      </c>
      <c r="O538" s="4">
        <v>499</v>
      </c>
      <c r="P538" s="4">
        <v>1799</v>
      </c>
      <c r="Q538" t="s">
        <v>2368</v>
      </c>
      <c r="R538">
        <v>2021</v>
      </c>
    </row>
    <row r="539" spans="1:18" x14ac:dyDescent="0.25">
      <c r="A539" t="s">
        <v>1118</v>
      </c>
      <c r="B539" t="s">
        <v>1242</v>
      </c>
      <c r="C539" s="2">
        <v>182</v>
      </c>
      <c r="D539" t="s">
        <v>68</v>
      </c>
      <c r="E539" t="s">
        <v>461</v>
      </c>
      <c r="F539" t="s">
        <v>1152</v>
      </c>
      <c r="G539" s="5" t="s">
        <v>915</v>
      </c>
      <c r="H539" t="s">
        <v>2438</v>
      </c>
      <c r="I539" s="6">
        <f t="shared" si="8"/>
        <v>28</v>
      </c>
      <c r="J539" s="2">
        <v>4300</v>
      </c>
      <c r="K539" s="2">
        <v>6.43</v>
      </c>
      <c r="L539" s="4">
        <v>79999</v>
      </c>
      <c r="M539" s="4">
        <v>29999</v>
      </c>
      <c r="N539" s="4">
        <v>2399</v>
      </c>
      <c r="O539" s="4">
        <v>349</v>
      </c>
      <c r="P539" s="4">
        <v>1299</v>
      </c>
      <c r="Q539" t="s">
        <v>2368</v>
      </c>
      <c r="R539">
        <v>2021</v>
      </c>
    </row>
    <row r="540" spans="1:18" x14ac:dyDescent="0.25">
      <c r="A540" t="s">
        <v>1118</v>
      </c>
      <c r="B540" t="s">
        <v>1243</v>
      </c>
      <c r="C540" s="2">
        <v>182</v>
      </c>
      <c r="D540" t="s">
        <v>375</v>
      </c>
      <c r="E540" t="s">
        <v>461</v>
      </c>
      <c r="F540" t="s">
        <v>1152</v>
      </c>
      <c r="G540" s="5" t="s">
        <v>915</v>
      </c>
      <c r="H540" t="s">
        <v>2438</v>
      </c>
      <c r="I540" s="6">
        <f t="shared" si="8"/>
        <v>28</v>
      </c>
      <c r="J540" s="2">
        <v>4300</v>
      </c>
      <c r="K540" s="2">
        <v>6.43</v>
      </c>
      <c r="L540" s="4">
        <v>89999</v>
      </c>
      <c r="M540" s="4">
        <v>32999</v>
      </c>
      <c r="N540" s="4">
        <v>2699</v>
      </c>
      <c r="O540" s="4">
        <v>399</v>
      </c>
      <c r="P540" s="4">
        <v>1499</v>
      </c>
      <c r="Q540" t="s">
        <v>2368</v>
      </c>
      <c r="R540">
        <v>2021</v>
      </c>
    </row>
    <row r="541" spans="1:18" x14ac:dyDescent="0.25">
      <c r="A541" t="s">
        <v>1118</v>
      </c>
      <c r="B541" t="s">
        <v>1244</v>
      </c>
      <c r="C541" s="2">
        <v>177</v>
      </c>
      <c r="D541" t="s">
        <v>68</v>
      </c>
      <c r="E541" t="s">
        <v>461</v>
      </c>
      <c r="F541" t="s">
        <v>1245</v>
      </c>
      <c r="G541" s="5" t="s">
        <v>911</v>
      </c>
      <c r="H541" t="s">
        <v>2438</v>
      </c>
      <c r="I541" s="6">
        <f t="shared" si="8"/>
        <v>38</v>
      </c>
      <c r="J541" s="2">
        <v>4500</v>
      </c>
      <c r="K541" s="2">
        <v>6.55</v>
      </c>
      <c r="L541" s="4">
        <v>99999</v>
      </c>
      <c r="M541" s="4">
        <v>39999</v>
      </c>
      <c r="N541" s="4">
        <v>2999</v>
      </c>
      <c r="O541" s="4">
        <v>449</v>
      </c>
      <c r="P541" s="4">
        <v>1699</v>
      </c>
      <c r="Q541" t="s">
        <v>2368</v>
      </c>
      <c r="R541">
        <v>2021</v>
      </c>
    </row>
    <row r="542" spans="1:18" x14ac:dyDescent="0.25">
      <c r="A542" t="s">
        <v>1118</v>
      </c>
      <c r="B542" t="s">
        <v>1246</v>
      </c>
      <c r="C542" s="2">
        <v>177</v>
      </c>
      <c r="D542" t="s">
        <v>375</v>
      </c>
      <c r="E542" t="s">
        <v>461</v>
      </c>
      <c r="F542" t="s">
        <v>1245</v>
      </c>
      <c r="G542" s="5" t="s">
        <v>911</v>
      </c>
      <c r="H542" t="s">
        <v>2438</v>
      </c>
      <c r="I542" s="6">
        <f t="shared" si="8"/>
        <v>38</v>
      </c>
      <c r="J542" s="2">
        <v>4500</v>
      </c>
      <c r="K542" s="2">
        <v>6.55</v>
      </c>
      <c r="L542" s="4">
        <v>109999</v>
      </c>
      <c r="M542" s="4">
        <v>44999</v>
      </c>
      <c r="N542" s="4">
        <v>3299</v>
      </c>
      <c r="O542" s="4">
        <v>499</v>
      </c>
      <c r="P542" s="4">
        <v>1899</v>
      </c>
      <c r="Q542" t="s">
        <v>2368</v>
      </c>
      <c r="R542">
        <v>2021</v>
      </c>
    </row>
    <row r="543" spans="1:18" x14ac:dyDescent="0.25">
      <c r="A543" t="s">
        <v>1118</v>
      </c>
      <c r="B543" t="s">
        <v>1249</v>
      </c>
      <c r="C543" s="2">
        <v>180</v>
      </c>
      <c r="D543" t="s">
        <v>68</v>
      </c>
      <c r="E543" t="s">
        <v>461</v>
      </c>
      <c r="F543" t="s">
        <v>1245</v>
      </c>
      <c r="G543" s="5" t="s">
        <v>821</v>
      </c>
      <c r="H543" t="s">
        <v>2438</v>
      </c>
      <c r="I543" s="6">
        <f t="shared" si="8"/>
        <v>52</v>
      </c>
      <c r="J543" s="2">
        <v>4300</v>
      </c>
      <c r="K543" s="2">
        <v>6.43</v>
      </c>
      <c r="L543" s="4">
        <v>69999</v>
      </c>
      <c r="M543" s="4">
        <v>26999</v>
      </c>
      <c r="N543" s="4">
        <v>2099</v>
      </c>
      <c r="O543" s="4">
        <v>299</v>
      </c>
      <c r="P543" s="4">
        <v>1099</v>
      </c>
      <c r="Q543" t="s">
        <v>2368</v>
      </c>
      <c r="R543">
        <v>2020</v>
      </c>
    </row>
    <row r="544" spans="1:18" x14ac:dyDescent="0.25">
      <c r="A544" t="s">
        <v>1118</v>
      </c>
      <c r="B544" t="s">
        <v>1250</v>
      </c>
      <c r="C544" s="2">
        <v>180</v>
      </c>
      <c r="D544" t="s">
        <v>375</v>
      </c>
      <c r="E544" t="s">
        <v>461</v>
      </c>
      <c r="F544" t="s">
        <v>1245</v>
      </c>
      <c r="G544" s="5" t="s">
        <v>821</v>
      </c>
      <c r="H544" t="s">
        <v>2438</v>
      </c>
      <c r="I544" s="6">
        <f t="shared" si="8"/>
        <v>52</v>
      </c>
      <c r="J544" s="2">
        <v>4300</v>
      </c>
      <c r="K544" s="2">
        <v>6.43</v>
      </c>
      <c r="L544" s="4">
        <v>79999</v>
      </c>
      <c r="M544" s="4">
        <v>29999</v>
      </c>
      <c r="N544" s="4">
        <v>2399</v>
      </c>
      <c r="O544" s="4">
        <v>349</v>
      </c>
      <c r="P544" s="4">
        <v>1299</v>
      </c>
      <c r="Q544" t="s">
        <v>2368</v>
      </c>
      <c r="R544">
        <v>2020</v>
      </c>
    </row>
    <row r="545" spans="1:18" x14ac:dyDescent="0.25">
      <c r="A545" t="s">
        <v>1118</v>
      </c>
      <c r="B545" t="s">
        <v>1251</v>
      </c>
      <c r="C545" s="2">
        <v>173</v>
      </c>
      <c r="D545" t="s">
        <v>68</v>
      </c>
      <c r="E545" t="s">
        <v>461</v>
      </c>
      <c r="F545" t="s">
        <v>1245</v>
      </c>
      <c r="G545" s="5" t="s">
        <v>1252</v>
      </c>
      <c r="H545" t="s">
        <v>2438</v>
      </c>
      <c r="I545" s="6">
        <f t="shared" si="8"/>
        <v>32</v>
      </c>
      <c r="J545" s="2">
        <v>4350</v>
      </c>
      <c r="K545" s="2">
        <v>6.55</v>
      </c>
      <c r="L545" s="4">
        <v>89999</v>
      </c>
      <c r="M545" s="4">
        <v>32999</v>
      </c>
      <c r="N545" s="4">
        <v>2799</v>
      </c>
      <c r="O545" s="4">
        <v>399</v>
      </c>
      <c r="P545" s="4">
        <v>1499</v>
      </c>
      <c r="Q545" t="s">
        <v>2368</v>
      </c>
      <c r="R545">
        <v>2020</v>
      </c>
    </row>
    <row r="546" spans="1:18" x14ac:dyDescent="0.25">
      <c r="A546" t="s">
        <v>1118</v>
      </c>
      <c r="B546" t="s">
        <v>1254</v>
      </c>
      <c r="C546" s="2">
        <v>173</v>
      </c>
      <c r="D546" t="s">
        <v>375</v>
      </c>
      <c r="E546" t="s">
        <v>461</v>
      </c>
      <c r="F546" t="s">
        <v>1245</v>
      </c>
      <c r="G546" s="5" t="s">
        <v>1252</v>
      </c>
      <c r="H546" t="s">
        <v>2438</v>
      </c>
      <c r="I546" s="6">
        <f t="shared" si="8"/>
        <v>32</v>
      </c>
      <c r="J546" s="2">
        <v>4350</v>
      </c>
      <c r="K546" s="2">
        <v>6.55</v>
      </c>
      <c r="L546" s="4">
        <v>99999</v>
      </c>
      <c r="M546" s="4">
        <v>36999</v>
      </c>
      <c r="N546" s="4">
        <v>3099</v>
      </c>
      <c r="O546" s="4">
        <v>449</v>
      </c>
      <c r="P546" s="4">
        <v>1699</v>
      </c>
      <c r="Q546" t="s">
        <v>2368</v>
      </c>
      <c r="R546">
        <v>2020</v>
      </c>
    </row>
    <row r="547" spans="1:18" x14ac:dyDescent="0.25">
      <c r="A547" t="s">
        <v>1118</v>
      </c>
      <c r="B547" t="s">
        <v>1257</v>
      </c>
      <c r="C547" s="2">
        <v>183</v>
      </c>
      <c r="D547" t="s">
        <v>68</v>
      </c>
      <c r="E547" t="s">
        <v>461</v>
      </c>
      <c r="F547" t="s">
        <v>1258</v>
      </c>
      <c r="G547" s="5" t="s">
        <v>821</v>
      </c>
      <c r="H547" t="s">
        <v>2438</v>
      </c>
      <c r="I547" s="6">
        <f t="shared" si="8"/>
        <v>52</v>
      </c>
      <c r="J547" s="2">
        <v>4000</v>
      </c>
      <c r="K547" s="2">
        <v>6.43</v>
      </c>
      <c r="L547" s="4">
        <v>59999</v>
      </c>
      <c r="M547" s="4">
        <v>24999</v>
      </c>
      <c r="N547" s="4">
        <v>1899</v>
      </c>
      <c r="O547" s="4">
        <v>299</v>
      </c>
      <c r="P547" s="4">
        <v>999</v>
      </c>
      <c r="Q547" t="s">
        <v>2368</v>
      </c>
      <c r="R547">
        <v>2020</v>
      </c>
    </row>
    <row r="548" spans="1:18" x14ac:dyDescent="0.25">
      <c r="A548" t="s">
        <v>1118</v>
      </c>
      <c r="B548" t="s">
        <v>1260</v>
      </c>
      <c r="C548" s="2">
        <v>183</v>
      </c>
      <c r="D548" t="s">
        <v>68</v>
      </c>
      <c r="E548" t="s">
        <v>461</v>
      </c>
      <c r="F548" t="s">
        <v>1258</v>
      </c>
      <c r="G548" s="5" t="s">
        <v>821</v>
      </c>
      <c r="H548" t="s">
        <v>2438</v>
      </c>
      <c r="I548" s="6">
        <f t="shared" si="8"/>
        <v>52</v>
      </c>
      <c r="J548" s="2">
        <v>4000</v>
      </c>
      <c r="K548" s="2">
        <v>6.43</v>
      </c>
      <c r="L548" s="4">
        <v>69999</v>
      </c>
      <c r="M548" s="4">
        <v>26999</v>
      </c>
      <c r="N548" s="4">
        <v>2199</v>
      </c>
      <c r="O548" s="4">
        <v>349</v>
      </c>
      <c r="P548" s="4">
        <v>1199</v>
      </c>
      <c r="Q548" t="s">
        <v>2368</v>
      </c>
      <c r="R548">
        <v>2020</v>
      </c>
    </row>
    <row r="549" spans="1:18" x14ac:dyDescent="0.25">
      <c r="A549" t="s">
        <v>1118</v>
      </c>
      <c r="B549" t="s">
        <v>1261</v>
      </c>
      <c r="C549" s="2">
        <v>172</v>
      </c>
      <c r="D549" t="s">
        <v>375</v>
      </c>
      <c r="E549" t="s">
        <v>461</v>
      </c>
      <c r="F549" t="s">
        <v>1262</v>
      </c>
      <c r="G549" s="5" t="s">
        <v>821</v>
      </c>
      <c r="H549" t="s">
        <v>2438</v>
      </c>
      <c r="I549" s="6">
        <f t="shared" si="8"/>
        <v>52</v>
      </c>
      <c r="J549" s="2">
        <v>4000</v>
      </c>
      <c r="K549" s="2">
        <v>6.55</v>
      </c>
      <c r="L549" s="4">
        <v>99999</v>
      </c>
      <c r="M549" s="4">
        <v>39999</v>
      </c>
      <c r="N549" s="4">
        <v>3299</v>
      </c>
      <c r="O549" s="4">
        <v>499</v>
      </c>
      <c r="P549" s="4">
        <v>1799</v>
      </c>
      <c r="Q549" t="s">
        <v>2368</v>
      </c>
      <c r="R549">
        <v>2020</v>
      </c>
    </row>
    <row r="550" spans="1:18" x14ac:dyDescent="0.25">
      <c r="A550" t="s">
        <v>1118</v>
      </c>
      <c r="B550" t="s">
        <v>1263</v>
      </c>
      <c r="C550" s="2">
        <v>181</v>
      </c>
      <c r="D550" t="s">
        <v>68</v>
      </c>
      <c r="E550" t="s">
        <v>461</v>
      </c>
      <c r="F550" t="s">
        <v>1245</v>
      </c>
      <c r="G550" s="5" t="s">
        <v>1264</v>
      </c>
      <c r="H550" t="s">
        <v>2438</v>
      </c>
      <c r="I550" s="6">
        <f t="shared" si="8"/>
        <v>30</v>
      </c>
      <c r="J550" s="2">
        <v>4025</v>
      </c>
      <c r="K550" s="2">
        <v>6.4</v>
      </c>
      <c r="L550" s="4">
        <v>49999</v>
      </c>
      <c r="M550" s="4">
        <v>22999</v>
      </c>
      <c r="N550" s="4">
        <v>1799</v>
      </c>
      <c r="O550" s="4">
        <v>249</v>
      </c>
      <c r="P550" s="4">
        <v>899</v>
      </c>
      <c r="Q550" t="s">
        <v>2368</v>
      </c>
      <c r="R550">
        <v>2019</v>
      </c>
    </row>
    <row r="551" spans="1:18" x14ac:dyDescent="0.25">
      <c r="A551" t="s">
        <v>1118</v>
      </c>
      <c r="B551" t="s">
        <v>1266</v>
      </c>
      <c r="C551" s="2">
        <v>181</v>
      </c>
      <c r="D551" t="s">
        <v>375</v>
      </c>
      <c r="E551" t="s">
        <v>461</v>
      </c>
      <c r="F551" t="s">
        <v>1245</v>
      </c>
      <c r="G551" s="5" t="s">
        <v>1264</v>
      </c>
      <c r="H551" t="s">
        <v>2438</v>
      </c>
      <c r="I551" s="6">
        <f t="shared" si="8"/>
        <v>30</v>
      </c>
      <c r="J551" s="2">
        <v>4025</v>
      </c>
      <c r="K551" s="2">
        <v>6.4</v>
      </c>
      <c r="L551" s="4">
        <v>59999</v>
      </c>
      <c r="M551" s="4">
        <v>26999</v>
      </c>
      <c r="N551" s="4">
        <v>2099</v>
      </c>
      <c r="O551" s="4">
        <v>299</v>
      </c>
      <c r="P551" s="4">
        <v>1099</v>
      </c>
      <c r="Q551" t="s">
        <v>2368</v>
      </c>
      <c r="R551">
        <v>2019</v>
      </c>
    </row>
    <row r="552" spans="1:18" x14ac:dyDescent="0.25">
      <c r="A552" t="s">
        <v>1118</v>
      </c>
      <c r="B552" t="s">
        <v>1267</v>
      </c>
      <c r="C552" s="2">
        <v>171</v>
      </c>
      <c r="D552" t="s">
        <v>375</v>
      </c>
      <c r="E552" t="s">
        <v>461</v>
      </c>
      <c r="F552" t="s">
        <v>1268</v>
      </c>
      <c r="G552" s="5" t="s">
        <v>821</v>
      </c>
      <c r="H552" t="s">
        <v>2438</v>
      </c>
      <c r="I552" s="6">
        <f t="shared" si="8"/>
        <v>52</v>
      </c>
      <c r="J552" s="2">
        <v>4025</v>
      </c>
      <c r="K552" s="2">
        <v>6.5</v>
      </c>
      <c r="L552" s="4">
        <v>79999</v>
      </c>
      <c r="M552" s="4">
        <v>34999</v>
      </c>
      <c r="N552" s="4">
        <v>3299</v>
      </c>
      <c r="O552" s="4">
        <v>499</v>
      </c>
      <c r="P552" s="4">
        <v>1799</v>
      </c>
      <c r="Q552" t="s">
        <v>2368</v>
      </c>
      <c r="R552">
        <v>2019</v>
      </c>
    </row>
    <row r="553" spans="1:18" x14ac:dyDescent="0.25">
      <c r="A553" t="s">
        <v>1118</v>
      </c>
      <c r="B553" t="s">
        <v>1276</v>
      </c>
      <c r="C553" s="2">
        <v>186</v>
      </c>
      <c r="D553" t="s">
        <v>18</v>
      </c>
      <c r="E553" t="s">
        <v>307</v>
      </c>
      <c r="F553" t="s">
        <v>535</v>
      </c>
      <c r="G553" s="5" t="s">
        <v>2377</v>
      </c>
      <c r="H553" t="s">
        <v>2438</v>
      </c>
      <c r="I553" s="6">
        <f t="shared" si="8"/>
        <v>25</v>
      </c>
      <c r="J553" s="2">
        <v>5000</v>
      </c>
      <c r="K553" s="2">
        <v>6.56</v>
      </c>
      <c r="L553" s="4">
        <v>34999</v>
      </c>
      <c r="M553" s="4">
        <v>15999</v>
      </c>
      <c r="N553" s="4">
        <v>1599</v>
      </c>
      <c r="O553" s="4">
        <v>219</v>
      </c>
      <c r="P553" s="4">
        <v>1100</v>
      </c>
      <c r="Q553" t="s">
        <v>2368</v>
      </c>
      <c r="R553">
        <v>2022</v>
      </c>
    </row>
    <row r="554" spans="1:18" x14ac:dyDescent="0.25">
      <c r="A554" t="s">
        <v>1118</v>
      </c>
      <c r="B554" t="s">
        <v>1309</v>
      </c>
      <c r="C554" s="2">
        <v>195</v>
      </c>
      <c r="D554" t="s">
        <v>68</v>
      </c>
      <c r="E554" t="s">
        <v>585</v>
      </c>
      <c r="F554" t="s">
        <v>1310</v>
      </c>
      <c r="G554" s="5" t="s">
        <v>680</v>
      </c>
      <c r="H554" t="s">
        <v>2438</v>
      </c>
      <c r="I554" s="6">
        <f t="shared" si="8"/>
        <v>40</v>
      </c>
      <c r="J554" s="2">
        <v>5000</v>
      </c>
      <c r="K554" s="2">
        <v>6.72</v>
      </c>
      <c r="L554" s="4">
        <v>59999</v>
      </c>
      <c r="M554" s="4">
        <v>18000</v>
      </c>
      <c r="N554" s="4">
        <v>1499</v>
      </c>
      <c r="O554" s="4">
        <v>199</v>
      </c>
      <c r="P554" s="4">
        <v>1000</v>
      </c>
      <c r="Q554" t="s">
        <v>2368</v>
      </c>
      <c r="R554">
        <v>2023</v>
      </c>
    </row>
    <row r="555" spans="1:18" x14ac:dyDescent="0.25">
      <c r="A555" t="s">
        <v>1118</v>
      </c>
      <c r="B555" t="s">
        <v>1312</v>
      </c>
      <c r="C555" s="2">
        <v>195</v>
      </c>
      <c r="D555" t="s">
        <v>375</v>
      </c>
      <c r="E555" t="s">
        <v>585</v>
      </c>
      <c r="F555" t="s">
        <v>1310</v>
      </c>
      <c r="G555" s="5" t="s">
        <v>680</v>
      </c>
      <c r="H555" t="s">
        <v>2438</v>
      </c>
      <c r="I555" s="6">
        <f t="shared" si="8"/>
        <v>40</v>
      </c>
      <c r="J555" s="2">
        <v>5000</v>
      </c>
      <c r="K555" s="2">
        <v>6.72</v>
      </c>
      <c r="L555" s="4">
        <v>64999</v>
      </c>
      <c r="M555" s="4">
        <v>20000</v>
      </c>
      <c r="N555" s="4">
        <v>1699</v>
      </c>
      <c r="O555" s="4">
        <v>229</v>
      </c>
      <c r="P555" s="4">
        <v>1200</v>
      </c>
      <c r="Q555" t="s">
        <v>2368</v>
      </c>
      <c r="R555">
        <v>2023</v>
      </c>
    </row>
    <row r="556" spans="1:18" x14ac:dyDescent="0.25">
      <c r="A556" t="s">
        <v>1118</v>
      </c>
      <c r="B556" t="s">
        <v>1314</v>
      </c>
      <c r="C556" s="2">
        <v>195</v>
      </c>
      <c r="D556" t="s">
        <v>18</v>
      </c>
      <c r="E556" t="s">
        <v>585</v>
      </c>
      <c r="F556" t="s">
        <v>1315</v>
      </c>
      <c r="G556" s="5" t="s">
        <v>680</v>
      </c>
      <c r="H556" t="s">
        <v>2438</v>
      </c>
      <c r="I556" s="6">
        <f t="shared" si="8"/>
        <v>40</v>
      </c>
      <c r="J556" s="2">
        <v>5000</v>
      </c>
      <c r="K556" s="2">
        <v>6.59</v>
      </c>
      <c r="L556" s="4">
        <v>54999</v>
      </c>
      <c r="M556" s="4">
        <v>16990</v>
      </c>
      <c r="N556" s="4">
        <v>1499</v>
      </c>
      <c r="O556" s="4">
        <v>199</v>
      </c>
      <c r="P556" s="4">
        <v>1000</v>
      </c>
      <c r="Q556" t="s">
        <v>2368</v>
      </c>
      <c r="R556">
        <v>2022</v>
      </c>
    </row>
    <row r="557" spans="1:18" x14ac:dyDescent="0.25">
      <c r="A557" t="s">
        <v>1118</v>
      </c>
      <c r="B557" t="s">
        <v>1317</v>
      </c>
      <c r="C557" s="2">
        <v>195</v>
      </c>
      <c r="D557" t="s">
        <v>68</v>
      </c>
      <c r="E557" t="s">
        <v>585</v>
      </c>
      <c r="F557" t="s">
        <v>1315</v>
      </c>
      <c r="G557" s="5" t="s">
        <v>680</v>
      </c>
      <c r="H557" t="s">
        <v>2438</v>
      </c>
      <c r="I557" s="6">
        <f t="shared" si="8"/>
        <v>40</v>
      </c>
      <c r="J557" s="2">
        <v>5000</v>
      </c>
      <c r="K557" s="2">
        <v>6.59</v>
      </c>
      <c r="L557" s="4">
        <v>59999</v>
      </c>
      <c r="M557" s="4">
        <v>18990</v>
      </c>
      <c r="N557" s="4">
        <v>1699</v>
      </c>
      <c r="O557" s="4">
        <v>229</v>
      </c>
      <c r="P557" s="4">
        <v>1200</v>
      </c>
      <c r="Q557" t="s">
        <v>2368</v>
      </c>
      <c r="R557">
        <v>2022</v>
      </c>
    </row>
    <row r="558" spans="1:18" x14ac:dyDescent="0.25">
      <c r="A558" t="s">
        <v>1118</v>
      </c>
      <c r="B558" t="s">
        <v>1318</v>
      </c>
      <c r="C558" s="2">
        <v>205</v>
      </c>
      <c r="D558" t="s">
        <v>68</v>
      </c>
      <c r="E558" t="s">
        <v>585</v>
      </c>
      <c r="F558" t="s">
        <v>1152</v>
      </c>
      <c r="G558" s="5" t="s">
        <v>2410</v>
      </c>
      <c r="H558" t="s">
        <v>2438</v>
      </c>
      <c r="I558" s="6">
        <f t="shared" si="8"/>
        <v>67</v>
      </c>
      <c r="J558" s="2">
        <v>5000</v>
      </c>
      <c r="K558" s="2">
        <v>6.59</v>
      </c>
      <c r="L558" s="4">
        <v>64999</v>
      </c>
      <c r="M558" s="4">
        <v>19999</v>
      </c>
      <c r="N558" s="4">
        <v>1799</v>
      </c>
      <c r="O558" s="4">
        <v>249</v>
      </c>
      <c r="P558" s="4">
        <v>1300</v>
      </c>
      <c r="Q558" t="s">
        <v>2368</v>
      </c>
      <c r="R558">
        <v>2022</v>
      </c>
    </row>
    <row r="559" spans="1:18" x14ac:dyDescent="0.25">
      <c r="A559" t="s">
        <v>1118</v>
      </c>
      <c r="B559" t="s">
        <v>1320</v>
      </c>
      <c r="C559" s="2">
        <v>194</v>
      </c>
      <c r="D559" t="s">
        <v>18</v>
      </c>
      <c r="E559" t="s">
        <v>585</v>
      </c>
      <c r="F559" t="s">
        <v>1315</v>
      </c>
      <c r="G559" s="5" t="s">
        <v>2377</v>
      </c>
      <c r="H559" t="s">
        <v>2438</v>
      </c>
      <c r="I559" s="6">
        <f t="shared" si="8"/>
        <v>25</v>
      </c>
      <c r="J559" s="2">
        <v>5000</v>
      </c>
      <c r="K559" s="2">
        <v>6.5</v>
      </c>
      <c r="L559" s="4">
        <v>49999</v>
      </c>
      <c r="M559" s="4">
        <v>15999</v>
      </c>
      <c r="N559" s="4">
        <v>1499</v>
      </c>
      <c r="O559" s="4">
        <v>199</v>
      </c>
      <c r="P559" s="4">
        <v>1000</v>
      </c>
      <c r="Q559" t="s">
        <v>2368</v>
      </c>
      <c r="R559">
        <v>2021</v>
      </c>
    </row>
    <row r="560" spans="1:18" x14ac:dyDescent="0.25">
      <c r="A560" t="s">
        <v>1118</v>
      </c>
      <c r="B560" t="s">
        <v>1321</v>
      </c>
      <c r="C560" s="2">
        <v>194</v>
      </c>
      <c r="D560" t="s">
        <v>68</v>
      </c>
      <c r="E560" t="s">
        <v>585</v>
      </c>
      <c r="F560" t="s">
        <v>1315</v>
      </c>
      <c r="G560" s="5" t="s">
        <v>2377</v>
      </c>
      <c r="H560" t="s">
        <v>2438</v>
      </c>
      <c r="I560" s="6">
        <f t="shared" si="8"/>
        <v>25</v>
      </c>
      <c r="J560" s="2">
        <v>5000</v>
      </c>
      <c r="K560" s="2">
        <v>6.5</v>
      </c>
      <c r="L560" s="4">
        <v>54999</v>
      </c>
      <c r="M560" s="4">
        <v>17999</v>
      </c>
      <c r="N560" s="4">
        <v>1699</v>
      </c>
      <c r="O560" s="4">
        <v>229</v>
      </c>
      <c r="P560" s="4">
        <v>1200</v>
      </c>
      <c r="Q560" t="s">
        <v>2368</v>
      </c>
      <c r="R560">
        <v>2021</v>
      </c>
    </row>
    <row r="561" spans="1:18" x14ac:dyDescent="0.25">
      <c r="A561" t="s">
        <v>1118</v>
      </c>
      <c r="B561" t="s">
        <v>1322</v>
      </c>
      <c r="C561" s="2">
        <v>180</v>
      </c>
      <c r="D561" t="s">
        <v>68</v>
      </c>
      <c r="E561" t="s">
        <v>585</v>
      </c>
      <c r="F561" t="s">
        <v>1152</v>
      </c>
      <c r="G561" s="5" t="s">
        <v>911</v>
      </c>
      <c r="H561" t="s">
        <v>2438</v>
      </c>
      <c r="I561" s="6">
        <f t="shared" si="8"/>
        <v>38</v>
      </c>
      <c r="J561" s="2">
        <v>4500</v>
      </c>
      <c r="K561" s="2">
        <v>6.43</v>
      </c>
      <c r="L561" s="4">
        <v>69999</v>
      </c>
      <c r="M561" s="4">
        <v>24999</v>
      </c>
      <c r="N561" s="4">
        <v>2199</v>
      </c>
      <c r="O561" s="4">
        <v>299</v>
      </c>
      <c r="P561" s="4">
        <v>1500</v>
      </c>
      <c r="Q561" t="s">
        <v>2368</v>
      </c>
      <c r="R561">
        <v>2021</v>
      </c>
    </row>
    <row r="562" spans="1:18" x14ac:dyDescent="0.25">
      <c r="A562" t="s">
        <v>1118</v>
      </c>
      <c r="B562" t="s">
        <v>1324</v>
      </c>
      <c r="C562" s="2">
        <v>180</v>
      </c>
      <c r="D562" t="s">
        <v>375</v>
      </c>
      <c r="E562" t="s">
        <v>585</v>
      </c>
      <c r="F562" t="s">
        <v>1152</v>
      </c>
      <c r="G562" s="5" t="s">
        <v>911</v>
      </c>
      <c r="H562" t="s">
        <v>2438</v>
      </c>
      <c r="I562" s="6">
        <f t="shared" si="8"/>
        <v>38</v>
      </c>
      <c r="J562" s="2">
        <v>4500</v>
      </c>
      <c r="K562" s="2">
        <v>6.43</v>
      </c>
      <c r="L562" s="4">
        <v>74999</v>
      </c>
      <c r="M562" s="4">
        <v>27999</v>
      </c>
      <c r="N562" s="4">
        <v>2499</v>
      </c>
      <c r="O562" s="4">
        <v>329</v>
      </c>
      <c r="P562" s="4">
        <v>1700</v>
      </c>
      <c r="Q562" t="s">
        <v>2368</v>
      </c>
      <c r="R562">
        <v>2021</v>
      </c>
    </row>
    <row r="563" spans="1:18" x14ac:dyDescent="0.25">
      <c r="A563" t="s">
        <v>1118</v>
      </c>
      <c r="B563" t="s">
        <v>1326</v>
      </c>
      <c r="C563" s="2">
        <v>172</v>
      </c>
      <c r="D563" t="s">
        <v>68</v>
      </c>
      <c r="E563" t="s">
        <v>461</v>
      </c>
      <c r="F563" t="s">
        <v>1152</v>
      </c>
      <c r="G563" s="5" t="s">
        <v>2411</v>
      </c>
      <c r="H563" t="s">
        <v>2438</v>
      </c>
      <c r="I563" s="6">
        <f t="shared" si="8"/>
        <v>55</v>
      </c>
      <c r="J563" s="2">
        <v>4300</v>
      </c>
      <c r="K563" s="2">
        <v>6.43</v>
      </c>
      <c r="L563" s="4">
        <v>59999</v>
      </c>
      <c r="M563" s="4">
        <v>22999</v>
      </c>
      <c r="N563" s="4">
        <v>1999</v>
      </c>
      <c r="O563" s="4">
        <v>279</v>
      </c>
      <c r="P563" s="4">
        <v>1400</v>
      </c>
      <c r="Q563" t="s">
        <v>2368</v>
      </c>
      <c r="R563">
        <v>2021</v>
      </c>
    </row>
    <row r="564" spans="1:18" x14ac:dyDescent="0.25">
      <c r="A564" t="s">
        <v>1118</v>
      </c>
      <c r="B564" t="s">
        <v>1329</v>
      </c>
      <c r="C564" s="2">
        <v>172</v>
      </c>
      <c r="D564" t="s">
        <v>68</v>
      </c>
      <c r="E564" t="s">
        <v>461</v>
      </c>
      <c r="F564" t="s">
        <v>1152</v>
      </c>
      <c r="G564" s="5" t="s">
        <v>2411</v>
      </c>
      <c r="H564" t="s">
        <v>2438</v>
      </c>
      <c r="I564" s="6">
        <f t="shared" si="8"/>
        <v>55</v>
      </c>
      <c r="J564" s="2">
        <v>4300</v>
      </c>
      <c r="K564" s="2">
        <v>6.43</v>
      </c>
      <c r="L564" s="4">
        <v>64999</v>
      </c>
      <c r="M564" s="4">
        <v>24999</v>
      </c>
      <c r="N564" s="4">
        <v>2199</v>
      </c>
      <c r="O564" s="4">
        <v>299</v>
      </c>
      <c r="P564" s="4">
        <v>1500</v>
      </c>
      <c r="Q564" t="s">
        <v>2368</v>
      </c>
      <c r="R564">
        <v>2021</v>
      </c>
    </row>
    <row r="565" spans="1:18" x14ac:dyDescent="0.25">
      <c r="A565" t="s">
        <v>1118</v>
      </c>
      <c r="B565" t="s">
        <v>1331</v>
      </c>
      <c r="C565" s="2">
        <v>180</v>
      </c>
      <c r="D565" t="s">
        <v>68</v>
      </c>
      <c r="E565" t="s">
        <v>461</v>
      </c>
      <c r="F565" t="s">
        <v>1258</v>
      </c>
      <c r="G565" s="5" t="s">
        <v>821</v>
      </c>
      <c r="H565" t="s">
        <v>2438</v>
      </c>
      <c r="I565" s="6">
        <f t="shared" si="8"/>
        <v>52</v>
      </c>
      <c r="J565" s="2">
        <v>4025</v>
      </c>
      <c r="K565" s="2">
        <v>6.4</v>
      </c>
      <c r="L565" s="4">
        <v>49999</v>
      </c>
      <c r="M565" s="4">
        <v>19999</v>
      </c>
      <c r="N565" s="4">
        <v>1999</v>
      </c>
      <c r="O565" s="4">
        <v>279</v>
      </c>
      <c r="P565" s="4">
        <v>1400</v>
      </c>
      <c r="Q565" t="s">
        <v>2368</v>
      </c>
      <c r="R565">
        <v>2020</v>
      </c>
    </row>
    <row r="566" spans="1:18" x14ac:dyDescent="0.25">
      <c r="A566" t="s">
        <v>1118</v>
      </c>
      <c r="B566" t="s">
        <v>1332</v>
      </c>
      <c r="C566" s="2">
        <v>180</v>
      </c>
      <c r="D566" t="s">
        <v>68</v>
      </c>
      <c r="E566" t="s">
        <v>461</v>
      </c>
      <c r="F566" t="s">
        <v>1258</v>
      </c>
      <c r="G566" s="5" t="s">
        <v>821</v>
      </c>
      <c r="H566" t="s">
        <v>2438</v>
      </c>
      <c r="I566" s="6">
        <f t="shared" si="8"/>
        <v>52</v>
      </c>
      <c r="J566" s="2">
        <v>4025</v>
      </c>
      <c r="K566" s="2">
        <v>6.4</v>
      </c>
      <c r="L566" s="4">
        <v>54999</v>
      </c>
      <c r="M566" s="4">
        <v>21999</v>
      </c>
      <c r="N566" s="4">
        <v>2199</v>
      </c>
      <c r="O566" s="4">
        <v>299</v>
      </c>
      <c r="P566" s="4">
        <v>1500</v>
      </c>
      <c r="Q566" t="s">
        <v>2368</v>
      </c>
      <c r="R566">
        <v>2020</v>
      </c>
    </row>
    <row r="567" spans="1:18" x14ac:dyDescent="0.25">
      <c r="A567" t="s">
        <v>1118</v>
      </c>
      <c r="B567" t="s">
        <v>1309</v>
      </c>
      <c r="C567" s="2">
        <v>195</v>
      </c>
      <c r="D567" t="s">
        <v>68</v>
      </c>
      <c r="E567" t="s">
        <v>585</v>
      </c>
      <c r="F567" t="s">
        <v>1310</v>
      </c>
      <c r="G567" s="5" t="s">
        <v>680</v>
      </c>
      <c r="H567" t="s">
        <v>2438</v>
      </c>
      <c r="I567" s="6">
        <f t="shared" si="8"/>
        <v>40</v>
      </c>
      <c r="J567" s="2">
        <v>5000</v>
      </c>
      <c r="K567" s="2">
        <v>6.72</v>
      </c>
      <c r="L567" s="4">
        <v>59999</v>
      </c>
      <c r="M567" s="4">
        <v>18000</v>
      </c>
      <c r="N567" s="4">
        <v>1499</v>
      </c>
      <c r="O567" s="4">
        <v>199</v>
      </c>
      <c r="P567" s="4">
        <v>1000</v>
      </c>
      <c r="Q567" t="s">
        <v>2368</v>
      </c>
      <c r="R567">
        <v>2023</v>
      </c>
    </row>
    <row r="568" spans="1:18" x14ac:dyDescent="0.25">
      <c r="A568" t="s">
        <v>1118</v>
      </c>
      <c r="B568" t="s">
        <v>1312</v>
      </c>
      <c r="C568" s="2">
        <v>195</v>
      </c>
      <c r="D568" t="s">
        <v>375</v>
      </c>
      <c r="E568" t="s">
        <v>585</v>
      </c>
      <c r="F568" t="s">
        <v>1310</v>
      </c>
      <c r="G568" s="5" t="s">
        <v>680</v>
      </c>
      <c r="H568" t="s">
        <v>2438</v>
      </c>
      <c r="I568" s="6">
        <f t="shared" si="8"/>
        <v>40</v>
      </c>
      <c r="J568" s="2">
        <v>5000</v>
      </c>
      <c r="K568" s="2">
        <v>6.72</v>
      </c>
      <c r="L568" s="4">
        <v>64999</v>
      </c>
      <c r="M568" s="4">
        <v>20000</v>
      </c>
      <c r="N568" s="4">
        <v>1699</v>
      </c>
      <c r="O568" s="4">
        <v>229</v>
      </c>
      <c r="P568" s="4">
        <v>1200</v>
      </c>
      <c r="Q568" t="s">
        <v>2368</v>
      </c>
      <c r="R568">
        <v>2023</v>
      </c>
    </row>
    <row r="569" spans="1:18" x14ac:dyDescent="0.25">
      <c r="A569" t="s">
        <v>1118</v>
      </c>
      <c r="B569" t="s">
        <v>1333</v>
      </c>
      <c r="C569" s="2">
        <v>184</v>
      </c>
      <c r="D569" t="s">
        <v>68</v>
      </c>
      <c r="E569" t="s">
        <v>585</v>
      </c>
      <c r="F569" t="s">
        <v>1152</v>
      </c>
      <c r="G569" s="5" t="s">
        <v>749</v>
      </c>
      <c r="H569" t="s">
        <v>2438</v>
      </c>
      <c r="I569" s="6">
        <f t="shared" si="8"/>
        <v>65</v>
      </c>
      <c r="J569" s="2">
        <v>5000</v>
      </c>
      <c r="K569" s="2">
        <v>6.7</v>
      </c>
      <c r="L569" s="4">
        <v>69999</v>
      </c>
      <c r="M569" s="4">
        <v>21999</v>
      </c>
      <c r="N569" s="4">
        <v>1899</v>
      </c>
      <c r="O569" s="4">
        <v>259</v>
      </c>
      <c r="P569" s="4">
        <v>1300</v>
      </c>
      <c r="Q569" t="s">
        <v>2368</v>
      </c>
      <c r="R569">
        <v>2023</v>
      </c>
    </row>
    <row r="570" spans="1:18" x14ac:dyDescent="0.25">
      <c r="A570" t="s">
        <v>1118</v>
      </c>
      <c r="B570" t="s">
        <v>1336</v>
      </c>
      <c r="C570" s="2">
        <v>184</v>
      </c>
      <c r="D570" t="s">
        <v>375</v>
      </c>
      <c r="E570" t="s">
        <v>585</v>
      </c>
      <c r="F570" t="s">
        <v>1152</v>
      </c>
      <c r="G570" s="5" t="s">
        <v>749</v>
      </c>
      <c r="H570" t="s">
        <v>2438</v>
      </c>
      <c r="I570" s="6">
        <f t="shared" si="8"/>
        <v>65</v>
      </c>
      <c r="J570" s="2">
        <v>5000</v>
      </c>
      <c r="K570" s="2">
        <v>6.7</v>
      </c>
      <c r="L570" s="4">
        <v>74999</v>
      </c>
      <c r="M570" s="4">
        <v>24999</v>
      </c>
      <c r="N570" s="4">
        <v>2199</v>
      </c>
      <c r="O570" s="4">
        <v>299</v>
      </c>
      <c r="P570" s="4">
        <v>1500</v>
      </c>
      <c r="Q570" t="s">
        <v>2368</v>
      </c>
      <c r="R570">
        <v>2023</v>
      </c>
    </row>
    <row r="571" spans="1:18" x14ac:dyDescent="0.25">
      <c r="A571" t="s">
        <v>1118</v>
      </c>
      <c r="B571" t="s">
        <v>1314</v>
      </c>
      <c r="C571" s="2">
        <v>195</v>
      </c>
      <c r="D571" t="s">
        <v>18</v>
      </c>
      <c r="E571" t="s">
        <v>585</v>
      </c>
      <c r="F571" t="s">
        <v>1315</v>
      </c>
      <c r="G571" s="5" t="s">
        <v>680</v>
      </c>
      <c r="H571" t="s">
        <v>2438</v>
      </c>
      <c r="I571" s="6">
        <f t="shared" si="8"/>
        <v>40</v>
      </c>
      <c r="J571" s="2">
        <v>5000</v>
      </c>
      <c r="K571" s="2">
        <v>6.59</v>
      </c>
      <c r="L571" s="4">
        <v>54999</v>
      </c>
      <c r="M571" s="4">
        <v>16990</v>
      </c>
      <c r="N571" s="4">
        <v>1499</v>
      </c>
      <c r="O571" s="4">
        <v>199</v>
      </c>
      <c r="P571" s="4">
        <v>1000</v>
      </c>
      <c r="Q571" t="s">
        <v>2368</v>
      </c>
      <c r="R571">
        <v>2022</v>
      </c>
    </row>
    <row r="572" spans="1:18" x14ac:dyDescent="0.25">
      <c r="A572" t="s">
        <v>1118</v>
      </c>
      <c r="B572" t="s">
        <v>1317</v>
      </c>
      <c r="C572" s="2">
        <v>195</v>
      </c>
      <c r="D572" t="s">
        <v>68</v>
      </c>
      <c r="E572" t="s">
        <v>585</v>
      </c>
      <c r="F572" t="s">
        <v>1315</v>
      </c>
      <c r="G572" s="5" t="s">
        <v>680</v>
      </c>
      <c r="H572" t="s">
        <v>2438</v>
      </c>
      <c r="I572" s="6">
        <f t="shared" si="8"/>
        <v>40</v>
      </c>
      <c r="J572" s="2">
        <v>5000</v>
      </c>
      <c r="K572" s="2">
        <v>6.59</v>
      </c>
      <c r="L572" s="4">
        <v>59999</v>
      </c>
      <c r="M572" s="4">
        <v>18990</v>
      </c>
      <c r="N572" s="4">
        <v>1699</v>
      </c>
      <c r="O572" s="4">
        <v>229</v>
      </c>
      <c r="P572" s="4">
        <v>1200</v>
      </c>
      <c r="Q572" t="s">
        <v>2368</v>
      </c>
      <c r="R572">
        <v>2022</v>
      </c>
    </row>
    <row r="573" spans="1:18" x14ac:dyDescent="0.25">
      <c r="A573" t="s">
        <v>1118</v>
      </c>
      <c r="B573" t="s">
        <v>1318</v>
      </c>
      <c r="C573" s="2">
        <v>205</v>
      </c>
      <c r="D573" t="s">
        <v>68</v>
      </c>
      <c r="E573" t="s">
        <v>585</v>
      </c>
      <c r="F573" t="s">
        <v>1152</v>
      </c>
      <c r="G573" s="5" t="s">
        <v>2410</v>
      </c>
      <c r="H573" t="s">
        <v>2438</v>
      </c>
      <c r="I573" s="6">
        <f t="shared" si="8"/>
        <v>67</v>
      </c>
      <c r="J573" s="2">
        <v>5000</v>
      </c>
      <c r="K573" s="2">
        <v>6.59</v>
      </c>
      <c r="L573" s="4">
        <v>64999</v>
      </c>
      <c r="M573" s="4">
        <v>19999</v>
      </c>
      <c r="N573" s="4">
        <v>1799</v>
      </c>
      <c r="O573" s="4">
        <v>249</v>
      </c>
      <c r="P573" s="4">
        <v>1300</v>
      </c>
      <c r="Q573" t="s">
        <v>2368</v>
      </c>
      <c r="R573">
        <v>2022</v>
      </c>
    </row>
    <row r="574" spans="1:18" x14ac:dyDescent="0.25">
      <c r="A574" t="s">
        <v>1118</v>
      </c>
      <c r="B574" t="s">
        <v>1337</v>
      </c>
      <c r="C574" s="2">
        <v>205</v>
      </c>
      <c r="D574" t="s">
        <v>375</v>
      </c>
      <c r="E574" t="s">
        <v>585</v>
      </c>
      <c r="F574" t="s">
        <v>1152</v>
      </c>
      <c r="G574" s="5" t="s">
        <v>2410</v>
      </c>
      <c r="H574" t="s">
        <v>2438</v>
      </c>
      <c r="I574" s="6">
        <f t="shared" si="8"/>
        <v>67</v>
      </c>
      <c r="J574" s="2">
        <v>5000</v>
      </c>
      <c r="K574" s="2">
        <v>6.59</v>
      </c>
      <c r="L574" s="4">
        <v>69999</v>
      </c>
      <c r="M574" s="4">
        <v>22999</v>
      </c>
      <c r="N574" s="4">
        <v>2099</v>
      </c>
      <c r="O574" s="4">
        <v>279</v>
      </c>
      <c r="P574" s="4">
        <v>1500</v>
      </c>
      <c r="Q574" t="s">
        <v>2368</v>
      </c>
      <c r="R574">
        <v>2022</v>
      </c>
    </row>
    <row r="575" spans="1:18" x14ac:dyDescent="0.25">
      <c r="A575" t="s">
        <v>1118</v>
      </c>
      <c r="B575" t="s">
        <v>1320</v>
      </c>
      <c r="C575" s="2">
        <v>194</v>
      </c>
      <c r="D575" t="s">
        <v>18</v>
      </c>
      <c r="E575" t="s">
        <v>585</v>
      </c>
      <c r="F575" t="s">
        <v>1315</v>
      </c>
      <c r="G575" s="5" t="s">
        <v>2377</v>
      </c>
      <c r="H575" t="s">
        <v>2438</v>
      </c>
      <c r="I575" s="6">
        <f t="shared" si="8"/>
        <v>25</v>
      </c>
      <c r="J575" s="2">
        <v>5000</v>
      </c>
      <c r="K575" s="2">
        <v>6.5</v>
      </c>
      <c r="L575" s="4">
        <v>49999</v>
      </c>
      <c r="M575" s="4">
        <v>15999</v>
      </c>
      <c r="N575" s="4">
        <v>1499</v>
      </c>
      <c r="O575" s="4">
        <v>199</v>
      </c>
      <c r="P575" s="4">
        <v>1000</v>
      </c>
      <c r="Q575" t="s">
        <v>2368</v>
      </c>
      <c r="R575">
        <v>2021</v>
      </c>
    </row>
    <row r="576" spans="1:18" x14ac:dyDescent="0.25">
      <c r="A576" t="s">
        <v>1118</v>
      </c>
      <c r="B576" t="s">
        <v>1321</v>
      </c>
      <c r="C576" s="2">
        <v>194</v>
      </c>
      <c r="D576" t="s">
        <v>68</v>
      </c>
      <c r="E576" t="s">
        <v>585</v>
      </c>
      <c r="F576" t="s">
        <v>1315</v>
      </c>
      <c r="G576" s="5" t="s">
        <v>2377</v>
      </c>
      <c r="H576" t="s">
        <v>2438</v>
      </c>
      <c r="I576" s="6">
        <f t="shared" si="8"/>
        <v>25</v>
      </c>
      <c r="J576" s="2">
        <v>5000</v>
      </c>
      <c r="K576" s="2">
        <v>6.5</v>
      </c>
      <c r="L576" s="4">
        <v>54999</v>
      </c>
      <c r="M576" s="4">
        <v>17999</v>
      </c>
      <c r="N576" s="4">
        <v>1699</v>
      </c>
      <c r="O576" s="4">
        <v>229</v>
      </c>
      <c r="P576" s="4">
        <v>1200</v>
      </c>
      <c r="Q576" t="s">
        <v>2368</v>
      </c>
      <c r="R576">
        <v>2021</v>
      </c>
    </row>
    <row r="577" spans="1:18" x14ac:dyDescent="0.25">
      <c r="A577" t="s">
        <v>1118</v>
      </c>
      <c r="B577" t="s">
        <v>1322</v>
      </c>
      <c r="C577" s="2">
        <v>180</v>
      </c>
      <c r="D577" t="s">
        <v>68</v>
      </c>
      <c r="E577" t="s">
        <v>585</v>
      </c>
      <c r="F577" t="s">
        <v>1152</v>
      </c>
      <c r="G577" s="5" t="s">
        <v>911</v>
      </c>
      <c r="H577" t="s">
        <v>2438</v>
      </c>
      <c r="I577" s="6">
        <f t="shared" si="8"/>
        <v>38</v>
      </c>
      <c r="J577" s="2">
        <v>4500</v>
      </c>
      <c r="K577" s="2">
        <v>6.43</v>
      </c>
      <c r="L577" s="4">
        <v>69999</v>
      </c>
      <c r="M577" s="4">
        <v>24999</v>
      </c>
      <c r="N577" s="4">
        <v>2199</v>
      </c>
      <c r="O577" s="4">
        <v>299</v>
      </c>
      <c r="P577" s="4">
        <v>1500</v>
      </c>
      <c r="Q577" t="s">
        <v>2368</v>
      </c>
      <c r="R577">
        <v>2021</v>
      </c>
    </row>
    <row r="578" spans="1:18" x14ac:dyDescent="0.25">
      <c r="A578" t="s">
        <v>1118</v>
      </c>
      <c r="B578" t="s">
        <v>1324</v>
      </c>
      <c r="C578" s="2">
        <v>180</v>
      </c>
      <c r="D578" t="s">
        <v>375</v>
      </c>
      <c r="E578" t="s">
        <v>585</v>
      </c>
      <c r="F578" t="s">
        <v>1152</v>
      </c>
      <c r="G578" s="5" t="s">
        <v>911</v>
      </c>
      <c r="H578" t="s">
        <v>2438</v>
      </c>
      <c r="I578" s="6">
        <f t="shared" ref="I578:I641" si="9">_xlfn.XLOOKUP(G578, $T$2:$T$183,$U$2:$U$183,"Unknown",0)</f>
        <v>38</v>
      </c>
      <c r="J578" s="2">
        <v>4500</v>
      </c>
      <c r="K578" s="2">
        <v>6.43</v>
      </c>
      <c r="L578" s="4">
        <v>74999</v>
      </c>
      <c r="M578" s="4">
        <v>27999</v>
      </c>
      <c r="N578" s="4">
        <v>2499</v>
      </c>
      <c r="O578" s="4">
        <v>329</v>
      </c>
      <c r="P578" s="4">
        <v>1700</v>
      </c>
      <c r="Q578" t="s">
        <v>2368</v>
      </c>
      <c r="R578">
        <v>2021</v>
      </c>
    </row>
    <row r="579" spans="1:18" x14ac:dyDescent="0.25">
      <c r="A579" t="s">
        <v>1118</v>
      </c>
      <c r="B579" t="s">
        <v>1326</v>
      </c>
      <c r="C579" s="2">
        <v>172</v>
      </c>
      <c r="D579" t="s">
        <v>68</v>
      </c>
      <c r="E579" t="s">
        <v>461</v>
      </c>
      <c r="F579" t="s">
        <v>1152</v>
      </c>
      <c r="G579" s="5" t="s">
        <v>2411</v>
      </c>
      <c r="H579" t="s">
        <v>2438</v>
      </c>
      <c r="I579" s="6">
        <f t="shared" si="9"/>
        <v>55</v>
      </c>
      <c r="J579" s="2">
        <v>4300</v>
      </c>
      <c r="K579" s="2">
        <v>6.43</v>
      </c>
      <c r="L579" s="4">
        <v>59999</v>
      </c>
      <c r="M579" s="4">
        <v>22999</v>
      </c>
      <c r="N579" s="4">
        <v>1999</v>
      </c>
      <c r="O579" s="4">
        <v>279</v>
      </c>
      <c r="P579" s="4">
        <v>1400</v>
      </c>
      <c r="Q579" t="s">
        <v>2368</v>
      </c>
      <c r="R579">
        <v>2021</v>
      </c>
    </row>
    <row r="580" spans="1:18" x14ac:dyDescent="0.25">
      <c r="A580" t="s">
        <v>1118</v>
      </c>
      <c r="B580" t="s">
        <v>1329</v>
      </c>
      <c r="C580" s="2">
        <v>172</v>
      </c>
      <c r="D580" t="s">
        <v>68</v>
      </c>
      <c r="E580" t="s">
        <v>461</v>
      </c>
      <c r="F580" t="s">
        <v>1152</v>
      </c>
      <c r="G580" s="5" t="s">
        <v>2411</v>
      </c>
      <c r="H580" t="s">
        <v>2438</v>
      </c>
      <c r="I580" s="6">
        <f t="shared" si="9"/>
        <v>55</v>
      </c>
      <c r="J580" s="2">
        <v>4300</v>
      </c>
      <c r="K580" s="2">
        <v>6.43</v>
      </c>
      <c r="L580" s="4">
        <v>64999</v>
      </c>
      <c r="M580" s="4">
        <v>24999</v>
      </c>
      <c r="N580" s="4">
        <v>2199</v>
      </c>
      <c r="O580" s="4">
        <v>299</v>
      </c>
      <c r="P580" s="4">
        <v>1500</v>
      </c>
      <c r="Q580" t="s">
        <v>2368</v>
      </c>
      <c r="R580">
        <v>2021</v>
      </c>
    </row>
    <row r="581" spans="1:18" x14ac:dyDescent="0.25">
      <c r="A581" t="s">
        <v>1118</v>
      </c>
      <c r="B581" t="s">
        <v>1331</v>
      </c>
      <c r="C581" s="2">
        <v>180</v>
      </c>
      <c r="D581" t="s">
        <v>68</v>
      </c>
      <c r="E581" t="s">
        <v>461</v>
      </c>
      <c r="F581" t="s">
        <v>1258</v>
      </c>
      <c r="G581" s="5" t="s">
        <v>821</v>
      </c>
      <c r="H581" t="s">
        <v>2438</v>
      </c>
      <c r="I581" s="6">
        <f t="shared" si="9"/>
        <v>52</v>
      </c>
      <c r="J581" s="2">
        <v>4025</v>
      </c>
      <c r="K581" s="2">
        <v>6.4</v>
      </c>
      <c r="L581" s="4">
        <v>49999</v>
      </c>
      <c r="M581" s="4">
        <v>19999</v>
      </c>
      <c r="N581" s="4">
        <v>1999</v>
      </c>
      <c r="O581" s="4">
        <v>279</v>
      </c>
      <c r="P581" s="4">
        <v>1400</v>
      </c>
      <c r="Q581" t="s">
        <v>2368</v>
      </c>
      <c r="R581">
        <v>2020</v>
      </c>
    </row>
    <row r="582" spans="1:18" x14ac:dyDescent="0.25">
      <c r="A582" t="s">
        <v>2291</v>
      </c>
      <c r="B582" t="s">
        <v>2298</v>
      </c>
      <c r="C582" s="2">
        <v>198</v>
      </c>
      <c r="D582" t="s">
        <v>162</v>
      </c>
      <c r="E582" t="s">
        <v>307</v>
      </c>
      <c r="F582" t="s">
        <v>20</v>
      </c>
      <c r="G582" s="5" t="s">
        <v>1623</v>
      </c>
      <c r="H582" t="s">
        <v>2439</v>
      </c>
      <c r="I582" s="6">
        <f t="shared" si="9"/>
        <v>20</v>
      </c>
      <c r="J582" s="2">
        <v>6000</v>
      </c>
      <c r="K582" s="2">
        <v>6.53</v>
      </c>
      <c r="L582" s="4">
        <v>24999</v>
      </c>
      <c r="M582" s="4">
        <v>10999</v>
      </c>
      <c r="N582" s="4">
        <v>999</v>
      </c>
      <c r="O582" s="4">
        <v>149</v>
      </c>
      <c r="P582" s="4">
        <v>599</v>
      </c>
      <c r="Q582" t="s">
        <v>2368</v>
      </c>
      <c r="R582">
        <v>2020</v>
      </c>
    </row>
    <row r="583" spans="1:18" x14ac:dyDescent="0.25">
      <c r="A583" t="s">
        <v>2291</v>
      </c>
      <c r="B583" t="s">
        <v>2302</v>
      </c>
      <c r="C583" s="2">
        <v>190</v>
      </c>
      <c r="D583" t="s">
        <v>162</v>
      </c>
      <c r="E583" t="s">
        <v>307</v>
      </c>
      <c r="F583" t="s">
        <v>20</v>
      </c>
      <c r="G583" s="5" t="s">
        <v>2373</v>
      </c>
      <c r="H583" t="s">
        <v>2439</v>
      </c>
      <c r="I583" s="6">
        <f t="shared" si="9"/>
        <v>18</v>
      </c>
      <c r="J583" s="2">
        <v>5000</v>
      </c>
      <c r="K583" s="2">
        <v>6.5</v>
      </c>
      <c r="L583" s="4">
        <v>29999</v>
      </c>
      <c r="M583" s="4">
        <v>13999</v>
      </c>
      <c r="N583" s="4">
        <v>1199</v>
      </c>
      <c r="O583" s="4">
        <v>199</v>
      </c>
      <c r="P583" s="4">
        <v>799</v>
      </c>
      <c r="Q583" t="s">
        <v>2368</v>
      </c>
      <c r="R583">
        <v>2021</v>
      </c>
    </row>
    <row r="584" spans="1:18" x14ac:dyDescent="0.25">
      <c r="A584" t="s">
        <v>2291</v>
      </c>
      <c r="B584" t="s">
        <v>2311</v>
      </c>
      <c r="C584" s="2">
        <v>179</v>
      </c>
      <c r="D584" t="s">
        <v>18</v>
      </c>
      <c r="E584" t="s">
        <v>585</v>
      </c>
      <c r="F584" t="s">
        <v>907</v>
      </c>
      <c r="G584" s="5" t="s">
        <v>2397</v>
      </c>
      <c r="H584" t="s">
        <v>2439</v>
      </c>
      <c r="I584" s="6">
        <f t="shared" si="9"/>
        <v>20</v>
      </c>
      <c r="J584" s="2">
        <v>5000</v>
      </c>
      <c r="K584" s="2">
        <v>6.43</v>
      </c>
      <c r="L584" s="4">
        <v>39999</v>
      </c>
      <c r="M584" s="4">
        <v>14999</v>
      </c>
      <c r="N584" s="4">
        <v>1499</v>
      </c>
      <c r="O584" s="4">
        <v>219</v>
      </c>
      <c r="P584" s="4">
        <v>849</v>
      </c>
      <c r="Q584" t="s">
        <v>2368</v>
      </c>
      <c r="R584">
        <v>2022</v>
      </c>
    </row>
    <row r="585" spans="1:18" x14ac:dyDescent="0.25">
      <c r="A585" t="s">
        <v>2291</v>
      </c>
      <c r="B585" t="s">
        <v>2312</v>
      </c>
      <c r="C585" s="2">
        <v>201</v>
      </c>
      <c r="D585" t="s">
        <v>162</v>
      </c>
      <c r="E585" t="s">
        <v>508</v>
      </c>
      <c r="F585" t="s">
        <v>580</v>
      </c>
      <c r="G585" s="5" t="s">
        <v>2390</v>
      </c>
      <c r="H585" t="s">
        <v>2439</v>
      </c>
      <c r="I585" s="6">
        <f t="shared" si="9"/>
        <v>22</v>
      </c>
      <c r="J585" s="2">
        <v>5000</v>
      </c>
      <c r="K585" s="2">
        <v>6.58</v>
      </c>
      <c r="L585" s="4">
        <v>29999</v>
      </c>
      <c r="M585" s="4">
        <v>12499</v>
      </c>
      <c r="N585" s="4">
        <v>1299</v>
      </c>
      <c r="O585" s="4">
        <v>199</v>
      </c>
      <c r="P585" s="4">
        <v>799</v>
      </c>
      <c r="Q585" t="s">
        <v>2368</v>
      </c>
      <c r="R585">
        <v>2022</v>
      </c>
    </row>
    <row r="586" spans="1:18" x14ac:dyDescent="0.25">
      <c r="A586" t="s">
        <v>2291</v>
      </c>
      <c r="B586" t="s">
        <v>2313</v>
      </c>
      <c r="C586" s="2">
        <v>178.8</v>
      </c>
      <c r="D586" t="s">
        <v>162</v>
      </c>
      <c r="E586" t="s">
        <v>475</v>
      </c>
      <c r="F586" t="s">
        <v>907</v>
      </c>
      <c r="G586" s="5" t="s">
        <v>2412</v>
      </c>
      <c r="H586" t="s">
        <v>2439</v>
      </c>
      <c r="I586" s="6">
        <f t="shared" si="9"/>
        <v>18</v>
      </c>
      <c r="J586" s="2">
        <v>5000</v>
      </c>
      <c r="K586" s="2">
        <v>6.43</v>
      </c>
      <c r="L586" s="4">
        <v>34999</v>
      </c>
      <c r="M586" s="4">
        <v>13999</v>
      </c>
      <c r="N586" s="4">
        <v>1399</v>
      </c>
      <c r="O586" s="4">
        <v>229</v>
      </c>
      <c r="P586" s="4">
        <v>899</v>
      </c>
      <c r="Q586" t="s">
        <v>2368</v>
      </c>
      <c r="R586">
        <v>2022</v>
      </c>
    </row>
    <row r="587" spans="1:18" x14ac:dyDescent="0.25">
      <c r="A587" t="s">
        <v>2291</v>
      </c>
      <c r="B587" t="s">
        <v>2321</v>
      </c>
      <c r="C587" s="2">
        <v>199</v>
      </c>
      <c r="D587" t="s">
        <v>162</v>
      </c>
      <c r="E587" t="s">
        <v>307</v>
      </c>
      <c r="F587" t="s">
        <v>580</v>
      </c>
      <c r="G587" s="5" t="s">
        <v>2394</v>
      </c>
      <c r="H587" t="s">
        <v>2439</v>
      </c>
      <c r="I587" s="6">
        <f t="shared" si="9"/>
        <v>14</v>
      </c>
      <c r="J587" s="2">
        <v>5000</v>
      </c>
      <c r="K587" s="2">
        <v>6.58</v>
      </c>
      <c r="L587" s="4">
        <v>29999</v>
      </c>
      <c r="M587" s="4">
        <v>12999</v>
      </c>
      <c r="N587" s="4">
        <v>1299</v>
      </c>
      <c r="O587" s="4">
        <v>199</v>
      </c>
      <c r="P587" s="4">
        <v>799</v>
      </c>
      <c r="Q587" t="s">
        <v>2368</v>
      </c>
      <c r="R587">
        <v>2023</v>
      </c>
    </row>
    <row r="588" spans="1:18" x14ac:dyDescent="0.25">
      <c r="A588" t="s">
        <v>2291</v>
      </c>
      <c r="B588" t="s">
        <v>2322</v>
      </c>
      <c r="C588" s="2">
        <v>202</v>
      </c>
      <c r="D588" t="s">
        <v>18</v>
      </c>
      <c r="E588" t="s">
        <v>307</v>
      </c>
      <c r="F588" t="s">
        <v>580</v>
      </c>
      <c r="G588" s="5" t="s">
        <v>2323</v>
      </c>
      <c r="H588" t="s">
        <v>2439</v>
      </c>
      <c r="I588" s="6">
        <f t="shared" si="9"/>
        <v>18</v>
      </c>
      <c r="J588" s="2">
        <v>5000</v>
      </c>
      <c r="K588" s="2">
        <v>6.79</v>
      </c>
      <c r="L588" s="4">
        <v>34999</v>
      </c>
      <c r="M588" s="4">
        <v>14999</v>
      </c>
      <c r="N588" s="4">
        <v>1499</v>
      </c>
      <c r="O588" s="4">
        <v>219</v>
      </c>
      <c r="P588" s="4">
        <v>849</v>
      </c>
      <c r="Q588" t="s">
        <v>2368</v>
      </c>
      <c r="R588">
        <v>2023</v>
      </c>
    </row>
    <row r="589" spans="1:18" x14ac:dyDescent="0.25">
      <c r="A589" t="s">
        <v>2291</v>
      </c>
      <c r="B589" t="s">
        <v>2331</v>
      </c>
      <c r="C589" s="2">
        <v>190</v>
      </c>
      <c r="D589" t="s">
        <v>162</v>
      </c>
      <c r="E589" t="s">
        <v>508</v>
      </c>
      <c r="F589" t="s">
        <v>580</v>
      </c>
      <c r="G589" s="5" t="s">
        <v>2391</v>
      </c>
      <c r="H589" t="s">
        <v>2439</v>
      </c>
      <c r="I589" s="6">
        <f t="shared" si="9"/>
        <v>12</v>
      </c>
      <c r="J589" s="2">
        <v>5000</v>
      </c>
      <c r="K589" s="2">
        <v>6.5</v>
      </c>
      <c r="L589" s="4">
        <v>24999</v>
      </c>
      <c r="M589" s="4">
        <v>10999</v>
      </c>
      <c r="N589" s="4">
        <v>999</v>
      </c>
      <c r="O589" s="4">
        <v>149</v>
      </c>
      <c r="P589" s="4">
        <v>599</v>
      </c>
      <c r="Q589" t="s">
        <v>2368</v>
      </c>
      <c r="R589">
        <v>2024</v>
      </c>
    </row>
    <row r="590" spans="1:18" x14ac:dyDescent="0.25">
      <c r="A590" t="s">
        <v>2291</v>
      </c>
      <c r="B590" t="s">
        <v>2292</v>
      </c>
      <c r="C590" s="2">
        <v>219</v>
      </c>
      <c r="D590" t="s">
        <v>18</v>
      </c>
      <c r="E590" t="s">
        <v>951</v>
      </c>
      <c r="F590" t="s">
        <v>907</v>
      </c>
      <c r="G590" s="5" t="s">
        <v>795</v>
      </c>
      <c r="H590" t="s">
        <v>2437</v>
      </c>
      <c r="I590" s="6">
        <f t="shared" si="9"/>
        <v>80</v>
      </c>
      <c r="J590" s="2">
        <v>4700</v>
      </c>
      <c r="K590" s="2">
        <v>6.67</v>
      </c>
      <c r="L590" s="4">
        <v>99999</v>
      </c>
      <c r="M590" s="4">
        <v>37999</v>
      </c>
      <c r="N590" s="4">
        <v>2999</v>
      </c>
      <c r="O590" s="4">
        <v>499</v>
      </c>
      <c r="P590" s="4">
        <v>1999</v>
      </c>
      <c r="Q590" t="s">
        <v>2368</v>
      </c>
      <c r="R590">
        <v>2020</v>
      </c>
    </row>
    <row r="591" spans="1:18" x14ac:dyDescent="0.25">
      <c r="A591" t="s">
        <v>2291</v>
      </c>
      <c r="B591" t="s">
        <v>2299</v>
      </c>
      <c r="C591" s="2">
        <v>196</v>
      </c>
      <c r="D591" t="s">
        <v>18</v>
      </c>
      <c r="E591" t="s">
        <v>951</v>
      </c>
      <c r="F591" t="s">
        <v>20</v>
      </c>
      <c r="G591" s="5" t="s">
        <v>804</v>
      </c>
      <c r="H591" t="s">
        <v>2437</v>
      </c>
      <c r="I591" s="6">
        <f t="shared" si="9"/>
        <v>82</v>
      </c>
      <c r="J591" s="2">
        <v>4520</v>
      </c>
      <c r="K591" s="2">
        <v>6.67</v>
      </c>
      <c r="L591" s="4">
        <v>69999</v>
      </c>
      <c r="M591" s="4">
        <v>29999</v>
      </c>
      <c r="N591" s="4">
        <v>2499</v>
      </c>
      <c r="O591" s="4">
        <v>349</v>
      </c>
      <c r="P591" s="4">
        <v>1399</v>
      </c>
      <c r="Q591" t="s">
        <v>2368</v>
      </c>
      <c r="R591">
        <v>2021</v>
      </c>
    </row>
    <row r="592" spans="1:18" x14ac:dyDescent="0.25">
      <c r="A592" t="s">
        <v>2291</v>
      </c>
      <c r="B592" t="s">
        <v>2308</v>
      </c>
      <c r="C592" s="2">
        <v>195</v>
      </c>
      <c r="D592" t="s">
        <v>18</v>
      </c>
      <c r="E592" t="s">
        <v>951</v>
      </c>
      <c r="F592" t="s">
        <v>907</v>
      </c>
      <c r="G592" s="5" t="s">
        <v>804</v>
      </c>
      <c r="H592" t="s">
        <v>2437</v>
      </c>
      <c r="I592" s="6">
        <f t="shared" si="9"/>
        <v>82</v>
      </c>
      <c r="J592" s="2">
        <v>4500</v>
      </c>
      <c r="K592" s="2">
        <v>6.67</v>
      </c>
      <c r="L592" s="4">
        <v>74999</v>
      </c>
      <c r="M592" s="4">
        <v>27999</v>
      </c>
      <c r="N592" s="4">
        <v>2399</v>
      </c>
      <c r="O592" s="4">
        <v>349</v>
      </c>
      <c r="P592" s="4">
        <v>1399</v>
      </c>
      <c r="Q592" t="s">
        <v>2368</v>
      </c>
      <c r="R592">
        <v>2022</v>
      </c>
    </row>
    <row r="593" spans="1:18" x14ac:dyDescent="0.25">
      <c r="A593" t="s">
        <v>2291</v>
      </c>
      <c r="B593" t="s">
        <v>2309</v>
      </c>
      <c r="C593" s="2">
        <v>210</v>
      </c>
      <c r="D593" t="s">
        <v>68</v>
      </c>
      <c r="E593" t="s">
        <v>951</v>
      </c>
      <c r="F593" t="s">
        <v>907</v>
      </c>
      <c r="G593" s="5" t="s">
        <v>451</v>
      </c>
      <c r="H593" t="s">
        <v>2437</v>
      </c>
      <c r="I593" s="6">
        <f t="shared" si="9"/>
        <v>90</v>
      </c>
      <c r="J593" s="2">
        <v>4700</v>
      </c>
      <c r="K593" s="2">
        <v>6.67</v>
      </c>
      <c r="L593" s="4">
        <v>99999</v>
      </c>
      <c r="M593" s="4">
        <v>39999</v>
      </c>
      <c r="N593" s="4">
        <v>3299</v>
      </c>
      <c r="O593" s="4">
        <v>499</v>
      </c>
      <c r="P593" s="4">
        <v>1999</v>
      </c>
      <c r="Q593" t="s">
        <v>2368</v>
      </c>
      <c r="R593">
        <v>2022</v>
      </c>
    </row>
    <row r="594" spans="1:18" x14ac:dyDescent="0.25">
      <c r="A594" t="s">
        <v>2291</v>
      </c>
      <c r="B594" t="s">
        <v>2318</v>
      </c>
      <c r="C594" s="2">
        <v>204</v>
      </c>
      <c r="D594" t="s">
        <v>68</v>
      </c>
      <c r="E594" t="s">
        <v>951</v>
      </c>
      <c r="F594" t="s">
        <v>907</v>
      </c>
      <c r="G594" s="5" t="s">
        <v>767</v>
      </c>
      <c r="H594" t="s">
        <v>2437</v>
      </c>
      <c r="I594" s="6">
        <f t="shared" si="9"/>
        <v>92</v>
      </c>
      <c r="J594" s="2">
        <v>5160</v>
      </c>
      <c r="K594" s="2">
        <v>6.67</v>
      </c>
      <c r="L594" s="4">
        <v>99999</v>
      </c>
      <c r="M594" s="4">
        <v>39999</v>
      </c>
      <c r="N594" s="4">
        <v>3299</v>
      </c>
      <c r="O594" s="4">
        <v>499</v>
      </c>
      <c r="P594" s="4">
        <v>1899</v>
      </c>
      <c r="Q594" t="s">
        <v>2368</v>
      </c>
      <c r="R594">
        <v>2023</v>
      </c>
    </row>
    <row r="595" spans="1:18" x14ac:dyDescent="0.25">
      <c r="A595" t="s">
        <v>2291</v>
      </c>
      <c r="B595" t="s">
        <v>2328</v>
      </c>
      <c r="C595" s="2">
        <v>190</v>
      </c>
      <c r="D595" t="s">
        <v>18</v>
      </c>
      <c r="E595" t="s">
        <v>951</v>
      </c>
      <c r="F595" t="s">
        <v>907</v>
      </c>
      <c r="G595" s="5" t="s">
        <v>401</v>
      </c>
      <c r="H595" t="s">
        <v>2437</v>
      </c>
      <c r="I595" s="6">
        <f t="shared" si="9"/>
        <v>95</v>
      </c>
      <c r="J595" s="2">
        <v>5000</v>
      </c>
      <c r="K595" s="2">
        <v>6.67</v>
      </c>
      <c r="L595" s="4">
        <v>89999</v>
      </c>
      <c r="M595" s="4">
        <v>34999</v>
      </c>
      <c r="N595" s="4">
        <v>2999</v>
      </c>
      <c r="O595" s="4">
        <v>449</v>
      </c>
      <c r="P595" s="4">
        <v>1699</v>
      </c>
      <c r="Q595" t="s">
        <v>2368</v>
      </c>
      <c r="R595">
        <v>2024</v>
      </c>
    </row>
    <row r="596" spans="1:18" x14ac:dyDescent="0.25">
      <c r="A596" t="s">
        <v>2291</v>
      </c>
      <c r="B596" t="s">
        <v>2329</v>
      </c>
      <c r="C596" s="2">
        <v>210</v>
      </c>
      <c r="D596" t="s">
        <v>68</v>
      </c>
      <c r="E596" t="s">
        <v>951</v>
      </c>
      <c r="F596" t="s">
        <v>753</v>
      </c>
      <c r="G596" s="5" t="s">
        <v>2330</v>
      </c>
      <c r="H596" t="s">
        <v>2437</v>
      </c>
      <c r="I596" s="6">
        <f t="shared" si="9"/>
        <v>95</v>
      </c>
      <c r="J596" s="2">
        <v>5160</v>
      </c>
      <c r="K596" s="2">
        <v>6.67</v>
      </c>
      <c r="L596" s="4">
        <v>109999</v>
      </c>
      <c r="M596" s="4">
        <v>44999</v>
      </c>
      <c r="N596" s="4">
        <v>3499</v>
      </c>
      <c r="O596" s="4">
        <v>549</v>
      </c>
      <c r="P596" s="4">
        <v>1999</v>
      </c>
      <c r="Q596" t="s">
        <v>2368</v>
      </c>
      <c r="R596">
        <v>2024</v>
      </c>
    </row>
    <row r="597" spans="1:18" x14ac:dyDescent="0.25">
      <c r="A597" t="s">
        <v>2291</v>
      </c>
      <c r="B597" t="s">
        <v>2293</v>
      </c>
      <c r="C597" s="2">
        <v>209</v>
      </c>
      <c r="D597" t="s">
        <v>162</v>
      </c>
      <c r="E597" t="s">
        <v>585</v>
      </c>
      <c r="F597" t="s">
        <v>20</v>
      </c>
      <c r="G597" s="5" t="s">
        <v>2294</v>
      </c>
      <c r="H597" t="s">
        <v>2438</v>
      </c>
      <c r="I597" s="6">
        <f t="shared" si="9"/>
        <v>45</v>
      </c>
      <c r="J597" s="2">
        <v>5000</v>
      </c>
      <c r="K597" s="2">
        <v>6.67</v>
      </c>
      <c r="L597" s="4">
        <v>34999</v>
      </c>
      <c r="M597" s="4">
        <v>13999</v>
      </c>
      <c r="N597" s="4">
        <v>1399</v>
      </c>
      <c r="O597" s="4">
        <v>199</v>
      </c>
      <c r="P597" s="4">
        <v>799</v>
      </c>
      <c r="Q597" t="s">
        <v>2368</v>
      </c>
      <c r="R597">
        <v>2020</v>
      </c>
    </row>
    <row r="598" spans="1:18" x14ac:dyDescent="0.25">
      <c r="A598" t="s">
        <v>2291</v>
      </c>
      <c r="B598" t="s">
        <v>2295</v>
      </c>
      <c r="C598" s="2">
        <v>215</v>
      </c>
      <c r="D598" t="s">
        <v>18</v>
      </c>
      <c r="E598" t="s">
        <v>951</v>
      </c>
      <c r="F598" t="s">
        <v>907</v>
      </c>
      <c r="G598" s="5" t="s">
        <v>2296</v>
      </c>
      <c r="H598" t="s">
        <v>2438</v>
      </c>
      <c r="I598" s="6">
        <f t="shared" si="9"/>
        <v>48</v>
      </c>
      <c r="J598" s="2">
        <v>5160</v>
      </c>
      <c r="K598" s="2">
        <v>6.67</v>
      </c>
      <c r="L598" s="4">
        <v>39999</v>
      </c>
      <c r="M598" s="4">
        <v>16999</v>
      </c>
      <c r="N598" s="4">
        <v>1599</v>
      </c>
      <c r="O598" s="4">
        <v>229</v>
      </c>
      <c r="P598" s="4">
        <v>899</v>
      </c>
      <c r="Q598" t="s">
        <v>2368</v>
      </c>
      <c r="R598">
        <v>2020</v>
      </c>
    </row>
    <row r="599" spans="1:18" x14ac:dyDescent="0.25">
      <c r="A599" t="s">
        <v>2291</v>
      </c>
      <c r="B599" t="s">
        <v>2300</v>
      </c>
      <c r="C599" s="2">
        <v>215</v>
      </c>
      <c r="D599" t="s">
        <v>18</v>
      </c>
      <c r="E599" t="s">
        <v>951</v>
      </c>
      <c r="F599" t="s">
        <v>20</v>
      </c>
      <c r="G599" s="5" t="s">
        <v>2301</v>
      </c>
      <c r="H599" t="s">
        <v>2438</v>
      </c>
      <c r="I599" s="6">
        <f t="shared" si="9"/>
        <v>48</v>
      </c>
      <c r="J599" s="2">
        <v>5160</v>
      </c>
      <c r="K599" s="2">
        <v>6.67</v>
      </c>
      <c r="L599" s="4">
        <v>49999</v>
      </c>
      <c r="M599" s="4">
        <v>18999</v>
      </c>
      <c r="N599" s="4">
        <v>1799</v>
      </c>
      <c r="O599" s="4">
        <v>249</v>
      </c>
      <c r="P599" s="4">
        <v>999</v>
      </c>
      <c r="Q599" t="s">
        <v>2368</v>
      </c>
      <c r="R599">
        <v>2021</v>
      </c>
    </row>
    <row r="600" spans="1:18" x14ac:dyDescent="0.25">
      <c r="A600" t="s">
        <v>2291</v>
      </c>
      <c r="B600" t="s">
        <v>2303</v>
      </c>
      <c r="C600" s="2">
        <v>205</v>
      </c>
      <c r="D600" t="s">
        <v>18</v>
      </c>
      <c r="E600" t="s">
        <v>585</v>
      </c>
      <c r="F600" t="s">
        <v>907</v>
      </c>
      <c r="G600" s="5" t="s">
        <v>911</v>
      </c>
      <c r="H600" t="s">
        <v>2438</v>
      </c>
      <c r="I600" s="6">
        <f t="shared" si="9"/>
        <v>38</v>
      </c>
      <c r="J600" s="2">
        <v>5065</v>
      </c>
      <c r="K600" s="2">
        <v>6.67</v>
      </c>
      <c r="L600" s="4">
        <v>79999</v>
      </c>
      <c r="M600" s="4">
        <v>25999</v>
      </c>
      <c r="N600" s="4">
        <v>2299</v>
      </c>
      <c r="O600" s="4">
        <v>399</v>
      </c>
      <c r="P600" s="4">
        <v>1499</v>
      </c>
      <c r="Q600" t="s">
        <v>2368</v>
      </c>
      <c r="R600">
        <v>2021</v>
      </c>
    </row>
    <row r="601" spans="1:18" x14ac:dyDescent="0.25">
      <c r="A601" t="s">
        <v>2291</v>
      </c>
      <c r="B601" t="s">
        <v>2305</v>
      </c>
      <c r="C601" s="2">
        <v>193</v>
      </c>
      <c r="D601" t="s">
        <v>18</v>
      </c>
      <c r="E601" t="s">
        <v>585</v>
      </c>
      <c r="F601" t="s">
        <v>907</v>
      </c>
      <c r="G601" s="5" t="s">
        <v>921</v>
      </c>
      <c r="H601" t="s">
        <v>2438</v>
      </c>
      <c r="I601" s="6">
        <f t="shared" si="9"/>
        <v>35</v>
      </c>
      <c r="J601" s="2">
        <v>5000</v>
      </c>
      <c r="K601" s="2">
        <v>6.6</v>
      </c>
      <c r="L601" s="4">
        <v>44999</v>
      </c>
      <c r="M601" s="4">
        <v>21999</v>
      </c>
      <c r="N601" s="4">
        <v>1899</v>
      </c>
      <c r="O601" s="4">
        <v>279</v>
      </c>
      <c r="P601" s="4">
        <v>1099</v>
      </c>
      <c r="Q601" t="s">
        <v>2368</v>
      </c>
      <c r="R601">
        <v>2021</v>
      </c>
    </row>
    <row r="602" spans="1:18" x14ac:dyDescent="0.25">
      <c r="A602" t="s">
        <v>2291</v>
      </c>
      <c r="B602" t="s">
        <v>2307</v>
      </c>
      <c r="C602" s="2">
        <v>195</v>
      </c>
      <c r="D602" t="s">
        <v>162</v>
      </c>
      <c r="E602" t="s">
        <v>585</v>
      </c>
      <c r="F602" t="s">
        <v>580</v>
      </c>
      <c r="G602" s="5" t="s">
        <v>2377</v>
      </c>
      <c r="H602" t="s">
        <v>2438</v>
      </c>
      <c r="I602" s="6">
        <f t="shared" si="9"/>
        <v>25</v>
      </c>
      <c r="J602" s="2">
        <v>5000</v>
      </c>
      <c r="K602" s="2">
        <v>6.6</v>
      </c>
      <c r="L602" s="4">
        <v>34999</v>
      </c>
      <c r="M602" s="4">
        <v>14999</v>
      </c>
      <c r="N602" s="4">
        <v>1499</v>
      </c>
      <c r="O602" s="4">
        <v>219</v>
      </c>
      <c r="P602" s="4">
        <v>849</v>
      </c>
      <c r="Q602" t="s">
        <v>2368</v>
      </c>
      <c r="R602">
        <v>2021</v>
      </c>
    </row>
    <row r="603" spans="1:18" x14ac:dyDescent="0.25">
      <c r="A603" t="s">
        <v>2291</v>
      </c>
      <c r="B603" t="s">
        <v>2310</v>
      </c>
      <c r="C603" s="2">
        <v>205</v>
      </c>
      <c r="D603" t="s">
        <v>18</v>
      </c>
      <c r="E603" t="s">
        <v>585</v>
      </c>
      <c r="F603" t="s">
        <v>753</v>
      </c>
      <c r="G603" s="5" t="s">
        <v>680</v>
      </c>
      <c r="H603" t="s">
        <v>2438</v>
      </c>
      <c r="I603" s="6">
        <f t="shared" si="9"/>
        <v>40</v>
      </c>
      <c r="J603" s="2">
        <v>5000</v>
      </c>
      <c r="K603" s="2">
        <v>6.67</v>
      </c>
      <c r="L603" s="4">
        <v>54999</v>
      </c>
      <c r="M603" s="4">
        <v>18999</v>
      </c>
      <c r="N603" s="4">
        <v>1999</v>
      </c>
      <c r="O603" s="4">
        <v>299</v>
      </c>
      <c r="P603" s="4">
        <v>1199</v>
      </c>
      <c r="Q603" t="s">
        <v>2368</v>
      </c>
      <c r="R603">
        <v>2022</v>
      </c>
    </row>
    <row r="604" spans="1:18" x14ac:dyDescent="0.25">
      <c r="A604" t="s">
        <v>2291</v>
      </c>
      <c r="B604" t="s">
        <v>2316</v>
      </c>
      <c r="C604" s="2">
        <v>181</v>
      </c>
      <c r="D604" t="s">
        <v>18</v>
      </c>
      <c r="E604" t="s">
        <v>585</v>
      </c>
      <c r="F604" t="s">
        <v>907</v>
      </c>
      <c r="G604" s="5" t="s">
        <v>2317</v>
      </c>
      <c r="H604" t="s">
        <v>2438</v>
      </c>
      <c r="I604" s="6">
        <f t="shared" si="9"/>
        <v>65</v>
      </c>
      <c r="J604" s="2">
        <v>5000</v>
      </c>
      <c r="K604" s="2">
        <v>6.67</v>
      </c>
      <c r="L604" s="4">
        <v>79999</v>
      </c>
      <c r="M604" s="4">
        <v>29999</v>
      </c>
      <c r="N604" s="4">
        <v>2299</v>
      </c>
      <c r="O604" s="4">
        <v>349</v>
      </c>
      <c r="P604" s="4">
        <v>1299</v>
      </c>
      <c r="Q604" t="s">
        <v>2368</v>
      </c>
      <c r="R604">
        <v>2023</v>
      </c>
    </row>
    <row r="605" spans="1:18" x14ac:dyDescent="0.25">
      <c r="A605" t="s">
        <v>2291</v>
      </c>
      <c r="B605" t="s">
        <v>2319</v>
      </c>
      <c r="C605" s="2">
        <v>189</v>
      </c>
      <c r="D605" t="s">
        <v>18</v>
      </c>
      <c r="E605" t="s">
        <v>475</v>
      </c>
      <c r="F605" t="s">
        <v>20</v>
      </c>
      <c r="G605" s="5" t="s">
        <v>680</v>
      </c>
      <c r="H605" t="s">
        <v>2438</v>
      </c>
      <c r="I605" s="6">
        <f t="shared" si="9"/>
        <v>40</v>
      </c>
      <c r="J605" s="2">
        <v>5000</v>
      </c>
      <c r="K605" s="2">
        <v>6.67</v>
      </c>
      <c r="L605" s="4">
        <v>54999</v>
      </c>
      <c r="M605" s="4">
        <v>18999</v>
      </c>
      <c r="N605" s="4">
        <v>1799</v>
      </c>
      <c r="O605" s="4">
        <v>279</v>
      </c>
      <c r="P605" s="4">
        <v>1099</v>
      </c>
      <c r="Q605" t="s">
        <v>2368</v>
      </c>
      <c r="R605">
        <v>2023</v>
      </c>
    </row>
    <row r="606" spans="1:18" x14ac:dyDescent="0.25">
      <c r="A606" t="s">
        <v>2291</v>
      </c>
      <c r="B606" t="s">
        <v>2320</v>
      </c>
      <c r="C606" s="2">
        <v>181</v>
      </c>
      <c r="D606" t="s">
        <v>18</v>
      </c>
      <c r="E606" t="s">
        <v>585</v>
      </c>
      <c r="F606" t="s">
        <v>753</v>
      </c>
      <c r="G606" s="5" t="s">
        <v>708</v>
      </c>
      <c r="H606" t="s">
        <v>2438</v>
      </c>
      <c r="I606" s="6">
        <f t="shared" si="9"/>
        <v>60</v>
      </c>
      <c r="J606" s="2">
        <v>5000</v>
      </c>
      <c r="K606" s="2">
        <v>6.67</v>
      </c>
      <c r="L606" s="4">
        <v>64999</v>
      </c>
      <c r="M606" s="4">
        <v>22999</v>
      </c>
      <c r="N606" s="4">
        <v>2199</v>
      </c>
      <c r="O606" s="4">
        <v>329</v>
      </c>
      <c r="P606" s="4">
        <v>1199</v>
      </c>
      <c r="Q606" t="s">
        <v>2368</v>
      </c>
      <c r="R606">
        <v>2023</v>
      </c>
    </row>
    <row r="607" spans="1:18" x14ac:dyDescent="0.25">
      <c r="A607" t="s">
        <v>2291</v>
      </c>
      <c r="B607" t="s">
        <v>2325</v>
      </c>
      <c r="C607" s="2">
        <v>193</v>
      </c>
      <c r="D607" t="s">
        <v>18</v>
      </c>
      <c r="E607" t="s">
        <v>585</v>
      </c>
      <c r="F607" t="s">
        <v>907</v>
      </c>
      <c r="G607" s="5" t="s">
        <v>1229</v>
      </c>
      <c r="H607" t="s">
        <v>2438</v>
      </c>
      <c r="I607" s="6">
        <f t="shared" si="9"/>
        <v>65</v>
      </c>
      <c r="J607" s="2">
        <v>5000</v>
      </c>
      <c r="K607" s="2">
        <v>6.67</v>
      </c>
      <c r="L607" s="4">
        <v>59999</v>
      </c>
      <c r="M607" s="4">
        <v>21999</v>
      </c>
      <c r="N607" s="4">
        <v>2299</v>
      </c>
      <c r="O607" s="4">
        <v>349</v>
      </c>
      <c r="P607" s="4">
        <v>1299</v>
      </c>
      <c r="Q607" t="s">
        <v>2368</v>
      </c>
      <c r="R607">
        <v>2024</v>
      </c>
    </row>
    <row r="608" spans="1:18" x14ac:dyDescent="0.25">
      <c r="A608" t="s">
        <v>2291</v>
      </c>
      <c r="B608" t="s">
        <v>2326</v>
      </c>
      <c r="C608" s="2">
        <v>205</v>
      </c>
      <c r="D608" t="s">
        <v>68</v>
      </c>
      <c r="E608" t="s">
        <v>951</v>
      </c>
      <c r="F608" t="s">
        <v>753</v>
      </c>
      <c r="G608" s="5" t="s">
        <v>2413</v>
      </c>
      <c r="H608" t="s">
        <v>2438</v>
      </c>
      <c r="I608" s="6">
        <f t="shared" si="9"/>
        <v>75</v>
      </c>
      <c r="J608" s="2">
        <v>5000</v>
      </c>
      <c r="K608" s="2">
        <v>6.67</v>
      </c>
      <c r="L608" s="4">
        <v>69999</v>
      </c>
      <c r="M608" s="4">
        <v>24999</v>
      </c>
      <c r="N608" s="4">
        <v>2599</v>
      </c>
      <c r="O608" s="4">
        <v>399</v>
      </c>
      <c r="P608" s="4">
        <v>1499</v>
      </c>
      <c r="Q608" t="s">
        <v>2368</v>
      </c>
      <c r="R608">
        <v>2024</v>
      </c>
    </row>
    <row r="609" spans="1:18" x14ac:dyDescent="0.25">
      <c r="A609" t="s">
        <v>2291</v>
      </c>
      <c r="B609" t="s">
        <v>2332</v>
      </c>
      <c r="C609" s="2">
        <v>195</v>
      </c>
      <c r="D609" t="s">
        <v>18</v>
      </c>
      <c r="E609" t="s">
        <v>585</v>
      </c>
      <c r="F609" t="s">
        <v>907</v>
      </c>
      <c r="G609" s="5" t="s">
        <v>2392</v>
      </c>
      <c r="H609" t="s">
        <v>2438</v>
      </c>
      <c r="I609" s="6">
        <f t="shared" si="9"/>
        <v>70</v>
      </c>
      <c r="J609" s="2">
        <v>5000</v>
      </c>
      <c r="K609" s="2">
        <v>6.67</v>
      </c>
      <c r="L609" s="4">
        <v>64999</v>
      </c>
      <c r="M609" s="4">
        <v>22999</v>
      </c>
      <c r="N609" s="4">
        <v>2199</v>
      </c>
      <c r="O609" s="4">
        <v>329</v>
      </c>
      <c r="P609" s="4">
        <v>1199</v>
      </c>
      <c r="Q609" t="s">
        <v>2368</v>
      </c>
      <c r="R609">
        <v>2025</v>
      </c>
    </row>
    <row r="610" spans="1:18" x14ac:dyDescent="0.25">
      <c r="A610" t="s">
        <v>2291</v>
      </c>
      <c r="B610" t="s">
        <v>2333</v>
      </c>
      <c r="C610" s="2">
        <v>207</v>
      </c>
      <c r="D610" t="s">
        <v>68</v>
      </c>
      <c r="E610" t="s">
        <v>951</v>
      </c>
      <c r="F610" t="s">
        <v>753</v>
      </c>
      <c r="G610" s="5" t="s">
        <v>2414</v>
      </c>
      <c r="H610" t="s">
        <v>2438</v>
      </c>
      <c r="I610" s="6">
        <f t="shared" si="9"/>
        <v>80</v>
      </c>
      <c r="J610" s="2">
        <v>6000</v>
      </c>
      <c r="K610" s="2">
        <v>6.67</v>
      </c>
      <c r="L610" s="4">
        <v>79999</v>
      </c>
      <c r="M610" s="4">
        <v>27999</v>
      </c>
      <c r="N610" s="4">
        <v>2699</v>
      </c>
      <c r="O610" s="4">
        <v>399</v>
      </c>
      <c r="P610" s="4">
        <v>1499</v>
      </c>
      <c r="Q610" t="s">
        <v>2368</v>
      </c>
      <c r="R610">
        <v>2025</v>
      </c>
    </row>
    <row r="611" spans="1:18" x14ac:dyDescent="0.25">
      <c r="A611" t="s">
        <v>2291</v>
      </c>
      <c r="B611" t="s">
        <v>2335</v>
      </c>
      <c r="C611" s="2">
        <v>198</v>
      </c>
      <c r="D611" t="s">
        <v>18</v>
      </c>
      <c r="E611" t="s">
        <v>307</v>
      </c>
      <c r="F611" t="s">
        <v>580</v>
      </c>
      <c r="G611" s="5" t="s">
        <v>2404</v>
      </c>
      <c r="H611" t="s">
        <v>2438</v>
      </c>
      <c r="I611" s="6">
        <f t="shared" si="9"/>
        <v>45</v>
      </c>
      <c r="J611" s="2">
        <v>5110</v>
      </c>
      <c r="K611" s="2">
        <v>6.67</v>
      </c>
      <c r="L611" s="4">
        <v>39999</v>
      </c>
      <c r="M611" s="4">
        <v>15999</v>
      </c>
      <c r="N611" s="4">
        <v>1599</v>
      </c>
      <c r="O611" s="4">
        <v>229</v>
      </c>
      <c r="P611" s="4">
        <v>899</v>
      </c>
      <c r="Q611" t="s">
        <v>2368</v>
      </c>
      <c r="R611">
        <v>2024</v>
      </c>
    </row>
    <row r="612" spans="1:18" x14ac:dyDescent="0.25">
      <c r="A612" t="s">
        <v>2337</v>
      </c>
      <c r="B612" t="s">
        <v>2338</v>
      </c>
      <c r="C612" s="2">
        <v>571</v>
      </c>
      <c r="D612" t="s">
        <v>68</v>
      </c>
      <c r="E612" t="s">
        <v>307</v>
      </c>
      <c r="F612" t="s">
        <v>307</v>
      </c>
      <c r="G612" s="5" t="s">
        <v>1701</v>
      </c>
      <c r="H612" t="s">
        <v>2438</v>
      </c>
      <c r="I612" s="6">
        <f t="shared" si="9"/>
        <v>50</v>
      </c>
      <c r="J612" s="2">
        <v>10000</v>
      </c>
      <c r="K612" s="2">
        <v>12.1</v>
      </c>
      <c r="L612" s="4">
        <v>66220</v>
      </c>
      <c r="M612" s="4">
        <v>23999</v>
      </c>
      <c r="N612" s="4">
        <v>2099</v>
      </c>
      <c r="O612" s="4">
        <v>280</v>
      </c>
      <c r="P612" s="4">
        <v>1029</v>
      </c>
      <c r="Q612" t="s">
        <v>2369</v>
      </c>
      <c r="R612">
        <v>2024</v>
      </c>
    </row>
    <row r="613" spans="1:18" x14ac:dyDescent="0.25">
      <c r="A613" t="s">
        <v>2337</v>
      </c>
      <c r="B613" t="s">
        <v>2342</v>
      </c>
      <c r="C613" s="2">
        <v>571</v>
      </c>
      <c r="D613" t="s">
        <v>68</v>
      </c>
      <c r="E613" t="s">
        <v>307</v>
      </c>
      <c r="F613" t="s">
        <v>307</v>
      </c>
      <c r="G613" s="5" t="s">
        <v>1701</v>
      </c>
      <c r="H613" t="s">
        <v>2438</v>
      </c>
      <c r="I613" s="6">
        <f t="shared" si="9"/>
        <v>50</v>
      </c>
      <c r="J613" s="2">
        <v>10000</v>
      </c>
      <c r="K613" s="2">
        <v>12.1</v>
      </c>
      <c r="L613" s="4">
        <v>71220</v>
      </c>
      <c r="M613" s="4">
        <v>25999</v>
      </c>
      <c r="N613" s="4">
        <v>2299</v>
      </c>
      <c r="O613" s="4">
        <v>300</v>
      </c>
      <c r="P613" s="4">
        <v>1099</v>
      </c>
      <c r="Q613" t="s">
        <v>2369</v>
      </c>
      <c r="R613">
        <v>2024</v>
      </c>
    </row>
    <row r="614" spans="1:18" x14ac:dyDescent="0.25">
      <c r="A614" t="s">
        <v>1338</v>
      </c>
      <c r="B614" t="s">
        <v>1406</v>
      </c>
      <c r="C614" s="2">
        <v>190</v>
      </c>
      <c r="D614" t="s">
        <v>18</v>
      </c>
      <c r="E614" t="s">
        <v>585</v>
      </c>
      <c r="F614" t="s">
        <v>497</v>
      </c>
      <c r="G614" s="5" t="s">
        <v>2383</v>
      </c>
      <c r="H614" t="s">
        <v>2439</v>
      </c>
      <c r="I614" s="6">
        <f t="shared" si="9"/>
        <v>22</v>
      </c>
      <c r="J614" s="2">
        <v>5000</v>
      </c>
      <c r="K614" s="2">
        <v>6.6</v>
      </c>
      <c r="L614" s="4">
        <v>49999</v>
      </c>
      <c r="M614" s="4">
        <v>18999</v>
      </c>
      <c r="N614" s="4">
        <v>1500</v>
      </c>
      <c r="O614" s="4">
        <v>220</v>
      </c>
      <c r="P614" s="4">
        <v>800</v>
      </c>
      <c r="Q614" t="s">
        <v>2368</v>
      </c>
      <c r="R614">
        <v>2024</v>
      </c>
    </row>
    <row r="615" spans="1:18" x14ac:dyDescent="0.25">
      <c r="A615" t="s">
        <v>1338</v>
      </c>
      <c r="B615" t="s">
        <v>1410</v>
      </c>
      <c r="C615" s="2">
        <v>190</v>
      </c>
      <c r="D615" t="s">
        <v>68</v>
      </c>
      <c r="E615" t="s">
        <v>585</v>
      </c>
      <c r="F615" t="s">
        <v>497</v>
      </c>
      <c r="G615" s="5" t="s">
        <v>2383</v>
      </c>
      <c r="H615" t="s">
        <v>2439</v>
      </c>
      <c r="I615" s="6">
        <f t="shared" si="9"/>
        <v>22</v>
      </c>
      <c r="J615" s="2">
        <v>5000</v>
      </c>
      <c r="K615" s="2">
        <v>6.6</v>
      </c>
      <c r="L615" s="4">
        <v>54999</v>
      </c>
      <c r="M615" s="4">
        <v>20999</v>
      </c>
      <c r="N615" s="4">
        <v>1600</v>
      </c>
      <c r="O615" s="4">
        <v>240</v>
      </c>
      <c r="P615" s="4">
        <v>860</v>
      </c>
      <c r="Q615" t="s">
        <v>2368</v>
      </c>
      <c r="R615">
        <v>2024</v>
      </c>
    </row>
    <row r="616" spans="1:18" x14ac:dyDescent="0.25">
      <c r="A616" t="s">
        <v>1338</v>
      </c>
      <c r="B616" t="s">
        <v>1432</v>
      </c>
      <c r="C616" s="2">
        <v>184</v>
      </c>
      <c r="D616" t="s">
        <v>18</v>
      </c>
      <c r="E616" t="s">
        <v>585</v>
      </c>
      <c r="F616" t="s">
        <v>497</v>
      </c>
      <c r="G616" s="5" t="s">
        <v>2383</v>
      </c>
      <c r="H616" t="s">
        <v>2439</v>
      </c>
      <c r="I616" s="6">
        <f t="shared" si="9"/>
        <v>22</v>
      </c>
      <c r="J616" s="2">
        <v>5000</v>
      </c>
      <c r="K616" s="2">
        <v>6.6</v>
      </c>
      <c r="L616" s="4">
        <v>44999</v>
      </c>
      <c r="M616" s="4">
        <v>16999</v>
      </c>
      <c r="N616" s="4">
        <v>1400</v>
      </c>
      <c r="O616" s="4">
        <v>200</v>
      </c>
      <c r="P616" s="4">
        <v>720</v>
      </c>
      <c r="Q616" t="s">
        <v>2368</v>
      </c>
      <c r="R616">
        <v>2024</v>
      </c>
    </row>
    <row r="617" spans="1:18" x14ac:dyDescent="0.25">
      <c r="A617" t="s">
        <v>1338</v>
      </c>
      <c r="B617" t="s">
        <v>1436</v>
      </c>
      <c r="C617" s="2">
        <v>184</v>
      </c>
      <c r="D617" t="s">
        <v>68</v>
      </c>
      <c r="E617" t="s">
        <v>585</v>
      </c>
      <c r="F617" t="s">
        <v>497</v>
      </c>
      <c r="G617" s="5" t="s">
        <v>2383</v>
      </c>
      <c r="H617" t="s">
        <v>2439</v>
      </c>
      <c r="I617" s="6">
        <f t="shared" si="9"/>
        <v>22</v>
      </c>
      <c r="J617" s="2">
        <v>5000</v>
      </c>
      <c r="K617" s="2">
        <v>6.6</v>
      </c>
      <c r="L617" s="4">
        <v>49999</v>
      </c>
      <c r="M617" s="4">
        <v>18999</v>
      </c>
      <c r="N617" s="4">
        <v>1500</v>
      </c>
      <c r="O617" s="4">
        <v>220</v>
      </c>
      <c r="P617" s="4">
        <v>780</v>
      </c>
      <c r="Q617" t="s">
        <v>2368</v>
      </c>
      <c r="R617">
        <v>2024</v>
      </c>
    </row>
    <row r="618" spans="1:18" x14ac:dyDescent="0.25">
      <c r="A618" t="s">
        <v>1338</v>
      </c>
      <c r="B618" t="s">
        <v>1447</v>
      </c>
      <c r="C618" s="2">
        <v>195</v>
      </c>
      <c r="D618" t="s">
        <v>18</v>
      </c>
      <c r="E618" t="s">
        <v>585</v>
      </c>
      <c r="F618" t="s">
        <v>497</v>
      </c>
      <c r="G618" s="5" t="s">
        <v>2390</v>
      </c>
      <c r="H618" t="s">
        <v>2439</v>
      </c>
      <c r="I618" s="6">
        <f t="shared" si="9"/>
        <v>22</v>
      </c>
      <c r="J618" s="2">
        <v>5000</v>
      </c>
      <c r="K618" s="2">
        <v>6.5</v>
      </c>
      <c r="L618" s="4">
        <v>39999</v>
      </c>
      <c r="M618" s="4">
        <v>14999</v>
      </c>
      <c r="N618" s="4">
        <v>1200</v>
      </c>
      <c r="O618" s="4">
        <v>180</v>
      </c>
      <c r="P618" s="4">
        <v>660</v>
      </c>
      <c r="Q618" t="s">
        <v>2368</v>
      </c>
      <c r="R618">
        <v>2024</v>
      </c>
    </row>
    <row r="619" spans="1:18" x14ac:dyDescent="0.25">
      <c r="A619" t="s">
        <v>1338</v>
      </c>
      <c r="B619" t="s">
        <v>1451</v>
      </c>
      <c r="C619" s="2">
        <v>193</v>
      </c>
      <c r="D619" t="s">
        <v>18</v>
      </c>
      <c r="E619" t="s">
        <v>585</v>
      </c>
      <c r="F619" t="s">
        <v>497</v>
      </c>
      <c r="G619" s="5" t="s">
        <v>2394</v>
      </c>
      <c r="H619" t="s">
        <v>2439</v>
      </c>
      <c r="I619" s="6">
        <f t="shared" si="9"/>
        <v>14</v>
      </c>
      <c r="J619" s="2">
        <v>5000</v>
      </c>
      <c r="K619" s="2">
        <v>6.5</v>
      </c>
      <c r="L619" s="4">
        <v>37999</v>
      </c>
      <c r="M619" s="4">
        <v>13999</v>
      </c>
      <c r="N619" s="4">
        <v>1100</v>
      </c>
      <c r="O619" s="4">
        <v>160</v>
      </c>
      <c r="P619" s="4">
        <v>600</v>
      </c>
      <c r="Q619" t="s">
        <v>2368</v>
      </c>
      <c r="R619">
        <v>2024</v>
      </c>
    </row>
    <row r="620" spans="1:18" x14ac:dyDescent="0.25">
      <c r="A620" t="s">
        <v>1338</v>
      </c>
      <c r="B620" t="s">
        <v>1457</v>
      </c>
      <c r="C620" s="2">
        <v>198</v>
      </c>
      <c r="D620" t="s">
        <v>68</v>
      </c>
      <c r="E620" t="s">
        <v>585</v>
      </c>
      <c r="F620" t="s">
        <v>497</v>
      </c>
      <c r="G620" s="5" t="s">
        <v>2373</v>
      </c>
      <c r="H620" t="s">
        <v>2439</v>
      </c>
      <c r="I620" s="6">
        <f t="shared" si="9"/>
        <v>18</v>
      </c>
      <c r="J620" s="2">
        <v>5000</v>
      </c>
      <c r="K620" s="2">
        <v>6.6</v>
      </c>
      <c r="L620" s="4">
        <v>47999</v>
      </c>
      <c r="M620" s="4">
        <v>17999</v>
      </c>
      <c r="N620" s="4">
        <v>1500</v>
      </c>
      <c r="O620" s="4">
        <v>210</v>
      </c>
      <c r="P620" s="4">
        <v>780</v>
      </c>
      <c r="Q620" t="s">
        <v>2368</v>
      </c>
      <c r="R620">
        <v>2024</v>
      </c>
    </row>
    <row r="621" spans="1:18" x14ac:dyDescent="0.25">
      <c r="A621" t="s">
        <v>1338</v>
      </c>
      <c r="B621" t="s">
        <v>1465</v>
      </c>
      <c r="C621" s="2">
        <v>190</v>
      </c>
      <c r="D621" t="s">
        <v>18</v>
      </c>
      <c r="E621" t="s">
        <v>307</v>
      </c>
      <c r="F621" t="s">
        <v>497</v>
      </c>
      <c r="G621" s="5" t="s">
        <v>2391</v>
      </c>
      <c r="H621" t="s">
        <v>2439</v>
      </c>
      <c r="I621" s="6">
        <f t="shared" si="9"/>
        <v>12</v>
      </c>
      <c r="J621" s="2">
        <v>5000</v>
      </c>
      <c r="K621" s="2">
        <v>6.6</v>
      </c>
      <c r="L621" s="4">
        <v>37999</v>
      </c>
      <c r="M621" s="4">
        <v>13999</v>
      </c>
      <c r="N621" s="4">
        <v>1100</v>
      </c>
      <c r="O621" s="4">
        <v>160</v>
      </c>
      <c r="P621" s="4">
        <v>600</v>
      </c>
      <c r="Q621" t="s">
        <v>2368</v>
      </c>
      <c r="R621">
        <v>2024</v>
      </c>
    </row>
    <row r="622" spans="1:18" x14ac:dyDescent="0.25">
      <c r="A622" t="s">
        <v>1338</v>
      </c>
      <c r="B622" t="s">
        <v>1467</v>
      </c>
      <c r="C622" s="2">
        <v>190</v>
      </c>
      <c r="D622" t="s">
        <v>68</v>
      </c>
      <c r="E622" t="s">
        <v>307</v>
      </c>
      <c r="F622" t="s">
        <v>497</v>
      </c>
      <c r="G622" s="5" t="s">
        <v>2391</v>
      </c>
      <c r="H622" t="s">
        <v>2439</v>
      </c>
      <c r="I622" s="6">
        <f t="shared" si="9"/>
        <v>12</v>
      </c>
      <c r="J622" s="2">
        <v>5000</v>
      </c>
      <c r="K622" s="2">
        <v>6.6</v>
      </c>
      <c r="L622" s="4">
        <v>42999</v>
      </c>
      <c r="M622" s="4">
        <v>15999</v>
      </c>
      <c r="N622" s="4">
        <v>1200</v>
      </c>
      <c r="O622" s="4">
        <v>180</v>
      </c>
      <c r="P622" s="4">
        <v>660</v>
      </c>
      <c r="Q622" t="s">
        <v>2368</v>
      </c>
      <c r="R622">
        <v>2024</v>
      </c>
    </row>
    <row r="623" spans="1:18" x14ac:dyDescent="0.25">
      <c r="A623" t="s">
        <v>1338</v>
      </c>
      <c r="B623" t="s">
        <v>1468</v>
      </c>
      <c r="C623" s="2">
        <v>189</v>
      </c>
      <c r="D623" t="s">
        <v>162</v>
      </c>
      <c r="E623" t="s">
        <v>307</v>
      </c>
      <c r="F623" t="s">
        <v>497</v>
      </c>
      <c r="G623" s="5" t="s">
        <v>1469</v>
      </c>
      <c r="H623" t="s">
        <v>2439</v>
      </c>
      <c r="I623" s="6">
        <f t="shared" si="9"/>
        <v>6</v>
      </c>
      <c r="J623" s="2">
        <v>5000</v>
      </c>
      <c r="K623" s="2">
        <v>6.5</v>
      </c>
      <c r="L623" s="4">
        <v>32999</v>
      </c>
      <c r="M623" s="4">
        <v>11999</v>
      </c>
      <c r="N623" s="4">
        <v>900</v>
      </c>
      <c r="O623" s="4">
        <v>130</v>
      </c>
      <c r="P623" s="4">
        <v>500</v>
      </c>
      <c r="Q623" t="s">
        <v>2368</v>
      </c>
      <c r="R623">
        <v>2024</v>
      </c>
    </row>
    <row r="624" spans="1:18" x14ac:dyDescent="0.25">
      <c r="A624" t="s">
        <v>1338</v>
      </c>
      <c r="B624" t="s">
        <v>1473</v>
      </c>
      <c r="C624" s="2">
        <v>195</v>
      </c>
      <c r="D624" t="s">
        <v>18</v>
      </c>
      <c r="E624" t="s">
        <v>307</v>
      </c>
      <c r="F624" t="s">
        <v>497</v>
      </c>
      <c r="G624" s="5" t="s">
        <v>2394</v>
      </c>
      <c r="H624" t="s">
        <v>2439</v>
      </c>
      <c r="I624" s="6">
        <f t="shared" si="9"/>
        <v>14</v>
      </c>
      <c r="J624" s="2">
        <v>5000</v>
      </c>
      <c r="K624" s="2">
        <v>6.6</v>
      </c>
      <c r="L624" s="4">
        <v>39999</v>
      </c>
      <c r="M624" s="4">
        <v>14999</v>
      </c>
      <c r="N624" s="4">
        <v>1200</v>
      </c>
      <c r="O624" s="4">
        <v>170</v>
      </c>
      <c r="P624" s="4">
        <v>620</v>
      </c>
      <c r="Q624" t="s">
        <v>2368</v>
      </c>
      <c r="R624">
        <v>2024</v>
      </c>
    </row>
    <row r="625" spans="1:18" x14ac:dyDescent="0.25">
      <c r="A625" t="s">
        <v>1338</v>
      </c>
      <c r="B625" t="s">
        <v>1476</v>
      </c>
      <c r="C625" s="2">
        <v>195</v>
      </c>
      <c r="D625" t="s">
        <v>68</v>
      </c>
      <c r="E625" t="s">
        <v>307</v>
      </c>
      <c r="F625" t="s">
        <v>497</v>
      </c>
      <c r="G625" s="5" t="s">
        <v>2394</v>
      </c>
      <c r="H625" t="s">
        <v>2439</v>
      </c>
      <c r="I625" s="6">
        <f t="shared" si="9"/>
        <v>14</v>
      </c>
      <c r="J625" s="2">
        <v>5000</v>
      </c>
      <c r="K625" s="2">
        <v>6.6</v>
      </c>
      <c r="L625" s="4">
        <v>44999</v>
      </c>
      <c r="M625" s="4">
        <v>16999</v>
      </c>
      <c r="N625" s="4">
        <v>1300</v>
      </c>
      <c r="O625" s="4">
        <v>190</v>
      </c>
      <c r="P625" s="4">
        <v>680</v>
      </c>
      <c r="Q625" t="s">
        <v>2368</v>
      </c>
      <c r="R625">
        <v>2024</v>
      </c>
    </row>
    <row r="626" spans="1:18" x14ac:dyDescent="0.25">
      <c r="A626" t="s">
        <v>1338</v>
      </c>
      <c r="B626" t="s">
        <v>1483</v>
      </c>
      <c r="C626" s="2">
        <v>191</v>
      </c>
      <c r="D626" t="s">
        <v>18</v>
      </c>
      <c r="E626" t="s">
        <v>307</v>
      </c>
      <c r="F626" t="s">
        <v>497</v>
      </c>
      <c r="G626" s="5" t="s">
        <v>2391</v>
      </c>
      <c r="H626" t="s">
        <v>2439</v>
      </c>
      <c r="I626" s="6">
        <f t="shared" si="9"/>
        <v>12</v>
      </c>
      <c r="J626" s="2">
        <v>5000</v>
      </c>
      <c r="K626" s="2">
        <v>6.6</v>
      </c>
      <c r="L626" s="4">
        <v>36999</v>
      </c>
      <c r="M626" s="4">
        <v>13499</v>
      </c>
      <c r="N626" s="4">
        <v>1050</v>
      </c>
      <c r="O626" s="4">
        <v>150</v>
      </c>
      <c r="P626" s="4">
        <v>580</v>
      </c>
      <c r="Q626" t="s">
        <v>2368</v>
      </c>
      <c r="R626">
        <v>2024</v>
      </c>
    </row>
    <row r="627" spans="1:18" x14ac:dyDescent="0.25">
      <c r="A627" t="s">
        <v>1338</v>
      </c>
      <c r="B627" t="s">
        <v>1489</v>
      </c>
      <c r="C627" s="2">
        <v>189</v>
      </c>
      <c r="D627" t="s">
        <v>18</v>
      </c>
      <c r="E627" t="s">
        <v>307</v>
      </c>
      <c r="F627" t="s">
        <v>755</v>
      </c>
      <c r="G627" s="5" t="s">
        <v>2394</v>
      </c>
      <c r="H627" t="s">
        <v>2439</v>
      </c>
      <c r="I627" s="6">
        <f t="shared" si="9"/>
        <v>14</v>
      </c>
      <c r="J627" s="2">
        <v>5000</v>
      </c>
      <c r="K627" s="2">
        <v>6.72</v>
      </c>
      <c r="L627" s="4">
        <v>39999</v>
      </c>
      <c r="M627" s="4">
        <v>14999</v>
      </c>
      <c r="N627" s="4">
        <v>1200</v>
      </c>
      <c r="O627" s="4">
        <v>170</v>
      </c>
      <c r="P627" s="4">
        <v>620</v>
      </c>
      <c r="Q627" t="s">
        <v>2368</v>
      </c>
      <c r="R627">
        <v>2023</v>
      </c>
    </row>
    <row r="628" spans="1:18" x14ac:dyDescent="0.25">
      <c r="A628" t="s">
        <v>1338</v>
      </c>
      <c r="B628" t="s">
        <v>1490</v>
      </c>
      <c r="C628" s="2">
        <v>189</v>
      </c>
      <c r="D628" t="s">
        <v>68</v>
      </c>
      <c r="E628" t="s">
        <v>307</v>
      </c>
      <c r="F628" t="s">
        <v>755</v>
      </c>
      <c r="G628" s="5" t="s">
        <v>2394</v>
      </c>
      <c r="H628" t="s">
        <v>2439</v>
      </c>
      <c r="I628" s="6">
        <f t="shared" si="9"/>
        <v>14</v>
      </c>
      <c r="J628" s="2">
        <v>5000</v>
      </c>
      <c r="K628" s="2">
        <v>6.72</v>
      </c>
      <c r="L628" s="4">
        <v>44999</v>
      </c>
      <c r="M628" s="4">
        <v>16999</v>
      </c>
      <c r="N628" s="4">
        <v>1300</v>
      </c>
      <c r="O628" s="4">
        <v>190</v>
      </c>
      <c r="P628" s="4">
        <v>680</v>
      </c>
      <c r="Q628" t="s">
        <v>2368</v>
      </c>
      <c r="R628">
        <v>2023</v>
      </c>
    </row>
    <row r="629" spans="1:18" x14ac:dyDescent="0.25">
      <c r="A629" t="s">
        <v>1338</v>
      </c>
      <c r="B629" t="s">
        <v>1491</v>
      </c>
      <c r="C629" s="2">
        <v>198</v>
      </c>
      <c r="D629" t="s">
        <v>18</v>
      </c>
      <c r="E629" t="s">
        <v>585</v>
      </c>
      <c r="F629" t="s">
        <v>497</v>
      </c>
      <c r="G629" s="5" t="s">
        <v>2383</v>
      </c>
      <c r="H629" t="s">
        <v>2439</v>
      </c>
      <c r="I629" s="6">
        <f t="shared" si="9"/>
        <v>22</v>
      </c>
      <c r="J629" s="2">
        <v>5200</v>
      </c>
      <c r="K629" s="2">
        <v>6.6</v>
      </c>
      <c r="L629" s="4">
        <v>47999</v>
      </c>
      <c r="M629" s="4">
        <v>17999</v>
      </c>
      <c r="N629" s="4">
        <v>1500</v>
      </c>
      <c r="O629" s="4">
        <v>210</v>
      </c>
      <c r="P629" s="4">
        <v>780</v>
      </c>
      <c r="Q629" t="s">
        <v>2368</v>
      </c>
      <c r="R629">
        <v>2024</v>
      </c>
    </row>
    <row r="630" spans="1:18" x14ac:dyDescent="0.25">
      <c r="A630" t="s">
        <v>1338</v>
      </c>
      <c r="B630" t="s">
        <v>1496</v>
      </c>
      <c r="C630" s="2">
        <v>195</v>
      </c>
      <c r="D630" t="s">
        <v>18</v>
      </c>
      <c r="E630" t="s">
        <v>585</v>
      </c>
      <c r="F630" t="s">
        <v>497</v>
      </c>
      <c r="G630" s="5" t="s">
        <v>2390</v>
      </c>
      <c r="H630" t="s">
        <v>2439</v>
      </c>
      <c r="I630" s="6">
        <f t="shared" si="9"/>
        <v>22</v>
      </c>
      <c r="J630" s="2">
        <v>5000</v>
      </c>
      <c r="K630" s="2">
        <v>6.5</v>
      </c>
      <c r="L630" s="4">
        <v>42999</v>
      </c>
      <c r="M630" s="4">
        <v>15999</v>
      </c>
      <c r="N630" s="4">
        <v>1200</v>
      </c>
      <c r="O630" s="4">
        <v>170</v>
      </c>
      <c r="P630" s="4">
        <v>620</v>
      </c>
      <c r="Q630" t="s">
        <v>2368</v>
      </c>
      <c r="R630">
        <v>2024</v>
      </c>
    </row>
    <row r="631" spans="1:18" x14ac:dyDescent="0.25">
      <c r="A631" t="s">
        <v>1338</v>
      </c>
      <c r="B631" t="s">
        <v>1511</v>
      </c>
      <c r="C631" s="2">
        <v>440</v>
      </c>
      <c r="D631" t="s">
        <v>162</v>
      </c>
      <c r="E631" t="s">
        <v>307</v>
      </c>
      <c r="F631" t="s">
        <v>307</v>
      </c>
      <c r="G631" s="5" t="s">
        <v>2385</v>
      </c>
      <c r="H631" t="s">
        <v>2439</v>
      </c>
      <c r="I631" s="6">
        <f t="shared" si="9"/>
        <v>10</v>
      </c>
      <c r="J631" s="2">
        <v>7100</v>
      </c>
      <c r="K631" s="2">
        <v>10.4</v>
      </c>
      <c r="L631" s="4">
        <v>57999</v>
      </c>
      <c r="M631" s="4">
        <v>19999</v>
      </c>
      <c r="N631" s="4">
        <v>1400</v>
      </c>
      <c r="O631" s="4">
        <v>200</v>
      </c>
      <c r="P631" s="4">
        <v>740</v>
      </c>
      <c r="Q631" t="s">
        <v>2369</v>
      </c>
      <c r="R631">
        <v>2021</v>
      </c>
    </row>
    <row r="632" spans="1:18" x14ac:dyDescent="0.25">
      <c r="A632" t="s">
        <v>1338</v>
      </c>
      <c r="B632" t="s">
        <v>1094</v>
      </c>
      <c r="C632" s="2">
        <v>440</v>
      </c>
      <c r="D632" t="s">
        <v>18</v>
      </c>
      <c r="E632" t="s">
        <v>307</v>
      </c>
      <c r="F632" t="s">
        <v>307</v>
      </c>
      <c r="G632" s="5" t="s">
        <v>2385</v>
      </c>
      <c r="H632" t="s">
        <v>2439</v>
      </c>
      <c r="I632" s="6">
        <f t="shared" si="9"/>
        <v>10</v>
      </c>
      <c r="J632" s="2">
        <v>7100</v>
      </c>
      <c r="K632" s="2">
        <v>10.4</v>
      </c>
      <c r="L632" s="4">
        <v>64999</v>
      </c>
      <c r="M632" s="4">
        <v>22999</v>
      </c>
      <c r="N632" s="4">
        <v>1600</v>
      </c>
      <c r="O632" s="4">
        <v>230</v>
      </c>
      <c r="P632" s="4">
        <v>850</v>
      </c>
      <c r="Q632" t="s">
        <v>2369</v>
      </c>
      <c r="R632">
        <v>2021</v>
      </c>
    </row>
    <row r="633" spans="1:18" x14ac:dyDescent="0.25">
      <c r="A633" t="s">
        <v>1338</v>
      </c>
      <c r="B633" t="s">
        <v>1516</v>
      </c>
      <c r="C633" s="2">
        <v>482</v>
      </c>
      <c r="D633" t="s">
        <v>18</v>
      </c>
      <c r="E633" t="s">
        <v>307</v>
      </c>
      <c r="F633" t="s">
        <v>307</v>
      </c>
      <c r="G633" s="5" t="s">
        <v>2390</v>
      </c>
      <c r="H633" t="s">
        <v>2439</v>
      </c>
      <c r="I633" s="6">
        <f t="shared" si="9"/>
        <v>22</v>
      </c>
      <c r="J633" s="2">
        <v>8360</v>
      </c>
      <c r="K633" s="2">
        <v>11.5</v>
      </c>
      <c r="L633" s="4">
        <v>74999</v>
      </c>
      <c r="M633" s="4">
        <v>27999</v>
      </c>
      <c r="N633" s="4">
        <v>2000</v>
      </c>
      <c r="O633" s="4">
        <v>280</v>
      </c>
      <c r="P633" s="4">
        <v>1050</v>
      </c>
      <c r="Q633" t="s">
        <v>2369</v>
      </c>
      <c r="R633">
        <v>2023</v>
      </c>
    </row>
    <row r="634" spans="1:18" x14ac:dyDescent="0.25">
      <c r="A634" t="s">
        <v>1338</v>
      </c>
      <c r="B634" t="s">
        <v>1096</v>
      </c>
      <c r="C634" s="2">
        <v>482</v>
      </c>
      <c r="D634" t="s">
        <v>68</v>
      </c>
      <c r="E634" t="s">
        <v>307</v>
      </c>
      <c r="F634" t="s">
        <v>307</v>
      </c>
      <c r="G634" s="5" t="s">
        <v>2390</v>
      </c>
      <c r="H634" t="s">
        <v>2439</v>
      </c>
      <c r="I634" s="6">
        <f t="shared" si="9"/>
        <v>22</v>
      </c>
      <c r="J634" s="2">
        <v>8360</v>
      </c>
      <c r="K634" s="2">
        <v>11.5</v>
      </c>
      <c r="L634" s="4">
        <v>84999</v>
      </c>
      <c r="M634" s="4">
        <v>31999</v>
      </c>
      <c r="N634" s="4">
        <v>2300</v>
      </c>
      <c r="O634" s="4">
        <v>320</v>
      </c>
      <c r="P634" s="4">
        <v>1200</v>
      </c>
      <c r="Q634" t="s">
        <v>2369</v>
      </c>
      <c r="R634">
        <v>2023</v>
      </c>
    </row>
    <row r="635" spans="1:18" x14ac:dyDescent="0.25">
      <c r="A635" t="s">
        <v>1338</v>
      </c>
      <c r="B635" t="s">
        <v>1523</v>
      </c>
      <c r="C635" s="2">
        <v>466</v>
      </c>
      <c r="D635" t="s">
        <v>162</v>
      </c>
      <c r="E635" t="s">
        <v>307</v>
      </c>
      <c r="F635" t="s">
        <v>307</v>
      </c>
      <c r="G635" s="5" t="s">
        <v>2391</v>
      </c>
      <c r="H635" t="s">
        <v>2439</v>
      </c>
      <c r="I635" s="6">
        <f t="shared" si="9"/>
        <v>12</v>
      </c>
      <c r="J635" s="2">
        <v>7100</v>
      </c>
      <c r="K635" s="2">
        <v>10.4</v>
      </c>
      <c r="L635" s="4">
        <v>54999</v>
      </c>
      <c r="M635" s="4">
        <v>18999</v>
      </c>
      <c r="N635" s="4">
        <v>1300</v>
      </c>
      <c r="O635" s="4">
        <v>190</v>
      </c>
      <c r="P635" s="4">
        <v>700</v>
      </c>
      <c r="Q635" t="s">
        <v>2369</v>
      </c>
      <c r="R635">
        <v>2023</v>
      </c>
    </row>
    <row r="636" spans="1:18" x14ac:dyDescent="0.25">
      <c r="A636" t="s">
        <v>1338</v>
      </c>
      <c r="B636" t="s">
        <v>1525</v>
      </c>
      <c r="C636" s="2">
        <v>466</v>
      </c>
      <c r="D636" t="s">
        <v>18</v>
      </c>
      <c r="E636" t="s">
        <v>307</v>
      </c>
      <c r="F636" t="s">
        <v>307</v>
      </c>
      <c r="G636" s="5" t="s">
        <v>2391</v>
      </c>
      <c r="H636" t="s">
        <v>2439</v>
      </c>
      <c r="I636" s="6">
        <f t="shared" si="9"/>
        <v>12</v>
      </c>
      <c r="J636" s="2">
        <v>7100</v>
      </c>
      <c r="K636" s="2">
        <v>10.4</v>
      </c>
      <c r="L636" s="4">
        <v>61999</v>
      </c>
      <c r="M636" s="4">
        <v>20999</v>
      </c>
      <c r="N636" s="4">
        <v>1500</v>
      </c>
      <c r="O636" s="4">
        <v>210</v>
      </c>
      <c r="P636" s="4">
        <v>770</v>
      </c>
      <c r="Q636" t="s">
        <v>2369</v>
      </c>
      <c r="R636">
        <v>2023</v>
      </c>
    </row>
    <row r="637" spans="1:18" x14ac:dyDescent="0.25">
      <c r="A637" t="s">
        <v>1338</v>
      </c>
      <c r="B637" t="s">
        <v>1534</v>
      </c>
      <c r="C637" s="2">
        <v>372</v>
      </c>
      <c r="D637" t="s">
        <v>256</v>
      </c>
      <c r="E637" t="s">
        <v>508</v>
      </c>
      <c r="F637" t="s">
        <v>307</v>
      </c>
      <c r="G637" s="5" t="s">
        <v>1536</v>
      </c>
      <c r="H637" t="s">
        <v>2439</v>
      </c>
      <c r="I637" s="6">
        <f t="shared" si="9"/>
        <v>8</v>
      </c>
      <c r="J637" s="2">
        <v>6400</v>
      </c>
      <c r="K637" s="2">
        <v>8.6999999999999993</v>
      </c>
      <c r="L637" s="4">
        <v>44999</v>
      </c>
      <c r="M637" s="4">
        <v>15999</v>
      </c>
      <c r="N637" s="4">
        <v>1100</v>
      </c>
      <c r="O637" s="4">
        <v>160</v>
      </c>
      <c r="P637" s="4">
        <v>600</v>
      </c>
      <c r="Q637" t="s">
        <v>2369</v>
      </c>
      <c r="R637">
        <v>2022</v>
      </c>
    </row>
    <row r="638" spans="1:18" x14ac:dyDescent="0.25">
      <c r="A638" t="s">
        <v>1338</v>
      </c>
      <c r="B638" t="s">
        <v>1538</v>
      </c>
      <c r="C638" s="2">
        <v>372</v>
      </c>
      <c r="D638" t="s">
        <v>162</v>
      </c>
      <c r="E638" t="s">
        <v>508</v>
      </c>
      <c r="F638" t="s">
        <v>307</v>
      </c>
      <c r="G638" s="5" t="s">
        <v>1536</v>
      </c>
      <c r="H638" t="s">
        <v>2439</v>
      </c>
      <c r="I638" s="6">
        <f t="shared" si="9"/>
        <v>8</v>
      </c>
      <c r="J638" s="2">
        <v>6400</v>
      </c>
      <c r="K638" s="2">
        <v>8.6999999999999993</v>
      </c>
      <c r="L638" s="4">
        <v>49999</v>
      </c>
      <c r="M638" s="4">
        <v>17999</v>
      </c>
      <c r="N638" s="4">
        <v>1300</v>
      </c>
      <c r="O638" s="4">
        <v>180</v>
      </c>
      <c r="P638" s="4">
        <v>660</v>
      </c>
      <c r="Q638" t="s">
        <v>2369</v>
      </c>
      <c r="R638">
        <v>2022</v>
      </c>
    </row>
    <row r="639" spans="1:18" x14ac:dyDescent="0.25">
      <c r="A639" t="s">
        <v>1338</v>
      </c>
      <c r="B639" t="s">
        <v>1539</v>
      </c>
      <c r="C639" s="2">
        <v>440</v>
      </c>
      <c r="D639" t="s">
        <v>162</v>
      </c>
      <c r="E639" t="s">
        <v>307</v>
      </c>
      <c r="F639" t="s">
        <v>307</v>
      </c>
      <c r="G639" s="5" t="s">
        <v>2385</v>
      </c>
      <c r="H639" t="s">
        <v>2439</v>
      </c>
      <c r="I639" s="6">
        <f t="shared" si="9"/>
        <v>10</v>
      </c>
      <c r="J639" s="2">
        <v>7100</v>
      </c>
      <c r="K639" s="2">
        <v>10.4</v>
      </c>
      <c r="L639" s="4">
        <v>56999</v>
      </c>
      <c r="M639" s="4">
        <v>19499</v>
      </c>
      <c r="N639" s="4">
        <v>1350</v>
      </c>
      <c r="O639" s="4">
        <v>200</v>
      </c>
      <c r="P639" s="4">
        <v>730</v>
      </c>
      <c r="Q639" t="s">
        <v>2369</v>
      </c>
      <c r="R639">
        <v>2022</v>
      </c>
    </row>
    <row r="640" spans="1:18" x14ac:dyDescent="0.25">
      <c r="A640" t="s">
        <v>1338</v>
      </c>
      <c r="B640" t="s">
        <v>1543</v>
      </c>
      <c r="C640" s="2">
        <v>440</v>
      </c>
      <c r="D640" t="s">
        <v>18</v>
      </c>
      <c r="E640" t="s">
        <v>307</v>
      </c>
      <c r="F640" t="s">
        <v>307</v>
      </c>
      <c r="G640" s="5" t="s">
        <v>2385</v>
      </c>
      <c r="H640" t="s">
        <v>2439</v>
      </c>
      <c r="I640" s="6">
        <f t="shared" si="9"/>
        <v>10</v>
      </c>
      <c r="J640" s="2">
        <v>7100</v>
      </c>
      <c r="K640" s="2">
        <v>10.4</v>
      </c>
      <c r="L640" s="4">
        <v>62999</v>
      </c>
      <c r="M640" s="4">
        <v>21999</v>
      </c>
      <c r="N640" s="4">
        <v>1550</v>
      </c>
      <c r="O640" s="4">
        <v>220</v>
      </c>
      <c r="P640" s="4">
        <v>800</v>
      </c>
      <c r="Q640" t="s">
        <v>2369</v>
      </c>
      <c r="R640">
        <v>2022</v>
      </c>
    </row>
    <row r="641" spans="1:18" x14ac:dyDescent="0.25">
      <c r="A641" t="s">
        <v>1338</v>
      </c>
      <c r="B641" t="s">
        <v>1545</v>
      </c>
      <c r="C641" s="2">
        <v>465</v>
      </c>
      <c r="D641" t="s">
        <v>162</v>
      </c>
      <c r="E641" t="s">
        <v>307</v>
      </c>
      <c r="F641" t="s">
        <v>307</v>
      </c>
      <c r="G641" s="5" t="s">
        <v>2391</v>
      </c>
      <c r="H641" t="s">
        <v>2439</v>
      </c>
      <c r="I641" s="6">
        <f t="shared" si="9"/>
        <v>12</v>
      </c>
      <c r="J641" s="2">
        <v>7200</v>
      </c>
      <c r="K641" s="2">
        <v>10.5</v>
      </c>
      <c r="L641" s="4">
        <v>59999</v>
      </c>
      <c r="M641" s="4">
        <v>20999</v>
      </c>
      <c r="N641" s="4">
        <v>1400</v>
      </c>
      <c r="O641" s="4">
        <v>210</v>
      </c>
      <c r="P641" s="4">
        <v>770</v>
      </c>
      <c r="Q641" t="s">
        <v>2369</v>
      </c>
      <c r="R641">
        <v>2024</v>
      </c>
    </row>
    <row r="642" spans="1:18" x14ac:dyDescent="0.25">
      <c r="A642" t="s">
        <v>1338</v>
      </c>
      <c r="B642" t="s">
        <v>1548</v>
      </c>
      <c r="C642" s="2">
        <v>465</v>
      </c>
      <c r="D642" t="s">
        <v>18</v>
      </c>
      <c r="E642" t="s">
        <v>307</v>
      </c>
      <c r="F642" t="s">
        <v>307</v>
      </c>
      <c r="G642" s="5" t="s">
        <v>2391</v>
      </c>
      <c r="H642" t="s">
        <v>2439</v>
      </c>
      <c r="I642" s="6">
        <f t="shared" ref="I642:I705" si="10">_xlfn.XLOOKUP(G642, $T$2:$T$183,$U$2:$U$183,"Unknown",0)</f>
        <v>12</v>
      </c>
      <c r="J642" s="2">
        <v>7200</v>
      </c>
      <c r="K642" s="2">
        <v>10.5</v>
      </c>
      <c r="L642" s="4">
        <v>64999</v>
      </c>
      <c r="M642" s="4">
        <v>22999</v>
      </c>
      <c r="N642" s="4">
        <v>1600</v>
      </c>
      <c r="O642" s="4">
        <v>230</v>
      </c>
      <c r="P642" s="4">
        <v>850</v>
      </c>
      <c r="Q642" t="s">
        <v>2369</v>
      </c>
      <c r="R642">
        <v>2024</v>
      </c>
    </row>
    <row r="643" spans="1:18" x14ac:dyDescent="0.25">
      <c r="A643" t="s">
        <v>1338</v>
      </c>
      <c r="B643" t="s">
        <v>1339</v>
      </c>
      <c r="C643" s="2">
        <v>222.8</v>
      </c>
      <c r="D643" t="s">
        <v>375</v>
      </c>
      <c r="E643" t="s">
        <v>585</v>
      </c>
      <c r="F643" t="s">
        <v>1138</v>
      </c>
      <c r="G643" s="5" t="s">
        <v>1552</v>
      </c>
      <c r="H643" t="s">
        <v>2437</v>
      </c>
      <c r="I643" s="6">
        <f t="shared" si="10"/>
        <v>100</v>
      </c>
      <c r="J643" s="2">
        <v>6500</v>
      </c>
      <c r="K643" s="2">
        <v>6.78</v>
      </c>
      <c r="L643" s="4">
        <v>139999</v>
      </c>
      <c r="M643" s="4">
        <v>59999</v>
      </c>
      <c r="N643" s="4">
        <v>3400</v>
      </c>
      <c r="O643" s="4">
        <v>470</v>
      </c>
      <c r="P643" s="4">
        <v>1725</v>
      </c>
      <c r="Q643" t="s">
        <v>2368</v>
      </c>
      <c r="R643">
        <v>2024</v>
      </c>
    </row>
    <row r="644" spans="1:18" x14ac:dyDescent="0.25">
      <c r="A644" t="s">
        <v>1338</v>
      </c>
      <c r="B644" t="s">
        <v>1346</v>
      </c>
      <c r="C644" s="2">
        <v>222.8</v>
      </c>
      <c r="D644" t="s">
        <v>759</v>
      </c>
      <c r="E644" t="s">
        <v>585</v>
      </c>
      <c r="F644" t="s">
        <v>1138</v>
      </c>
      <c r="G644" s="5" t="s">
        <v>1552</v>
      </c>
      <c r="H644" t="s">
        <v>2437</v>
      </c>
      <c r="I644" s="6">
        <f t="shared" si="10"/>
        <v>100</v>
      </c>
      <c r="J644" s="2">
        <v>6500</v>
      </c>
      <c r="K644" s="2">
        <v>6.78</v>
      </c>
      <c r="L644" s="4">
        <v>149999</v>
      </c>
      <c r="M644" s="4">
        <v>65999</v>
      </c>
      <c r="N644" s="4">
        <v>3600</v>
      </c>
      <c r="O644" s="4">
        <v>500</v>
      </c>
      <c r="P644" s="4">
        <v>1840</v>
      </c>
      <c r="Q644" t="s">
        <v>2368</v>
      </c>
      <c r="R644">
        <v>2024</v>
      </c>
    </row>
    <row r="645" spans="1:18" x14ac:dyDescent="0.25">
      <c r="A645" t="s">
        <v>1338</v>
      </c>
      <c r="B645" t="s">
        <v>1351</v>
      </c>
      <c r="C645" s="2">
        <v>191</v>
      </c>
      <c r="D645" t="s">
        <v>68</v>
      </c>
      <c r="E645" t="s">
        <v>461</v>
      </c>
      <c r="F645" t="s">
        <v>1352</v>
      </c>
      <c r="G645" s="5" t="s">
        <v>2415</v>
      </c>
      <c r="H645" t="s">
        <v>2437</v>
      </c>
      <c r="I645" s="6">
        <f t="shared" si="10"/>
        <v>98</v>
      </c>
      <c r="J645" s="2">
        <v>5500</v>
      </c>
      <c r="K645" s="2">
        <v>6.78</v>
      </c>
      <c r="L645" s="4">
        <v>89999</v>
      </c>
      <c r="M645" s="4">
        <v>37999</v>
      </c>
      <c r="N645" s="4">
        <v>2800</v>
      </c>
      <c r="O645" s="4">
        <v>380</v>
      </c>
      <c r="P645" s="4">
        <v>1400</v>
      </c>
      <c r="Q645" t="s">
        <v>2368</v>
      </c>
      <c r="R645">
        <v>2023</v>
      </c>
    </row>
    <row r="646" spans="1:18" x14ac:dyDescent="0.25">
      <c r="A646" t="s">
        <v>1338</v>
      </c>
      <c r="B646" t="s">
        <v>1357</v>
      </c>
      <c r="C646" s="2">
        <v>191</v>
      </c>
      <c r="D646" t="s">
        <v>375</v>
      </c>
      <c r="E646" t="s">
        <v>461</v>
      </c>
      <c r="F646" t="s">
        <v>1352</v>
      </c>
      <c r="G646" s="5" t="s">
        <v>2415</v>
      </c>
      <c r="H646" t="s">
        <v>2437</v>
      </c>
      <c r="I646" s="6">
        <f t="shared" si="10"/>
        <v>98</v>
      </c>
      <c r="J646" s="2">
        <v>5500</v>
      </c>
      <c r="K646" s="2">
        <v>6.78</v>
      </c>
      <c r="L646" s="4">
        <v>94999</v>
      </c>
      <c r="M646" s="4">
        <v>39999</v>
      </c>
      <c r="N646" s="4">
        <v>2900</v>
      </c>
      <c r="O646" s="4">
        <v>400</v>
      </c>
      <c r="P646" s="4">
        <v>1460</v>
      </c>
      <c r="Q646" t="s">
        <v>2368</v>
      </c>
      <c r="R646">
        <v>2023</v>
      </c>
    </row>
    <row r="647" spans="1:18" x14ac:dyDescent="0.25">
      <c r="A647" t="s">
        <v>1338</v>
      </c>
      <c r="B647" t="s">
        <v>1361</v>
      </c>
      <c r="C647" s="2">
        <v>191</v>
      </c>
      <c r="D647" t="s">
        <v>759</v>
      </c>
      <c r="E647" t="s">
        <v>461</v>
      </c>
      <c r="F647" t="s">
        <v>1352</v>
      </c>
      <c r="G647" s="5" t="s">
        <v>2415</v>
      </c>
      <c r="H647" t="s">
        <v>2437</v>
      </c>
      <c r="I647" s="6">
        <f t="shared" si="10"/>
        <v>98</v>
      </c>
      <c r="J647" s="2">
        <v>5500</v>
      </c>
      <c r="K647" s="2">
        <v>6.78</v>
      </c>
      <c r="L647" s="4">
        <v>99999</v>
      </c>
      <c r="M647" s="4">
        <v>41999</v>
      </c>
      <c r="N647" s="4">
        <v>3000</v>
      </c>
      <c r="O647" s="4">
        <v>420</v>
      </c>
      <c r="P647" s="4">
        <v>1520</v>
      </c>
      <c r="Q647" t="s">
        <v>2368</v>
      </c>
      <c r="R647">
        <v>2023</v>
      </c>
    </row>
    <row r="648" spans="1:18" x14ac:dyDescent="0.25">
      <c r="A648" t="s">
        <v>1338</v>
      </c>
      <c r="B648" t="s">
        <v>1497</v>
      </c>
      <c r="C648" s="2">
        <v>199</v>
      </c>
      <c r="D648" t="s">
        <v>68</v>
      </c>
      <c r="E648" t="s">
        <v>585</v>
      </c>
      <c r="F648" t="s">
        <v>1133</v>
      </c>
      <c r="G648" s="5" t="s">
        <v>401</v>
      </c>
      <c r="H648" t="s">
        <v>2437</v>
      </c>
      <c r="I648" s="6">
        <f t="shared" si="10"/>
        <v>95</v>
      </c>
      <c r="J648" s="2">
        <v>5200</v>
      </c>
      <c r="K648" s="2">
        <v>6.8</v>
      </c>
      <c r="L648" s="4">
        <v>124999</v>
      </c>
      <c r="M648" s="4">
        <v>47999</v>
      </c>
      <c r="N648" s="4">
        <v>3200</v>
      </c>
      <c r="O648" s="4">
        <v>440</v>
      </c>
      <c r="P648" s="4">
        <v>1620</v>
      </c>
      <c r="Q648" t="s">
        <v>2368</v>
      </c>
      <c r="R648">
        <v>2024</v>
      </c>
    </row>
    <row r="649" spans="1:18" x14ac:dyDescent="0.25">
      <c r="A649" t="s">
        <v>1338</v>
      </c>
      <c r="B649" t="s">
        <v>1503</v>
      </c>
      <c r="C649" s="2">
        <v>199</v>
      </c>
      <c r="D649" t="s">
        <v>375</v>
      </c>
      <c r="E649" t="s">
        <v>585</v>
      </c>
      <c r="F649" t="s">
        <v>1133</v>
      </c>
      <c r="G649" s="5" t="s">
        <v>401</v>
      </c>
      <c r="H649" t="s">
        <v>2437</v>
      </c>
      <c r="I649" s="6">
        <f t="shared" si="10"/>
        <v>95</v>
      </c>
      <c r="J649" s="2">
        <v>5200</v>
      </c>
      <c r="K649" s="2">
        <v>6.8</v>
      </c>
      <c r="L649" s="4">
        <v>139999</v>
      </c>
      <c r="M649" s="4">
        <v>53999</v>
      </c>
      <c r="N649" s="4">
        <v>3600</v>
      </c>
      <c r="O649" s="4">
        <v>500</v>
      </c>
      <c r="P649" s="4">
        <v>1800</v>
      </c>
      <c r="Q649" t="s">
        <v>2368</v>
      </c>
      <c r="R649">
        <v>2024</v>
      </c>
    </row>
    <row r="650" spans="1:18" x14ac:dyDescent="0.25">
      <c r="A650" t="s">
        <v>1338</v>
      </c>
      <c r="B650" t="s">
        <v>1509</v>
      </c>
      <c r="C650" s="2">
        <v>195</v>
      </c>
      <c r="D650" t="s">
        <v>68</v>
      </c>
      <c r="E650" t="s">
        <v>585</v>
      </c>
      <c r="F650" t="s">
        <v>527</v>
      </c>
      <c r="G650" s="5" t="s">
        <v>1203</v>
      </c>
      <c r="H650" t="s">
        <v>2437</v>
      </c>
      <c r="I650" s="6">
        <f t="shared" si="10"/>
        <v>95</v>
      </c>
      <c r="J650" s="2">
        <v>5100</v>
      </c>
      <c r="K650" s="2">
        <v>6.7</v>
      </c>
      <c r="L650" s="4">
        <v>84999</v>
      </c>
      <c r="M650" s="4">
        <v>32999</v>
      </c>
      <c r="N650" s="4">
        <v>2500</v>
      </c>
      <c r="O650" s="4">
        <v>350</v>
      </c>
      <c r="P650" s="4">
        <v>1250</v>
      </c>
      <c r="Q650" t="s">
        <v>2368</v>
      </c>
      <c r="R650">
        <v>2024</v>
      </c>
    </row>
    <row r="651" spans="1:18" x14ac:dyDescent="0.25">
      <c r="A651" t="s">
        <v>1338</v>
      </c>
      <c r="B651" t="s">
        <v>1428</v>
      </c>
      <c r="C651" s="2">
        <v>195</v>
      </c>
      <c r="D651" t="s">
        <v>375</v>
      </c>
      <c r="E651" t="s">
        <v>585</v>
      </c>
      <c r="F651" t="s">
        <v>527</v>
      </c>
      <c r="G651" s="5" t="s">
        <v>1203</v>
      </c>
      <c r="H651" t="s">
        <v>2437</v>
      </c>
      <c r="I651" s="6">
        <f t="shared" si="10"/>
        <v>95</v>
      </c>
      <c r="J651" s="2">
        <v>5100</v>
      </c>
      <c r="K651" s="2">
        <v>6.7</v>
      </c>
      <c r="L651" s="4">
        <v>99999</v>
      </c>
      <c r="M651" s="4">
        <v>38999</v>
      </c>
      <c r="N651" s="4">
        <v>2900</v>
      </c>
      <c r="O651" s="4">
        <v>400</v>
      </c>
      <c r="P651" s="4">
        <v>1400</v>
      </c>
      <c r="Q651" t="s">
        <v>2368</v>
      </c>
      <c r="R651">
        <v>2024</v>
      </c>
    </row>
    <row r="652" spans="1:18" x14ac:dyDescent="0.25">
      <c r="A652" t="s">
        <v>1338</v>
      </c>
      <c r="B652" t="s">
        <v>1365</v>
      </c>
      <c r="C652" s="2">
        <v>191</v>
      </c>
      <c r="D652" t="s">
        <v>68</v>
      </c>
      <c r="E652" t="s">
        <v>461</v>
      </c>
      <c r="F652" t="s">
        <v>527</v>
      </c>
      <c r="G652" s="5" t="s">
        <v>2416</v>
      </c>
      <c r="H652" t="s">
        <v>2438</v>
      </c>
      <c r="I652" s="6">
        <f t="shared" si="10"/>
        <v>70</v>
      </c>
      <c r="J652" s="2">
        <v>5500</v>
      </c>
      <c r="K652" s="2">
        <v>6.78</v>
      </c>
      <c r="L652" s="4">
        <v>84999</v>
      </c>
      <c r="M652" s="4">
        <v>28756</v>
      </c>
      <c r="N652" s="4">
        <v>2700</v>
      </c>
      <c r="O652" s="4">
        <v>360</v>
      </c>
      <c r="P652" s="4">
        <v>1330</v>
      </c>
      <c r="Q652" t="s">
        <v>2368</v>
      </c>
      <c r="R652">
        <v>2023</v>
      </c>
    </row>
    <row r="653" spans="1:18" x14ac:dyDescent="0.25">
      <c r="A653" t="s">
        <v>1338</v>
      </c>
      <c r="B653" t="s">
        <v>1371</v>
      </c>
      <c r="C653" s="2">
        <v>191</v>
      </c>
      <c r="D653" t="s">
        <v>68</v>
      </c>
      <c r="E653" t="s">
        <v>461</v>
      </c>
      <c r="F653" t="s">
        <v>527</v>
      </c>
      <c r="G653" s="5" t="s">
        <v>2416</v>
      </c>
      <c r="H653" t="s">
        <v>2438</v>
      </c>
      <c r="I653" s="6">
        <f t="shared" si="10"/>
        <v>70</v>
      </c>
      <c r="J653" s="2">
        <v>5500</v>
      </c>
      <c r="K653" s="2">
        <v>6.78</v>
      </c>
      <c r="L653" s="4">
        <v>89999</v>
      </c>
      <c r="M653" s="4">
        <v>30999</v>
      </c>
      <c r="N653" s="4">
        <v>2800</v>
      </c>
      <c r="O653" s="4">
        <v>380</v>
      </c>
      <c r="P653" s="4">
        <v>1400</v>
      </c>
      <c r="Q653" t="s">
        <v>2368</v>
      </c>
      <c r="R653">
        <v>2023</v>
      </c>
    </row>
    <row r="654" spans="1:18" x14ac:dyDescent="0.25">
      <c r="A654" t="s">
        <v>1338</v>
      </c>
      <c r="B654" t="s">
        <v>1373</v>
      </c>
      <c r="C654" s="2">
        <v>184</v>
      </c>
      <c r="D654" t="s">
        <v>375</v>
      </c>
      <c r="E654" t="s">
        <v>585</v>
      </c>
      <c r="F654" t="s">
        <v>1352</v>
      </c>
      <c r="G654" s="5" t="s">
        <v>1581</v>
      </c>
      <c r="H654" t="s">
        <v>2438</v>
      </c>
      <c r="I654" s="6">
        <f t="shared" si="10"/>
        <v>58</v>
      </c>
      <c r="J654" s="2">
        <v>6000</v>
      </c>
      <c r="K654" s="2">
        <v>6.83</v>
      </c>
      <c r="L654" s="4">
        <v>94999</v>
      </c>
      <c r="M654" s="4">
        <v>34999</v>
      </c>
      <c r="N654" s="4">
        <v>2600</v>
      </c>
      <c r="O654" s="4">
        <v>340</v>
      </c>
      <c r="P654" s="4">
        <v>1250</v>
      </c>
      <c r="Q654" t="s">
        <v>2368</v>
      </c>
      <c r="R654">
        <v>2025</v>
      </c>
    </row>
    <row r="655" spans="1:18" x14ac:dyDescent="0.25">
      <c r="A655" t="s">
        <v>1338</v>
      </c>
      <c r="B655" t="s">
        <v>1379</v>
      </c>
      <c r="C655" s="2">
        <v>184</v>
      </c>
      <c r="D655" t="s">
        <v>375</v>
      </c>
      <c r="E655" t="s">
        <v>585</v>
      </c>
      <c r="F655" t="s">
        <v>1352</v>
      </c>
      <c r="G655" s="5" t="s">
        <v>1581</v>
      </c>
      <c r="H655" t="s">
        <v>2438</v>
      </c>
      <c r="I655" s="6">
        <f t="shared" si="10"/>
        <v>58</v>
      </c>
      <c r="J655" s="2">
        <v>6000</v>
      </c>
      <c r="K655" s="2">
        <v>6.83</v>
      </c>
      <c r="L655" s="4">
        <v>99999</v>
      </c>
      <c r="M655" s="4">
        <v>36999</v>
      </c>
      <c r="N655" s="4">
        <v>2800</v>
      </c>
      <c r="O655" s="4">
        <v>360</v>
      </c>
      <c r="P655" s="4">
        <v>1320</v>
      </c>
      <c r="Q655" t="s">
        <v>2368</v>
      </c>
      <c r="R655">
        <v>2025</v>
      </c>
    </row>
    <row r="656" spans="1:18" x14ac:dyDescent="0.25">
      <c r="A656" t="s">
        <v>1338</v>
      </c>
      <c r="B656" t="s">
        <v>1381</v>
      </c>
      <c r="C656" s="2">
        <v>184</v>
      </c>
      <c r="D656" t="s">
        <v>68</v>
      </c>
      <c r="E656" t="s">
        <v>585</v>
      </c>
      <c r="F656" t="s">
        <v>527</v>
      </c>
      <c r="G656" s="5" t="s">
        <v>2417</v>
      </c>
      <c r="H656" t="s">
        <v>2438</v>
      </c>
      <c r="I656" s="6">
        <f t="shared" si="10"/>
        <v>56</v>
      </c>
      <c r="J656" s="2">
        <v>5800</v>
      </c>
      <c r="K656" s="2">
        <v>6.7</v>
      </c>
      <c r="L656" s="4">
        <v>79999</v>
      </c>
      <c r="M656" s="4">
        <v>29999</v>
      </c>
      <c r="N656" s="4">
        <v>2400</v>
      </c>
      <c r="O656" s="4">
        <v>320</v>
      </c>
      <c r="P656" s="4">
        <v>1150</v>
      </c>
      <c r="Q656" t="s">
        <v>2368</v>
      </c>
      <c r="R656">
        <v>2025</v>
      </c>
    </row>
    <row r="657" spans="1:18" x14ac:dyDescent="0.25">
      <c r="A657" t="s">
        <v>1338</v>
      </c>
      <c r="B657" t="s">
        <v>1387</v>
      </c>
      <c r="C657" s="2">
        <v>184</v>
      </c>
      <c r="D657" t="s">
        <v>68</v>
      </c>
      <c r="E657" t="s">
        <v>585</v>
      </c>
      <c r="F657" t="s">
        <v>527</v>
      </c>
      <c r="G657" s="5" t="s">
        <v>2417</v>
      </c>
      <c r="H657" t="s">
        <v>2438</v>
      </c>
      <c r="I657" s="6">
        <f t="shared" si="10"/>
        <v>56</v>
      </c>
      <c r="J657" s="2">
        <v>5800</v>
      </c>
      <c r="K657" s="2">
        <v>6.7</v>
      </c>
      <c r="L657" s="4">
        <v>84999</v>
      </c>
      <c r="M657" s="4">
        <v>31999</v>
      </c>
      <c r="N657" s="4">
        <v>2500</v>
      </c>
      <c r="O657" s="4">
        <v>340</v>
      </c>
      <c r="P657" s="4">
        <v>1210</v>
      </c>
      <c r="Q657" t="s">
        <v>2368</v>
      </c>
      <c r="R657">
        <v>2025</v>
      </c>
    </row>
    <row r="658" spans="1:18" x14ac:dyDescent="0.25">
      <c r="A658" t="s">
        <v>1338</v>
      </c>
      <c r="B658" t="s">
        <v>1390</v>
      </c>
      <c r="C658" s="2">
        <v>190</v>
      </c>
      <c r="D658" t="s">
        <v>18</v>
      </c>
      <c r="E658" t="s">
        <v>585</v>
      </c>
      <c r="F658" t="s">
        <v>1391</v>
      </c>
      <c r="G658" s="5" t="s">
        <v>1701</v>
      </c>
      <c r="H658" t="s">
        <v>2438</v>
      </c>
      <c r="I658" s="6">
        <f t="shared" si="10"/>
        <v>50</v>
      </c>
      <c r="J658" s="2">
        <v>5500</v>
      </c>
      <c r="K658" s="2">
        <v>6.6</v>
      </c>
      <c r="L658" s="4">
        <v>64999</v>
      </c>
      <c r="M658" s="4">
        <v>24999</v>
      </c>
      <c r="N658" s="4">
        <v>2000</v>
      </c>
      <c r="O658" s="4">
        <v>270</v>
      </c>
      <c r="P658" s="4">
        <v>970</v>
      </c>
      <c r="Q658" t="s">
        <v>2368</v>
      </c>
      <c r="R658">
        <v>2025</v>
      </c>
    </row>
    <row r="659" spans="1:18" x14ac:dyDescent="0.25">
      <c r="A659" t="s">
        <v>1338</v>
      </c>
      <c r="B659" t="s">
        <v>1396</v>
      </c>
      <c r="C659" s="2">
        <v>190</v>
      </c>
      <c r="D659" t="s">
        <v>68</v>
      </c>
      <c r="E659" t="s">
        <v>585</v>
      </c>
      <c r="F659" t="s">
        <v>1391</v>
      </c>
      <c r="G659" s="5" t="s">
        <v>1701</v>
      </c>
      <c r="H659" t="s">
        <v>2438</v>
      </c>
      <c r="I659" s="6">
        <f t="shared" si="10"/>
        <v>50</v>
      </c>
      <c r="J659" s="2">
        <v>5500</v>
      </c>
      <c r="K659" s="2">
        <v>6.6</v>
      </c>
      <c r="L659" s="4">
        <v>69999</v>
      </c>
      <c r="M659" s="4">
        <v>26999</v>
      </c>
      <c r="N659" s="4">
        <v>2100</v>
      </c>
      <c r="O659" s="4">
        <v>290</v>
      </c>
      <c r="P659" s="4">
        <v>1030</v>
      </c>
      <c r="Q659" t="s">
        <v>2368</v>
      </c>
      <c r="R659">
        <v>2025</v>
      </c>
    </row>
    <row r="660" spans="1:18" x14ac:dyDescent="0.25">
      <c r="A660" t="s">
        <v>1338</v>
      </c>
      <c r="B660" t="s">
        <v>1400</v>
      </c>
      <c r="C660" s="2">
        <v>185</v>
      </c>
      <c r="D660" t="s">
        <v>68</v>
      </c>
      <c r="E660" t="s">
        <v>585</v>
      </c>
      <c r="F660" t="s">
        <v>497</v>
      </c>
      <c r="G660" s="5" t="s">
        <v>2393</v>
      </c>
      <c r="H660" t="s">
        <v>2438</v>
      </c>
      <c r="I660" s="6">
        <f t="shared" si="10"/>
        <v>50</v>
      </c>
      <c r="J660" s="2">
        <v>5000</v>
      </c>
      <c r="K660" s="2">
        <v>6.5</v>
      </c>
      <c r="L660" s="4">
        <v>59999</v>
      </c>
      <c r="M660" s="4">
        <v>22999</v>
      </c>
      <c r="N660" s="4">
        <v>1800</v>
      </c>
      <c r="O660" s="4">
        <v>250</v>
      </c>
      <c r="P660" s="4">
        <v>900</v>
      </c>
      <c r="Q660" t="s">
        <v>2368</v>
      </c>
      <c r="R660">
        <v>2024</v>
      </c>
    </row>
    <row r="661" spans="1:18" x14ac:dyDescent="0.25">
      <c r="A661" t="s">
        <v>1338</v>
      </c>
      <c r="B661" t="s">
        <v>1404</v>
      </c>
      <c r="C661" s="2">
        <v>185</v>
      </c>
      <c r="D661" t="s">
        <v>68</v>
      </c>
      <c r="E661" t="s">
        <v>585</v>
      </c>
      <c r="F661" t="s">
        <v>497</v>
      </c>
      <c r="G661" s="5" t="s">
        <v>2393</v>
      </c>
      <c r="H661" t="s">
        <v>2438</v>
      </c>
      <c r="I661" s="6">
        <f t="shared" si="10"/>
        <v>50</v>
      </c>
      <c r="J661" s="2">
        <v>5000</v>
      </c>
      <c r="K661" s="2">
        <v>6.5</v>
      </c>
      <c r="L661" s="4">
        <v>64999</v>
      </c>
      <c r="M661" s="4">
        <v>24999</v>
      </c>
      <c r="N661" s="4">
        <v>1900</v>
      </c>
      <c r="O661" s="4">
        <v>270</v>
      </c>
      <c r="P661" s="4">
        <v>970</v>
      </c>
      <c r="Q661" t="s">
        <v>2368</v>
      </c>
      <c r="R661">
        <v>2024</v>
      </c>
    </row>
    <row r="662" spans="1:18" x14ac:dyDescent="0.25">
      <c r="A662" t="s">
        <v>1338</v>
      </c>
      <c r="B662" t="s">
        <v>1414</v>
      </c>
      <c r="C662" s="2">
        <v>192</v>
      </c>
      <c r="D662" t="s">
        <v>68</v>
      </c>
      <c r="E662" t="s">
        <v>585</v>
      </c>
      <c r="F662" t="s">
        <v>1133</v>
      </c>
      <c r="G662" s="5" t="s">
        <v>1701</v>
      </c>
      <c r="H662" t="s">
        <v>2438</v>
      </c>
      <c r="I662" s="6">
        <f t="shared" si="10"/>
        <v>50</v>
      </c>
      <c r="J662" s="2">
        <v>5200</v>
      </c>
      <c r="K662" s="2">
        <v>6.7</v>
      </c>
      <c r="L662" s="4">
        <v>74999</v>
      </c>
      <c r="M662" s="4">
        <v>27999</v>
      </c>
      <c r="N662" s="4">
        <v>2200</v>
      </c>
      <c r="O662" s="4">
        <v>300</v>
      </c>
      <c r="P662" s="4">
        <v>1070</v>
      </c>
      <c r="Q662" t="s">
        <v>2368</v>
      </c>
      <c r="R662">
        <v>2024</v>
      </c>
    </row>
    <row r="663" spans="1:18" x14ac:dyDescent="0.25">
      <c r="A663" t="s">
        <v>1338</v>
      </c>
      <c r="B663" t="s">
        <v>1419</v>
      </c>
      <c r="C663" s="2">
        <v>192</v>
      </c>
      <c r="D663" t="s">
        <v>375</v>
      </c>
      <c r="E663" t="s">
        <v>585</v>
      </c>
      <c r="F663" t="s">
        <v>1133</v>
      </c>
      <c r="G663" s="5" t="s">
        <v>1701</v>
      </c>
      <c r="H663" t="s">
        <v>2438</v>
      </c>
      <c r="I663" s="6">
        <f t="shared" si="10"/>
        <v>50</v>
      </c>
      <c r="J663" s="2">
        <v>5200</v>
      </c>
      <c r="K663" s="2">
        <v>6.7</v>
      </c>
      <c r="L663" s="4">
        <v>79999</v>
      </c>
      <c r="M663" s="4">
        <v>29999</v>
      </c>
      <c r="N663" s="4">
        <v>2400</v>
      </c>
      <c r="O663" s="4">
        <v>320</v>
      </c>
      <c r="P663" s="4">
        <v>1140</v>
      </c>
      <c r="Q663" t="s">
        <v>2368</v>
      </c>
      <c r="R663">
        <v>2024</v>
      </c>
    </row>
    <row r="664" spans="1:18" x14ac:dyDescent="0.25">
      <c r="A664" t="s">
        <v>1338</v>
      </c>
      <c r="B664" t="s">
        <v>1421</v>
      </c>
      <c r="C664" s="2">
        <v>195</v>
      </c>
      <c r="D664" t="s">
        <v>375</v>
      </c>
      <c r="E664" t="s">
        <v>461</v>
      </c>
      <c r="F664" t="s">
        <v>1352</v>
      </c>
      <c r="G664" s="5" t="s">
        <v>2317</v>
      </c>
      <c r="H664" t="s">
        <v>2438</v>
      </c>
      <c r="I664" s="6">
        <f t="shared" si="10"/>
        <v>65</v>
      </c>
      <c r="J664" s="2">
        <v>5500</v>
      </c>
      <c r="K664" s="2">
        <v>6.78</v>
      </c>
      <c r="L664" s="4">
        <v>94999</v>
      </c>
      <c r="M664" s="4">
        <v>34999</v>
      </c>
      <c r="N664" s="4">
        <v>2800</v>
      </c>
      <c r="O664" s="4">
        <v>360</v>
      </c>
      <c r="P664" s="4">
        <v>1320</v>
      </c>
      <c r="Q664" t="s">
        <v>2368</v>
      </c>
      <c r="R664">
        <v>2024</v>
      </c>
    </row>
    <row r="665" spans="1:18" x14ac:dyDescent="0.25">
      <c r="A665" t="s">
        <v>1338</v>
      </c>
      <c r="B665" t="s">
        <v>1423</v>
      </c>
      <c r="C665" s="2">
        <v>195</v>
      </c>
      <c r="D665" t="s">
        <v>759</v>
      </c>
      <c r="E665" t="s">
        <v>461</v>
      </c>
      <c r="F665" t="s">
        <v>1352</v>
      </c>
      <c r="G665" s="5" t="s">
        <v>2317</v>
      </c>
      <c r="H665" t="s">
        <v>2438</v>
      </c>
      <c r="I665" s="6">
        <f t="shared" si="10"/>
        <v>65</v>
      </c>
      <c r="J665" s="2">
        <v>5500</v>
      </c>
      <c r="K665" s="2">
        <v>6.78</v>
      </c>
      <c r="L665" s="4">
        <v>99999</v>
      </c>
      <c r="M665" s="4">
        <v>36999</v>
      </c>
      <c r="N665" s="4">
        <v>3000</v>
      </c>
      <c r="O665" s="4">
        <v>380</v>
      </c>
      <c r="P665" s="4">
        <v>1390</v>
      </c>
      <c r="Q665" t="s">
        <v>2368</v>
      </c>
      <c r="R665">
        <v>2024</v>
      </c>
    </row>
    <row r="666" spans="1:18" x14ac:dyDescent="0.25">
      <c r="A666" t="s">
        <v>1338</v>
      </c>
      <c r="B666" t="s">
        <v>1425</v>
      </c>
      <c r="C666" s="2">
        <v>185</v>
      </c>
      <c r="D666" t="s">
        <v>68</v>
      </c>
      <c r="E666" t="s">
        <v>585</v>
      </c>
      <c r="F666" t="s">
        <v>755</v>
      </c>
      <c r="G666" s="5" t="s">
        <v>1229</v>
      </c>
      <c r="H666" t="s">
        <v>2438</v>
      </c>
      <c r="I666" s="6">
        <f t="shared" si="10"/>
        <v>65</v>
      </c>
      <c r="J666" s="2">
        <v>5100</v>
      </c>
      <c r="K666" s="2">
        <v>6.7</v>
      </c>
      <c r="L666" s="4">
        <v>54999</v>
      </c>
      <c r="M666" s="4">
        <v>19999</v>
      </c>
      <c r="N666" s="4">
        <v>1800</v>
      </c>
      <c r="O666" s="4">
        <v>250</v>
      </c>
      <c r="P666" s="4">
        <v>900</v>
      </c>
      <c r="Q666" t="s">
        <v>2368</v>
      </c>
      <c r="R666">
        <v>2024</v>
      </c>
    </row>
    <row r="667" spans="1:18" x14ac:dyDescent="0.25">
      <c r="A667" t="s">
        <v>1338</v>
      </c>
      <c r="B667" t="s">
        <v>1426</v>
      </c>
      <c r="C667" s="2">
        <v>185</v>
      </c>
      <c r="D667" t="s">
        <v>375</v>
      </c>
      <c r="E667" t="s">
        <v>585</v>
      </c>
      <c r="F667" t="s">
        <v>755</v>
      </c>
      <c r="G667" s="5" t="s">
        <v>1229</v>
      </c>
      <c r="H667" t="s">
        <v>2438</v>
      </c>
      <c r="I667" s="6">
        <f t="shared" si="10"/>
        <v>65</v>
      </c>
      <c r="J667" s="2">
        <v>5100</v>
      </c>
      <c r="K667" s="2">
        <v>6.7</v>
      </c>
      <c r="L667" s="4">
        <v>59999</v>
      </c>
      <c r="M667" s="4">
        <v>21999</v>
      </c>
      <c r="N667" s="4">
        <v>1900</v>
      </c>
      <c r="O667" s="4">
        <v>270</v>
      </c>
      <c r="P667" s="4">
        <v>960</v>
      </c>
      <c r="Q667" t="s">
        <v>2368</v>
      </c>
      <c r="R667">
        <v>2024</v>
      </c>
    </row>
    <row r="668" spans="1:18" x14ac:dyDescent="0.25">
      <c r="A668" t="s">
        <v>1338</v>
      </c>
      <c r="B668" t="s">
        <v>1428</v>
      </c>
      <c r="C668" s="2">
        <v>188</v>
      </c>
      <c r="D668" t="s">
        <v>375</v>
      </c>
      <c r="E668" t="s">
        <v>461</v>
      </c>
      <c r="F668" t="s">
        <v>1352</v>
      </c>
      <c r="G668" s="5" t="s">
        <v>2418</v>
      </c>
      <c r="H668" t="s">
        <v>2438</v>
      </c>
      <c r="I668" s="6">
        <f t="shared" si="10"/>
        <v>70</v>
      </c>
      <c r="J668" s="2">
        <v>5500</v>
      </c>
      <c r="K668" s="2">
        <v>6.78</v>
      </c>
      <c r="L668" s="4">
        <v>89999</v>
      </c>
      <c r="M668" s="4">
        <v>32999</v>
      </c>
      <c r="N668" s="4">
        <v>2500</v>
      </c>
      <c r="O668" s="4">
        <v>340</v>
      </c>
      <c r="P668" s="4">
        <v>1210</v>
      </c>
      <c r="Q668" t="s">
        <v>2368</v>
      </c>
      <c r="R668">
        <v>2024</v>
      </c>
    </row>
    <row r="669" spans="1:18" x14ac:dyDescent="0.25">
      <c r="A669" t="s">
        <v>1338</v>
      </c>
      <c r="B669" t="s">
        <v>1430</v>
      </c>
      <c r="C669" s="2">
        <v>188</v>
      </c>
      <c r="D669" t="s">
        <v>759</v>
      </c>
      <c r="E669" t="s">
        <v>461</v>
      </c>
      <c r="F669" t="s">
        <v>1352</v>
      </c>
      <c r="G669" s="5" t="s">
        <v>2418</v>
      </c>
      <c r="H669" t="s">
        <v>2438</v>
      </c>
      <c r="I669" s="6">
        <f t="shared" si="10"/>
        <v>70</v>
      </c>
      <c r="J669" s="2">
        <v>5500</v>
      </c>
      <c r="K669" s="2">
        <v>6.78</v>
      </c>
      <c r="L669" s="4">
        <v>94999</v>
      </c>
      <c r="M669" s="4">
        <v>34999</v>
      </c>
      <c r="N669" s="4">
        <v>2700</v>
      </c>
      <c r="O669" s="4">
        <v>360</v>
      </c>
      <c r="P669" s="4">
        <v>1280</v>
      </c>
      <c r="Q669" t="s">
        <v>2368</v>
      </c>
      <c r="R669">
        <v>2024</v>
      </c>
    </row>
    <row r="670" spans="1:18" x14ac:dyDescent="0.25">
      <c r="A670" t="s">
        <v>1338</v>
      </c>
      <c r="B670" t="s">
        <v>1438</v>
      </c>
      <c r="C670" s="2">
        <v>190</v>
      </c>
      <c r="D670" t="s">
        <v>68</v>
      </c>
      <c r="E670" t="s">
        <v>585</v>
      </c>
      <c r="F670" t="s">
        <v>755</v>
      </c>
      <c r="G670" s="5" t="s">
        <v>2419</v>
      </c>
      <c r="H670" t="s">
        <v>2438</v>
      </c>
      <c r="I670" s="6">
        <f t="shared" si="10"/>
        <v>48</v>
      </c>
      <c r="J670" s="2">
        <v>5200</v>
      </c>
      <c r="K670" s="2">
        <v>6.7</v>
      </c>
      <c r="L670" s="4">
        <v>59999</v>
      </c>
      <c r="M670" s="4">
        <v>22999</v>
      </c>
      <c r="N670" s="4">
        <v>1900</v>
      </c>
      <c r="O670" s="4">
        <v>270</v>
      </c>
      <c r="P670" s="4">
        <v>960</v>
      </c>
      <c r="Q670" t="s">
        <v>2368</v>
      </c>
      <c r="R670">
        <v>2024</v>
      </c>
    </row>
    <row r="671" spans="1:18" x14ac:dyDescent="0.25">
      <c r="A671" t="s">
        <v>1338</v>
      </c>
      <c r="B671" t="s">
        <v>1440</v>
      </c>
      <c r="C671" s="2">
        <v>190</v>
      </c>
      <c r="D671" t="s">
        <v>375</v>
      </c>
      <c r="E671" t="s">
        <v>585</v>
      </c>
      <c r="F671" t="s">
        <v>755</v>
      </c>
      <c r="G671" s="5" t="s">
        <v>2419</v>
      </c>
      <c r="H671" t="s">
        <v>2438</v>
      </c>
      <c r="I671" s="6">
        <f t="shared" si="10"/>
        <v>48</v>
      </c>
      <c r="J671" s="2">
        <v>5200</v>
      </c>
      <c r="K671" s="2">
        <v>6.7</v>
      </c>
      <c r="L671" s="4">
        <v>64999</v>
      </c>
      <c r="M671" s="4">
        <v>24999</v>
      </c>
      <c r="N671" s="4">
        <v>2000</v>
      </c>
      <c r="O671" s="4">
        <v>290</v>
      </c>
      <c r="P671" s="4">
        <v>1020</v>
      </c>
      <c r="Q671" t="s">
        <v>2368</v>
      </c>
      <c r="R671">
        <v>2024</v>
      </c>
    </row>
    <row r="672" spans="1:18" x14ac:dyDescent="0.25">
      <c r="A672" t="s">
        <v>1338</v>
      </c>
      <c r="B672" t="s">
        <v>1442</v>
      </c>
      <c r="C672" s="2">
        <v>200</v>
      </c>
      <c r="D672" t="s">
        <v>68</v>
      </c>
      <c r="E672" t="s">
        <v>585</v>
      </c>
      <c r="F672" t="s">
        <v>497</v>
      </c>
      <c r="G672" s="5" t="s">
        <v>2377</v>
      </c>
      <c r="H672" t="s">
        <v>2438</v>
      </c>
      <c r="I672" s="6">
        <f t="shared" si="10"/>
        <v>25</v>
      </c>
      <c r="J672" s="2">
        <v>5000</v>
      </c>
      <c r="K672" s="2">
        <v>6.6</v>
      </c>
      <c r="L672" s="4">
        <v>54999</v>
      </c>
      <c r="M672" s="4">
        <v>19999</v>
      </c>
      <c r="N672" s="4">
        <v>1700</v>
      </c>
      <c r="O672" s="4">
        <v>240</v>
      </c>
      <c r="P672" s="4">
        <v>860</v>
      </c>
      <c r="Q672" t="s">
        <v>2368</v>
      </c>
      <c r="R672">
        <v>2024</v>
      </c>
    </row>
    <row r="673" spans="1:18" x14ac:dyDescent="0.25">
      <c r="A673" t="s">
        <v>1338</v>
      </c>
      <c r="B673" t="s">
        <v>1444</v>
      </c>
      <c r="C673" s="2">
        <v>200</v>
      </c>
      <c r="D673" t="s">
        <v>68</v>
      </c>
      <c r="E673" t="s">
        <v>585</v>
      </c>
      <c r="F673" t="s">
        <v>497</v>
      </c>
      <c r="G673" s="5" t="s">
        <v>2377</v>
      </c>
      <c r="H673" t="s">
        <v>2438</v>
      </c>
      <c r="I673" s="6">
        <f t="shared" si="10"/>
        <v>25</v>
      </c>
      <c r="J673" s="2">
        <v>5000</v>
      </c>
      <c r="K673" s="2">
        <v>6.6</v>
      </c>
      <c r="L673" s="4">
        <v>59999</v>
      </c>
      <c r="M673" s="4">
        <v>21999</v>
      </c>
      <c r="N673" s="4">
        <v>1800</v>
      </c>
      <c r="O673" s="4">
        <v>260</v>
      </c>
      <c r="P673" s="4">
        <v>920</v>
      </c>
      <c r="Q673" t="s">
        <v>2368</v>
      </c>
      <c r="R673">
        <v>2024</v>
      </c>
    </row>
    <row r="674" spans="1:18" x14ac:dyDescent="0.25">
      <c r="A674" t="s">
        <v>1338</v>
      </c>
      <c r="B674" t="s">
        <v>1460</v>
      </c>
      <c r="C674" s="2">
        <v>198</v>
      </c>
      <c r="D674" t="s">
        <v>68</v>
      </c>
      <c r="E674" t="s">
        <v>585</v>
      </c>
      <c r="F674" t="s">
        <v>497</v>
      </c>
      <c r="G674" s="5" t="s">
        <v>2377</v>
      </c>
      <c r="H674" t="s">
        <v>2438</v>
      </c>
      <c r="I674" s="6">
        <f t="shared" si="10"/>
        <v>25</v>
      </c>
      <c r="J674" s="2">
        <v>5200</v>
      </c>
      <c r="K674" s="2">
        <v>6.6</v>
      </c>
      <c r="L674" s="4">
        <v>52999</v>
      </c>
      <c r="M674" s="4">
        <v>19499</v>
      </c>
      <c r="N674" s="4">
        <v>1600</v>
      </c>
      <c r="O674" s="4">
        <v>230</v>
      </c>
      <c r="P674" s="4">
        <v>830</v>
      </c>
      <c r="Q674" t="s">
        <v>2368</v>
      </c>
      <c r="R674">
        <v>2024</v>
      </c>
    </row>
    <row r="675" spans="1:18" x14ac:dyDescent="0.25">
      <c r="A675" t="s">
        <v>1338</v>
      </c>
      <c r="B675" t="s">
        <v>1480</v>
      </c>
      <c r="C675" s="2">
        <v>192</v>
      </c>
      <c r="D675" t="s">
        <v>18</v>
      </c>
      <c r="E675" t="s">
        <v>307</v>
      </c>
      <c r="F675" t="s">
        <v>497</v>
      </c>
      <c r="G675" s="5" t="s">
        <v>2387</v>
      </c>
      <c r="H675" t="s">
        <v>2438</v>
      </c>
      <c r="I675" s="6">
        <f t="shared" si="10"/>
        <v>32</v>
      </c>
      <c r="J675" s="2">
        <v>5000</v>
      </c>
      <c r="K675" s="2">
        <v>6.6</v>
      </c>
      <c r="L675" s="4">
        <v>37999</v>
      </c>
      <c r="M675" s="4">
        <v>13999</v>
      </c>
      <c r="N675" s="4">
        <v>1100</v>
      </c>
      <c r="O675" s="4">
        <v>160</v>
      </c>
      <c r="P675" s="4">
        <v>600</v>
      </c>
      <c r="Q675" t="s">
        <v>2368</v>
      </c>
      <c r="R675">
        <v>2024</v>
      </c>
    </row>
    <row r="676" spans="1:18" x14ac:dyDescent="0.25">
      <c r="A676" t="s">
        <v>1338</v>
      </c>
      <c r="B676" t="s">
        <v>1482</v>
      </c>
      <c r="C676" s="2">
        <v>192</v>
      </c>
      <c r="D676" t="s">
        <v>68</v>
      </c>
      <c r="E676" t="s">
        <v>307</v>
      </c>
      <c r="F676" t="s">
        <v>497</v>
      </c>
      <c r="G676" s="5" t="s">
        <v>2387</v>
      </c>
      <c r="H676" t="s">
        <v>2438</v>
      </c>
      <c r="I676" s="6">
        <f t="shared" si="10"/>
        <v>32</v>
      </c>
      <c r="J676" s="2">
        <v>5000</v>
      </c>
      <c r="K676" s="2">
        <v>6.6</v>
      </c>
      <c r="L676" s="4">
        <v>42999</v>
      </c>
      <c r="M676" s="4">
        <v>15999</v>
      </c>
      <c r="N676" s="4">
        <v>1200</v>
      </c>
      <c r="O676" s="4">
        <v>180</v>
      </c>
      <c r="P676" s="4">
        <v>660</v>
      </c>
      <c r="Q676" t="s">
        <v>2368</v>
      </c>
      <c r="R676">
        <v>2024</v>
      </c>
    </row>
    <row r="677" spans="1:18" x14ac:dyDescent="0.25">
      <c r="A677" t="s">
        <v>1338</v>
      </c>
      <c r="B677" t="s">
        <v>1492</v>
      </c>
      <c r="C677" s="2">
        <v>196</v>
      </c>
      <c r="D677" t="s">
        <v>18</v>
      </c>
      <c r="E677" t="s">
        <v>585</v>
      </c>
      <c r="F677" t="s">
        <v>497</v>
      </c>
      <c r="G677" s="5" t="s">
        <v>2377</v>
      </c>
      <c r="H677" t="s">
        <v>2438</v>
      </c>
      <c r="I677" s="6">
        <f t="shared" si="10"/>
        <v>25</v>
      </c>
      <c r="J677" s="2">
        <v>5200</v>
      </c>
      <c r="K677" s="2">
        <v>6.6</v>
      </c>
      <c r="L677" s="4">
        <v>49999</v>
      </c>
      <c r="M677" s="4">
        <v>18999</v>
      </c>
      <c r="N677" s="4">
        <v>1600</v>
      </c>
      <c r="O677" s="4">
        <v>220</v>
      </c>
      <c r="P677" s="4">
        <v>820</v>
      </c>
      <c r="Q677" t="s">
        <v>2368</v>
      </c>
      <c r="R677">
        <v>2024</v>
      </c>
    </row>
    <row r="678" spans="1:18" x14ac:dyDescent="0.25">
      <c r="A678" t="s">
        <v>1338</v>
      </c>
      <c r="B678" t="s">
        <v>1494</v>
      </c>
      <c r="C678" s="2">
        <v>196</v>
      </c>
      <c r="D678" t="s">
        <v>68</v>
      </c>
      <c r="E678" t="s">
        <v>585</v>
      </c>
      <c r="F678" t="s">
        <v>497</v>
      </c>
      <c r="G678" s="5" t="s">
        <v>2377</v>
      </c>
      <c r="H678" t="s">
        <v>2438</v>
      </c>
      <c r="I678" s="6">
        <f t="shared" si="10"/>
        <v>25</v>
      </c>
      <c r="J678" s="2">
        <v>5200</v>
      </c>
      <c r="K678" s="2">
        <v>6.6</v>
      </c>
      <c r="L678" s="4">
        <v>54999</v>
      </c>
      <c r="M678" s="4">
        <v>20999</v>
      </c>
      <c r="N678" s="4">
        <v>1700</v>
      </c>
      <c r="O678" s="4">
        <v>240</v>
      </c>
      <c r="P678" s="4">
        <v>880</v>
      </c>
      <c r="Q678" t="s">
        <v>2368</v>
      </c>
      <c r="R678">
        <v>2024</v>
      </c>
    </row>
    <row r="679" spans="1:18" x14ac:dyDescent="0.25">
      <c r="A679" t="s">
        <v>1338</v>
      </c>
      <c r="B679" t="s">
        <v>1506</v>
      </c>
      <c r="C679" s="2">
        <v>193</v>
      </c>
      <c r="D679" t="s">
        <v>68</v>
      </c>
      <c r="E679" t="s">
        <v>585</v>
      </c>
      <c r="F679" t="s">
        <v>1152</v>
      </c>
      <c r="G679" s="5" t="s">
        <v>2392</v>
      </c>
      <c r="H679" t="s">
        <v>2438</v>
      </c>
      <c r="I679" s="6">
        <f t="shared" si="10"/>
        <v>70</v>
      </c>
      <c r="J679" s="2">
        <v>5000</v>
      </c>
      <c r="K679" s="2">
        <v>6.7</v>
      </c>
      <c r="L679" s="4">
        <v>79999</v>
      </c>
      <c r="M679" s="4">
        <v>30999</v>
      </c>
      <c r="N679" s="4">
        <v>2400</v>
      </c>
      <c r="O679" s="4">
        <v>330</v>
      </c>
      <c r="P679" s="4">
        <v>1200</v>
      </c>
      <c r="Q679" t="s">
        <v>2368</v>
      </c>
      <c r="R679">
        <v>2024</v>
      </c>
    </row>
    <row r="680" spans="1:18" x14ac:dyDescent="0.25">
      <c r="A680" t="s">
        <v>1338</v>
      </c>
      <c r="B680" t="s">
        <v>1508</v>
      </c>
      <c r="C680" s="2">
        <v>193</v>
      </c>
      <c r="D680" t="s">
        <v>375</v>
      </c>
      <c r="E680" t="s">
        <v>585</v>
      </c>
      <c r="F680" t="s">
        <v>1152</v>
      </c>
      <c r="G680" s="5" t="s">
        <v>2392</v>
      </c>
      <c r="H680" t="s">
        <v>2438</v>
      </c>
      <c r="I680" s="6">
        <f t="shared" si="10"/>
        <v>70</v>
      </c>
      <c r="J680" s="2">
        <v>5000</v>
      </c>
      <c r="K680" s="2">
        <v>6.7</v>
      </c>
      <c r="L680" s="4">
        <v>94999</v>
      </c>
      <c r="M680" s="4">
        <v>36999</v>
      </c>
      <c r="N680" s="4">
        <v>2800</v>
      </c>
      <c r="O680" s="4">
        <v>380</v>
      </c>
      <c r="P680" s="4">
        <v>1400</v>
      </c>
      <c r="Q680" t="s">
        <v>2368</v>
      </c>
      <c r="R680">
        <v>2024</v>
      </c>
    </row>
    <row r="681" spans="1:18" x14ac:dyDescent="0.25">
      <c r="A681" t="s">
        <v>1338</v>
      </c>
      <c r="B681" t="s">
        <v>1528</v>
      </c>
      <c r="C681" s="2">
        <v>499</v>
      </c>
      <c r="D681" t="s">
        <v>162</v>
      </c>
      <c r="E681" t="s">
        <v>307</v>
      </c>
      <c r="F681" t="s">
        <v>475</v>
      </c>
      <c r="G681" s="5" t="s">
        <v>680</v>
      </c>
      <c r="H681" t="s">
        <v>2438</v>
      </c>
      <c r="I681" s="6">
        <f t="shared" si="10"/>
        <v>40</v>
      </c>
      <c r="J681" s="2">
        <v>8340</v>
      </c>
      <c r="K681" s="2">
        <v>11</v>
      </c>
      <c r="L681" s="4">
        <v>79999</v>
      </c>
      <c r="M681" s="4">
        <v>29999</v>
      </c>
      <c r="N681" s="4">
        <v>2200</v>
      </c>
      <c r="O681" s="4">
        <v>310</v>
      </c>
      <c r="P681" s="4">
        <v>1150</v>
      </c>
      <c r="Q681" t="s">
        <v>2369</v>
      </c>
      <c r="R681">
        <v>2022</v>
      </c>
    </row>
    <row r="682" spans="1:18" x14ac:dyDescent="0.25">
      <c r="A682" t="s">
        <v>1338</v>
      </c>
      <c r="B682" t="s">
        <v>1532</v>
      </c>
      <c r="C682" s="2">
        <v>499</v>
      </c>
      <c r="D682" t="s">
        <v>18</v>
      </c>
      <c r="E682" t="s">
        <v>307</v>
      </c>
      <c r="F682" t="s">
        <v>475</v>
      </c>
      <c r="G682" s="5" t="s">
        <v>680</v>
      </c>
      <c r="H682" t="s">
        <v>2438</v>
      </c>
      <c r="I682" s="6">
        <f t="shared" si="10"/>
        <v>40</v>
      </c>
      <c r="J682" s="2">
        <v>8340</v>
      </c>
      <c r="K682" s="2">
        <v>11</v>
      </c>
      <c r="L682" s="4">
        <v>89999</v>
      </c>
      <c r="M682" s="4">
        <v>33999</v>
      </c>
      <c r="N682" s="4">
        <v>2500</v>
      </c>
      <c r="O682" s="4">
        <v>350</v>
      </c>
      <c r="P682" s="4">
        <v>1300</v>
      </c>
      <c r="Q682" t="s">
        <v>2369</v>
      </c>
      <c r="R682">
        <v>2022</v>
      </c>
    </row>
    <row r="683" spans="1:18" x14ac:dyDescent="0.25">
      <c r="A683" t="s">
        <v>372</v>
      </c>
      <c r="B683" t="s">
        <v>485</v>
      </c>
      <c r="C683" s="2">
        <v>195</v>
      </c>
      <c r="D683" t="s">
        <v>18</v>
      </c>
      <c r="E683" t="s">
        <v>475</v>
      </c>
      <c r="F683" t="s">
        <v>486</v>
      </c>
      <c r="G683" s="5" t="s">
        <v>2390</v>
      </c>
      <c r="H683" t="s">
        <v>2439</v>
      </c>
      <c r="I683" s="6">
        <f t="shared" si="10"/>
        <v>22</v>
      </c>
      <c r="J683" s="2">
        <v>5000</v>
      </c>
      <c r="K683" s="2">
        <v>6.5</v>
      </c>
      <c r="L683" s="4">
        <v>70000</v>
      </c>
      <c r="M683" s="4">
        <v>19999</v>
      </c>
      <c r="N683" s="4">
        <v>1599</v>
      </c>
      <c r="O683" s="4">
        <v>299</v>
      </c>
      <c r="P683" s="4">
        <v>1199</v>
      </c>
      <c r="Q683" t="s">
        <v>2368</v>
      </c>
      <c r="R683">
        <v>2023</v>
      </c>
    </row>
    <row r="684" spans="1:18" x14ac:dyDescent="0.25">
      <c r="A684" t="s">
        <v>372</v>
      </c>
      <c r="B684" t="s">
        <v>492</v>
      </c>
      <c r="C684" s="2">
        <v>195</v>
      </c>
      <c r="D684" t="s">
        <v>18</v>
      </c>
      <c r="E684" t="s">
        <v>475</v>
      </c>
      <c r="F684" t="s">
        <v>486</v>
      </c>
      <c r="G684" s="5" t="s">
        <v>2390</v>
      </c>
      <c r="H684" t="s">
        <v>2439</v>
      </c>
      <c r="I684" s="6">
        <f t="shared" si="10"/>
        <v>22</v>
      </c>
      <c r="J684" s="2">
        <v>5000</v>
      </c>
      <c r="K684" s="2">
        <v>6.5</v>
      </c>
      <c r="L684" s="4">
        <v>80000</v>
      </c>
      <c r="M684" s="4">
        <v>24999</v>
      </c>
      <c r="N684" s="4">
        <v>1799</v>
      </c>
      <c r="O684" s="4">
        <v>349</v>
      </c>
      <c r="P684" s="4">
        <v>1299</v>
      </c>
      <c r="Q684" t="s">
        <v>2368</v>
      </c>
      <c r="R684">
        <v>2023</v>
      </c>
    </row>
    <row r="685" spans="1:18" x14ac:dyDescent="0.25">
      <c r="A685" t="s">
        <v>372</v>
      </c>
      <c r="B685" t="s">
        <v>534</v>
      </c>
      <c r="C685" s="2">
        <v>188</v>
      </c>
      <c r="D685" t="s">
        <v>162</v>
      </c>
      <c r="E685" t="s">
        <v>508</v>
      </c>
      <c r="F685" t="s">
        <v>535</v>
      </c>
      <c r="G685" s="5" t="s">
        <v>2421</v>
      </c>
      <c r="H685" t="s">
        <v>2439</v>
      </c>
      <c r="I685" s="6">
        <f t="shared" si="10"/>
        <v>5</v>
      </c>
      <c r="J685" s="2">
        <v>5000</v>
      </c>
      <c r="K685" s="2">
        <v>6.5</v>
      </c>
      <c r="L685" s="4">
        <v>50000</v>
      </c>
      <c r="M685" s="4">
        <v>12999</v>
      </c>
      <c r="N685" s="4">
        <v>1099</v>
      </c>
      <c r="O685" s="4">
        <v>199</v>
      </c>
      <c r="P685" s="4">
        <v>899</v>
      </c>
      <c r="Q685" t="s">
        <v>2368</v>
      </c>
      <c r="R685">
        <v>2022</v>
      </c>
    </row>
    <row r="686" spans="1:18" x14ac:dyDescent="0.25">
      <c r="A686" t="s">
        <v>372</v>
      </c>
      <c r="B686" t="s">
        <v>539</v>
      </c>
      <c r="C686" s="2">
        <v>188</v>
      </c>
      <c r="D686" t="s">
        <v>162</v>
      </c>
      <c r="E686" t="s">
        <v>508</v>
      </c>
      <c r="F686" t="s">
        <v>535</v>
      </c>
      <c r="G686" s="5" t="s">
        <v>2421</v>
      </c>
      <c r="H686" t="s">
        <v>2439</v>
      </c>
      <c r="I686" s="6">
        <f t="shared" si="10"/>
        <v>5</v>
      </c>
      <c r="J686" s="2">
        <v>5000</v>
      </c>
      <c r="K686" s="2">
        <v>6.5</v>
      </c>
      <c r="L686" s="4">
        <v>60000</v>
      </c>
      <c r="M686" s="4">
        <v>15999</v>
      </c>
      <c r="N686" s="4">
        <v>1299</v>
      </c>
      <c r="O686" s="4">
        <v>249</v>
      </c>
      <c r="P686" s="4">
        <v>999</v>
      </c>
      <c r="Q686" t="s">
        <v>2368</v>
      </c>
      <c r="R686">
        <v>2022</v>
      </c>
    </row>
    <row r="687" spans="1:18" x14ac:dyDescent="0.25">
      <c r="A687" t="s">
        <v>372</v>
      </c>
      <c r="B687" t="s">
        <v>589</v>
      </c>
      <c r="C687" s="2">
        <v>191</v>
      </c>
      <c r="D687" t="s">
        <v>162</v>
      </c>
      <c r="E687" t="s">
        <v>585</v>
      </c>
      <c r="F687" t="s">
        <v>591</v>
      </c>
      <c r="G687" s="5" t="s">
        <v>592</v>
      </c>
      <c r="H687" t="s">
        <v>2439</v>
      </c>
      <c r="I687" s="6">
        <f t="shared" si="10"/>
        <v>15</v>
      </c>
      <c r="J687" s="2">
        <v>3500</v>
      </c>
      <c r="K687" s="2">
        <v>6</v>
      </c>
      <c r="L687" s="4">
        <v>45000</v>
      </c>
      <c r="M687" s="4">
        <v>18990</v>
      </c>
      <c r="N687" s="4">
        <v>1699</v>
      </c>
      <c r="O687" s="4">
        <v>199</v>
      </c>
      <c r="P687" s="4">
        <v>799</v>
      </c>
      <c r="Q687" t="s">
        <v>2368</v>
      </c>
      <c r="R687">
        <v>2018</v>
      </c>
    </row>
    <row r="688" spans="1:18" x14ac:dyDescent="0.25">
      <c r="A688" t="s">
        <v>372</v>
      </c>
      <c r="B688" t="s">
        <v>597</v>
      </c>
      <c r="C688" s="2">
        <v>181</v>
      </c>
      <c r="D688" t="s">
        <v>256</v>
      </c>
      <c r="E688" t="s">
        <v>475</v>
      </c>
      <c r="F688" t="s">
        <v>475</v>
      </c>
      <c r="G688" s="5" t="s">
        <v>599</v>
      </c>
      <c r="H688" t="s">
        <v>2439</v>
      </c>
      <c r="I688" s="6">
        <f t="shared" si="10"/>
        <v>5</v>
      </c>
      <c r="J688" s="2">
        <v>3600</v>
      </c>
      <c r="K688" s="2">
        <v>5.5</v>
      </c>
      <c r="L688" s="4">
        <v>40000</v>
      </c>
      <c r="M688" s="4">
        <v>18990</v>
      </c>
      <c r="N688" s="4">
        <v>1599</v>
      </c>
      <c r="O688" s="4">
        <v>179</v>
      </c>
      <c r="P688" s="4">
        <v>699</v>
      </c>
      <c r="Q688" t="s">
        <v>2368</v>
      </c>
      <c r="R688">
        <v>2017</v>
      </c>
    </row>
    <row r="689" spans="1:18" x14ac:dyDescent="0.25">
      <c r="A689" t="s">
        <v>372</v>
      </c>
      <c r="B689" t="s">
        <v>605</v>
      </c>
      <c r="C689" s="2">
        <v>178</v>
      </c>
      <c r="D689" t="s">
        <v>162</v>
      </c>
      <c r="E689" t="s">
        <v>307</v>
      </c>
      <c r="F689" t="s">
        <v>607</v>
      </c>
      <c r="G689" s="5" t="s">
        <v>608</v>
      </c>
      <c r="H689" t="s">
        <v>2439</v>
      </c>
      <c r="I689" s="6">
        <f t="shared" si="10"/>
        <v>8</v>
      </c>
      <c r="J689" s="2">
        <v>3300</v>
      </c>
      <c r="K689" s="2">
        <v>6</v>
      </c>
      <c r="L689" s="4">
        <v>40000</v>
      </c>
      <c r="M689" s="4">
        <v>15999</v>
      </c>
      <c r="N689" s="4">
        <v>1499</v>
      </c>
      <c r="O689" s="4">
        <v>169</v>
      </c>
      <c r="P689" s="4">
        <v>699</v>
      </c>
      <c r="Q689" t="s">
        <v>2368</v>
      </c>
      <c r="R689">
        <v>2018</v>
      </c>
    </row>
    <row r="690" spans="1:18" x14ac:dyDescent="0.25">
      <c r="A690" t="s">
        <v>372</v>
      </c>
      <c r="B690" t="s">
        <v>611</v>
      </c>
      <c r="C690" s="2">
        <v>175</v>
      </c>
      <c r="D690" t="s">
        <v>613</v>
      </c>
      <c r="E690" t="s">
        <v>508</v>
      </c>
      <c r="F690" t="s">
        <v>475</v>
      </c>
      <c r="G690" s="5" t="s">
        <v>614</v>
      </c>
      <c r="H690" t="s">
        <v>2439</v>
      </c>
      <c r="I690" s="6">
        <f t="shared" si="10"/>
        <v>3</v>
      </c>
      <c r="J690" s="2">
        <v>3000</v>
      </c>
      <c r="K690" s="2">
        <v>5.5</v>
      </c>
      <c r="L690" s="4">
        <v>25000</v>
      </c>
      <c r="M690" s="4">
        <v>9990</v>
      </c>
      <c r="N690" s="4">
        <v>999</v>
      </c>
      <c r="O690" s="4">
        <v>129</v>
      </c>
      <c r="P690" s="4">
        <v>499</v>
      </c>
      <c r="Q690" t="s">
        <v>2368</v>
      </c>
      <c r="R690">
        <v>2018</v>
      </c>
    </row>
    <row r="691" spans="1:18" x14ac:dyDescent="0.25">
      <c r="A691" t="s">
        <v>372</v>
      </c>
      <c r="B691" t="s">
        <v>620</v>
      </c>
      <c r="C691" s="2">
        <v>189</v>
      </c>
      <c r="D691" t="s">
        <v>18</v>
      </c>
      <c r="E691" t="s">
        <v>585</v>
      </c>
      <c r="F691" t="s">
        <v>621</v>
      </c>
      <c r="G691" s="5" t="s">
        <v>622</v>
      </c>
      <c r="H691" t="s">
        <v>2439</v>
      </c>
      <c r="I691" s="6">
        <f t="shared" si="10"/>
        <v>18</v>
      </c>
      <c r="J691" s="2">
        <v>4000</v>
      </c>
      <c r="K691" s="2">
        <v>6</v>
      </c>
      <c r="L691" s="4">
        <v>65000</v>
      </c>
      <c r="M691" s="4">
        <v>32990</v>
      </c>
      <c r="N691" s="4">
        <v>3099</v>
      </c>
      <c r="O691" s="4">
        <v>399</v>
      </c>
      <c r="P691" s="4">
        <v>1299</v>
      </c>
      <c r="Q691" t="s">
        <v>2368</v>
      </c>
      <c r="R691">
        <v>2016</v>
      </c>
    </row>
    <row r="692" spans="1:18" x14ac:dyDescent="0.25">
      <c r="A692" t="s">
        <v>372</v>
      </c>
      <c r="B692" t="s">
        <v>626</v>
      </c>
      <c r="C692" s="2">
        <v>165</v>
      </c>
      <c r="D692" t="s">
        <v>162</v>
      </c>
      <c r="E692" t="s">
        <v>585</v>
      </c>
      <c r="F692" t="s">
        <v>585</v>
      </c>
      <c r="G692" s="5" t="s">
        <v>628</v>
      </c>
      <c r="H692" t="s">
        <v>2439</v>
      </c>
      <c r="I692" s="6">
        <f t="shared" si="10"/>
        <v>14</v>
      </c>
      <c r="J692" s="2">
        <v>3300</v>
      </c>
      <c r="K692" s="2">
        <v>5.7</v>
      </c>
      <c r="L692" s="4">
        <v>50000</v>
      </c>
      <c r="M692" s="4">
        <v>22990</v>
      </c>
      <c r="N692" s="4">
        <v>2499</v>
      </c>
      <c r="O692" s="4">
        <v>299</v>
      </c>
      <c r="P692" s="4">
        <v>999</v>
      </c>
      <c r="Q692" t="s">
        <v>2368</v>
      </c>
      <c r="R692">
        <v>2017</v>
      </c>
    </row>
    <row r="693" spans="1:18" x14ac:dyDescent="0.25">
      <c r="A693" t="s">
        <v>372</v>
      </c>
      <c r="B693" t="s">
        <v>631</v>
      </c>
      <c r="C693" s="2">
        <v>143</v>
      </c>
      <c r="D693" t="s">
        <v>162</v>
      </c>
      <c r="E693" t="s">
        <v>307</v>
      </c>
      <c r="F693" t="s">
        <v>585</v>
      </c>
      <c r="G693" s="5" t="s">
        <v>633</v>
      </c>
      <c r="H693" t="s">
        <v>2439</v>
      </c>
      <c r="I693" s="6">
        <f t="shared" si="10"/>
        <v>10</v>
      </c>
      <c r="J693" s="2">
        <v>2600</v>
      </c>
      <c r="K693" s="2">
        <v>5.2</v>
      </c>
      <c r="L693" s="4">
        <v>40000</v>
      </c>
      <c r="M693" s="4">
        <v>19990</v>
      </c>
      <c r="N693" s="4">
        <v>1899</v>
      </c>
      <c r="O693" s="4">
        <v>249</v>
      </c>
      <c r="P693" s="4">
        <v>799</v>
      </c>
      <c r="Q693" t="s">
        <v>2368</v>
      </c>
      <c r="R693">
        <v>2016</v>
      </c>
    </row>
    <row r="694" spans="1:18" x14ac:dyDescent="0.25">
      <c r="A694" t="s">
        <v>372</v>
      </c>
      <c r="B694" t="s">
        <v>684</v>
      </c>
      <c r="C694" s="2">
        <v>366</v>
      </c>
      <c r="D694" t="s">
        <v>162</v>
      </c>
      <c r="E694" t="s">
        <v>686</v>
      </c>
      <c r="F694" t="s">
        <v>307</v>
      </c>
      <c r="G694" s="5" t="s">
        <v>2390</v>
      </c>
      <c r="H694" t="s">
        <v>2439</v>
      </c>
      <c r="I694" s="6">
        <f t="shared" si="10"/>
        <v>22</v>
      </c>
      <c r="J694" s="2">
        <v>5100</v>
      </c>
      <c r="K694" s="2">
        <v>8.6999999999999993</v>
      </c>
      <c r="L694" s="4">
        <v>75000</v>
      </c>
      <c r="M694" s="4">
        <v>16999</v>
      </c>
      <c r="N694" s="4">
        <v>1299</v>
      </c>
      <c r="O694" s="4">
        <v>179</v>
      </c>
      <c r="P694" s="4">
        <v>699</v>
      </c>
      <c r="Q694" t="s">
        <v>2369</v>
      </c>
      <c r="R694">
        <v>2023</v>
      </c>
    </row>
    <row r="695" spans="1:18" x14ac:dyDescent="0.25">
      <c r="A695" t="s">
        <v>372</v>
      </c>
      <c r="B695" t="s">
        <v>690</v>
      </c>
      <c r="C695" s="2">
        <v>508</v>
      </c>
      <c r="D695" t="s">
        <v>162</v>
      </c>
      <c r="E695" t="s">
        <v>508</v>
      </c>
      <c r="F695" t="s">
        <v>307</v>
      </c>
      <c r="G695" s="5" t="s">
        <v>692</v>
      </c>
      <c r="H695" t="s">
        <v>2439</v>
      </c>
      <c r="I695" s="6">
        <f t="shared" si="10"/>
        <v>10</v>
      </c>
      <c r="J695" s="2">
        <v>7040</v>
      </c>
      <c r="K695" s="2">
        <v>10.5</v>
      </c>
      <c r="L695" s="4">
        <v>68000</v>
      </c>
      <c r="M695" s="4">
        <v>17999</v>
      </c>
      <c r="N695" s="4">
        <v>1499</v>
      </c>
      <c r="O695" s="4">
        <v>199</v>
      </c>
      <c r="P695" s="4">
        <v>799</v>
      </c>
      <c r="Q695" t="s">
        <v>2369</v>
      </c>
      <c r="R695">
        <v>2022</v>
      </c>
    </row>
    <row r="696" spans="1:18" x14ac:dyDescent="0.25">
      <c r="A696" t="s">
        <v>372</v>
      </c>
      <c r="B696" t="s">
        <v>695</v>
      </c>
      <c r="C696" s="2">
        <v>366</v>
      </c>
      <c r="D696" t="s">
        <v>256</v>
      </c>
      <c r="E696" t="s">
        <v>686</v>
      </c>
      <c r="F696" t="s">
        <v>307</v>
      </c>
      <c r="G696" s="5" t="s">
        <v>2422</v>
      </c>
      <c r="H696" t="s">
        <v>2439</v>
      </c>
      <c r="I696" s="6">
        <f t="shared" si="10"/>
        <v>4</v>
      </c>
      <c r="J696" s="2">
        <v>5100</v>
      </c>
      <c r="K696" s="2">
        <v>8.6999999999999993</v>
      </c>
      <c r="L696" s="4">
        <v>40000</v>
      </c>
      <c r="M696" s="4">
        <v>11999</v>
      </c>
      <c r="N696" s="4">
        <v>999</v>
      </c>
      <c r="O696" s="4">
        <v>149</v>
      </c>
      <c r="P696" s="4">
        <v>599</v>
      </c>
      <c r="Q696" t="s">
        <v>2369</v>
      </c>
      <c r="R696">
        <v>2021</v>
      </c>
    </row>
    <row r="697" spans="1:18" x14ac:dyDescent="0.25">
      <c r="A697" t="s">
        <v>372</v>
      </c>
      <c r="B697" t="s">
        <v>719</v>
      </c>
      <c r="C697" s="2">
        <v>490</v>
      </c>
      <c r="D697" t="s">
        <v>720</v>
      </c>
      <c r="E697" t="s">
        <v>686</v>
      </c>
      <c r="F697" t="s">
        <v>508</v>
      </c>
      <c r="G697" s="5" t="s">
        <v>721</v>
      </c>
      <c r="H697" t="s">
        <v>2439</v>
      </c>
      <c r="I697" s="6">
        <f t="shared" si="10"/>
        <v>1</v>
      </c>
      <c r="J697" s="2">
        <v>5000</v>
      </c>
      <c r="K697" s="2">
        <v>10.1</v>
      </c>
      <c r="L697" s="4">
        <v>35000</v>
      </c>
      <c r="M697" s="4">
        <v>9999</v>
      </c>
      <c r="N697" s="4">
        <v>899</v>
      </c>
      <c r="O697" s="4">
        <v>129</v>
      </c>
      <c r="P697" s="4">
        <v>499</v>
      </c>
      <c r="Q697" t="s">
        <v>2369</v>
      </c>
      <c r="R697">
        <v>2016</v>
      </c>
    </row>
    <row r="698" spans="1:18" x14ac:dyDescent="0.25">
      <c r="A698" t="s">
        <v>372</v>
      </c>
      <c r="B698" t="s">
        <v>725</v>
      </c>
      <c r="C698" s="2">
        <v>360</v>
      </c>
      <c r="D698" t="s">
        <v>720</v>
      </c>
      <c r="E698" t="s">
        <v>686</v>
      </c>
      <c r="F698" t="s">
        <v>508</v>
      </c>
      <c r="G698" s="5" t="s">
        <v>727</v>
      </c>
      <c r="H698" t="s">
        <v>2439</v>
      </c>
      <c r="I698" s="6">
        <f t="shared" si="10"/>
        <v>2</v>
      </c>
      <c r="J698" s="2">
        <v>5000</v>
      </c>
      <c r="K698" s="2">
        <v>8</v>
      </c>
      <c r="L698" s="4">
        <v>28000</v>
      </c>
      <c r="M698" s="4">
        <v>8499</v>
      </c>
      <c r="N698" s="4">
        <v>799</v>
      </c>
      <c r="O698" s="4">
        <v>99</v>
      </c>
      <c r="P698" s="4">
        <v>399</v>
      </c>
      <c r="Q698" t="s">
        <v>2368</v>
      </c>
      <c r="R698">
        <v>2016</v>
      </c>
    </row>
    <row r="699" spans="1:18" x14ac:dyDescent="0.25">
      <c r="A699" t="s">
        <v>372</v>
      </c>
      <c r="B699" t="s">
        <v>373</v>
      </c>
      <c r="C699" s="2">
        <v>234</v>
      </c>
      <c r="D699" t="s">
        <v>375</v>
      </c>
      <c r="E699" t="s">
        <v>19</v>
      </c>
      <c r="F699" t="s">
        <v>376</v>
      </c>
      <c r="G699" s="5" t="s">
        <v>377</v>
      </c>
      <c r="H699" t="s">
        <v>2437</v>
      </c>
      <c r="I699" s="6">
        <f t="shared" si="10"/>
        <v>95</v>
      </c>
      <c r="J699" s="2">
        <v>5000</v>
      </c>
      <c r="K699" s="2">
        <v>6.8</v>
      </c>
      <c r="L699" s="4">
        <v>450000</v>
      </c>
      <c r="M699" s="4">
        <v>104900</v>
      </c>
      <c r="N699" s="4">
        <v>7499</v>
      </c>
      <c r="O699" s="4">
        <v>1199</v>
      </c>
      <c r="P699" s="4">
        <v>4899</v>
      </c>
      <c r="Q699" t="s">
        <v>2368</v>
      </c>
      <c r="R699">
        <v>2024</v>
      </c>
    </row>
    <row r="700" spans="1:18" x14ac:dyDescent="0.25">
      <c r="A700" t="s">
        <v>372</v>
      </c>
      <c r="B700" t="s">
        <v>383</v>
      </c>
      <c r="C700" s="2">
        <v>234</v>
      </c>
      <c r="D700" t="s">
        <v>375</v>
      </c>
      <c r="E700" t="s">
        <v>19</v>
      </c>
      <c r="F700" t="s">
        <v>376</v>
      </c>
      <c r="G700" s="5" t="s">
        <v>377</v>
      </c>
      <c r="H700" t="s">
        <v>2437</v>
      </c>
      <c r="I700" s="6">
        <f t="shared" si="10"/>
        <v>95</v>
      </c>
      <c r="J700" s="2">
        <v>5000</v>
      </c>
      <c r="K700" s="2">
        <v>6.8</v>
      </c>
      <c r="L700" s="4">
        <v>480000</v>
      </c>
      <c r="M700" s="4">
        <v>114900</v>
      </c>
      <c r="N700" s="4">
        <v>7999</v>
      </c>
      <c r="O700" s="4">
        <v>1299</v>
      </c>
      <c r="P700" s="4">
        <v>5099</v>
      </c>
      <c r="Q700" t="s">
        <v>2368</v>
      </c>
      <c r="R700">
        <v>2024</v>
      </c>
    </row>
    <row r="701" spans="1:18" x14ac:dyDescent="0.25">
      <c r="A701" t="s">
        <v>372</v>
      </c>
      <c r="B701" t="s">
        <v>386</v>
      </c>
      <c r="C701" s="2">
        <v>196</v>
      </c>
      <c r="D701" t="s">
        <v>68</v>
      </c>
      <c r="E701" t="s">
        <v>19</v>
      </c>
      <c r="F701" t="s">
        <v>61</v>
      </c>
      <c r="G701" s="5" t="s">
        <v>377</v>
      </c>
      <c r="H701" t="s">
        <v>2437</v>
      </c>
      <c r="I701" s="6">
        <f t="shared" si="10"/>
        <v>95</v>
      </c>
      <c r="J701" s="2">
        <v>4800</v>
      </c>
      <c r="K701" s="2">
        <v>6.6</v>
      </c>
      <c r="L701" s="4">
        <v>400000</v>
      </c>
      <c r="M701" s="4">
        <v>89900</v>
      </c>
      <c r="N701" s="4">
        <v>6199</v>
      </c>
      <c r="O701" s="4">
        <v>899</v>
      </c>
      <c r="P701" s="4">
        <v>3599</v>
      </c>
      <c r="Q701" t="s">
        <v>2368</v>
      </c>
      <c r="R701">
        <v>2024</v>
      </c>
    </row>
    <row r="702" spans="1:18" x14ac:dyDescent="0.25">
      <c r="A702" t="s">
        <v>372</v>
      </c>
      <c r="B702" t="s">
        <v>391</v>
      </c>
      <c r="C702" s="2">
        <v>196</v>
      </c>
      <c r="D702" t="s">
        <v>68</v>
      </c>
      <c r="E702" t="s">
        <v>19</v>
      </c>
      <c r="F702" t="s">
        <v>61</v>
      </c>
      <c r="G702" s="5" t="s">
        <v>377</v>
      </c>
      <c r="H702" t="s">
        <v>2437</v>
      </c>
      <c r="I702" s="6">
        <f t="shared" si="10"/>
        <v>95</v>
      </c>
      <c r="J702" s="2">
        <v>4800</v>
      </c>
      <c r="K702" s="2">
        <v>6.6</v>
      </c>
      <c r="L702" s="4">
        <v>430000</v>
      </c>
      <c r="M702" s="4">
        <v>99900</v>
      </c>
      <c r="N702" s="4">
        <v>6999</v>
      </c>
      <c r="O702" s="4">
        <v>999</v>
      </c>
      <c r="P702" s="4">
        <v>3799</v>
      </c>
      <c r="Q702" t="s">
        <v>2368</v>
      </c>
      <c r="R702">
        <v>2024</v>
      </c>
    </row>
    <row r="703" spans="1:18" x14ac:dyDescent="0.25">
      <c r="A703" t="s">
        <v>372</v>
      </c>
      <c r="B703" t="s">
        <v>393</v>
      </c>
      <c r="C703" s="2">
        <v>168</v>
      </c>
      <c r="D703" t="s">
        <v>68</v>
      </c>
      <c r="E703" t="s">
        <v>19</v>
      </c>
      <c r="F703" t="s">
        <v>61</v>
      </c>
      <c r="G703" s="5" t="s">
        <v>377</v>
      </c>
      <c r="H703" t="s">
        <v>2437</v>
      </c>
      <c r="I703" s="6">
        <f t="shared" si="10"/>
        <v>95</v>
      </c>
      <c r="J703" s="2">
        <v>4000</v>
      </c>
      <c r="K703" s="2">
        <v>6.1</v>
      </c>
      <c r="L703" s="4">
        <v>350000</v>
      </c>
      <c r="M703" s="4">
        <v>79900</v>
      </c>
      <c r="N703" s="4">
        <v>5799</v>
      </c>
      <c r="O703" s="4">
        <v>799</v>
      </c>
      <c r="P703" s="4">
        <v>3299</v>
      </c>
      <c r="Q703" t="s">
        <v>2368</v>
      </c>
      <c r="R703">
        <v>2024</v>
      </c>
    </row>
    <row r="704" spans="1:18" x14ac:dyDescent="0.25">
      <c r="A704" t="s">
        <v>372</v>
      </c>
      <c r="B704" t="s">
        <v>398</v>
      </c>
      <c r="C704" s="2">
        <v>168</v>
      </c>
      <c r="D704" t="s">
        <v>68</v>
      </c>
      <c r="E704" t="s">
        <v>19</v>
      </c>
      <c r="F704" t="s">
        <v>61</v>
      </c>
      <c r="G704" s="5" t="s">
        <v>377</v>
      </c>
      <c r="H704" t="s">
        <v>2437</v>
      </c>
      <c r="I704" s="6">
        <f t="shared" si="10"/>
        <v>95</v>
      </c>
      <c r="J704" s="2">
        <v>4000</v>
      </c>
      <c r="K704" s="2">
        <v>6.1</v>
      </c>
      <c r="L704" s="4">
        <v>380000</v>
      </c>
      <c r="M704" s="4">
        <v>89900</v>
      </c>
      <c r="N704" s="4">
        <v>6199</v>
      </c>
      <c r="O704" s="4">
        <v>899</v>
      </c>
      <c r="P704" s="4">
        <v>3499</v>
      </c>
      <c r="Q704" t="s">
        <v>2368</v>
      </c>
      <c r="R704">
        <v>2024</v>
      </c>
    </row>
    <row r="705" spans="1:18" x14ac:dyDescent="0.25">
      <c r="A705" t="s">
        <v>372</v>
      </c>
      <c r="B705" t="s">
        <v>400</v>
      </c>
      <c r="C705" s="2">
        <v>228</v>
      </c>
      <c r="D705" t="s">
        <v>375</v>
      </c>
      <c r="E705" t="s">
        <v>19</v>
      </c>
      <c r="F705" t="s">
        <v>376</v>
      </c>
      <c r="G705" s="5" t="s">
        <v>401</v>
      </c>
      <c r="H705" t="s">
        <v>2437</v>
      </c>
      <c r="I705" s="6">
        <f t="shared" si="10"/>
        <v>95</v>
      </c>
      <c r="J705" s="2">
        <v>5000</v>
      </c>
      <c r="K705" s="2">
        <v>6.8</v>
      </c>
      <c r="L705" s="4">
        <v>430000</v>
      </c>
      <c r="M705" s="4">
        <v>99900</v>
      </c>
      <c r="N705" s="4">
        <v>7299</v>
      </c>
      <c r="O705" s="4">
        <v>1199</v>
      </c>
      <c r="P705" s="4">
        <v>4599</v>
      </c>
      <c r="Q705" t="s">
        <v>2368</v>
      </c>
      <c r="R705">
        <v>2023</v>
      </c>
    </row>
    <row r="706" spans="1:18" x14ac:dyDescent="0.25">
      <c r="A706" t="s">
        <v>372</v>
      </c>
      <c r="B706" t="s">
        <v>402</v>
      </c>
      <c r="C706" s="2">
        <v>228</v>
      </c>
      <c r="D706" t="s">
        <v>375</v>
      </c>
      <c r="E706" t="s">
        <v>19</v>
      </c>
      <c r="F706" t="s">
        <v>376</v>
      </c>
      <c r="G706" s="5" t="s">
        <v>401</v>
      </c>
      <c r="H706" t="s">
        <v>2437</v>
      </c>
      <c r="I706" s="6">
        <f t="shared" ref="I706:I769" si="11">_xlfn.XLOOKUP(G706, $T$2:$T$183,$U$2:$U$183,"Unknown",0)</f>
        <v>95</v>
      </c>
      <c r="J706" s="2">
        <v>5000</v>
      </c>
      <c r="K706" s="2">
        <v>6.8</v>
      </c>
      <c r="L706" s="4">
        <v>460000</v>
      </c>
      <c r="M706" s="4">
        <v>109900</v>
      </c>
      <c r="N706" s="4">
        <v>7999</v>
      </c>
      <c r="O706" s="4">
        <v>1299</v>
      </c>
      <c r="P706" s="4">
        <v>4899</v>
      </c>
      <c r="Q706" t="s">
        <v>2368</v>
      </c>
      <c r="R706">
        <v>2023</v>
      </c>
    </row>
    <row r="707" spans="1:18" x14ac:dyDescent="0.25">
      <c r="A707" t="s">
        <v>372</v>
      </c>
      <c r="B707" t="s">
        <v>404</v>
      </c>
      <c r="C707" s="2">
        <v>196</v>
      </c>
      <c r="D707" t="s">
        <v>68</v>
      </c>
      <c r="E707" t="s">
        <v>19</v>
      </c>
      <c r="F707" t="s">
        <v>61</v>
      </c>
      <c r="G707" s="5" t="s">
        <v>401</v>
      </c>
      <c r="H707" t="s">
        <v>2437</v>
      </c>
      <c r="I707" s="6">
        <f t="shared" si="11"/>
        <v>95</v>
      </c>
      <c r="J707" s="2">
        <v>4700</v>
      </c>
      <c r="K707" s="2">
        <v>6.6</v>
      </c>
      <c r="L707" s="4">
        <v>360000</v>
      </c>
      <c r="M707" s="4">
        <v>79900</v>
      </c>
      <c r="N707" s="4">
        <v>6199</v>
      </c>
      <c r="O707" s="4">
        <v>899</v>
      </c>
      <c r="P707" s="4">
        <v>3399</v>
      </c>
      <c r="Q707" t="s">
        <v>2368</v>
      </c>
      <c r="R707">
        <v>2023</v>
      </c>
    </row>
    <row r="708" spans="1:18" x14ac:dyDescent="0.25">
      <c r="A708" t="s">
        <v>372</v>
      </c>
      <c r="B708" t="s">
        <v>407</v>
      </c>
      <c r="C708" s="2">
        <v>196</v>
      </c>
      <c r="D708" t="s">
        <v>68</v>
      </c>
      <c r="E708" t="s">
        <v>19</v>
      </c>
      <c r="F708" t="s">
        <v>61</v>
      </c>
      <c r="G708" s="5" t="s">
        <v>401</v>
      </c>
      <c r="H708" t="s">
        <v>2437</v>
      </c>
      <c r="I708" s="6">
        <f t="shared" si="11"/>
        <v>95</v>
      </c>
      <c r="J708" s="2">
        <v>4700</v>
      </c>
      <c r="K708" s="2">
        <v>6.6</v>
      </c>
      <c r="L708" s="4">
        <v>390000</v>
      </c>
      <c r="M708" s="4">
        <v>89900</v>
      </c>
      <c r="N708" s="4">
        <v>6799</v>
      </c>
      <c r="O708" s="4">
        <v>999</v>
      </c>
      <c r="P708" s="4">
        <v>3599</v>
      </c>
      <c r="Q708" t="s">
        <v>2368</v>
      </c>
      <c r="R708">
        <v>2023</v>
      </c>
    </row>
    <row r="709" spans="1:18" x14ac:dyDescent="0.25">
      <c r="A709" t="s">
        <v>372</v>
      </c>
      <c r="B709" t="s">
        <v>409</v>
      </c>
      <c r="C709" s="2">
        <v>168</v>
      </c>
      <c r="D709" t="s">
        <v>68</v>
      </c>
      <c r="E709" t="s">
        <v>19</v>
      </c>
      <c r="F709" t="s">
        <v>61</v>
      </c>
      <c r="G709" s="5" t="s">
        <v>401</v>
      </c>
      <c r="H709" t="s">
        <v>2437</v>
      </c>
      <c r="I709" s="6">
        <f t="shared" si="11"/>
        <v>95</v>
      </c>
      <c r="J709" s="2">
        <v>3900</v>
      </c>
      <c r="K709" s="2">
        <v>6.1</v>
      </c>
      <c r="L709" s="4">
        <v>320000</v>
      </c>
      <c r="M709" s="4">
        <v>69900</v>
      </c>
      <c r="N709" s="4">
        <v>5499</v>
      </c>
      <c r="O709" s="4">
        <v>799</v>
      </c>
      <c r="P709" s="4">
        <v>3099</v>
      </c>
      <c r="Q709" t="s">
        <v>2368</v>
      </c>
      <c r="R709">
        <v>2023</v>
      </c>
    </row>
    <row r="710" spans="1:18" x14ac:dyDescent="0.25">
      <c r="A710" t="s">
        <v>372</v>
      </c>
      <c r="B710" t="s">
        <v>412</v>
      </c>
      <c r="C710" s="2">
        <v>168</v>
      </c>
      <c r="D710" t="s">
        <v>68</v>
      </c>
      <c r="E710" t="s">
        <v>19</v>
      </c>
      <c r="F710" t="s">
        <v>61</v>
      </c>
      <c r="G710" s="5" t="s">
        <v>401</v>
      </c>
      <c r="H710" t="s">
        <v>2437</v>
      </c>
      <c r="I710" s="6">
        <f t="shared" si="11"/>
        <v>95</v>
      </c>
      <c r="J710" s="2">
        <v>3900</v>
      </c>
      <c r="K710" s="2">
        <v>6.1</v>
      </c>
      <c r="L710" s="4">
        <v>350000</v>
      </c>
      <c r="M710" s="4">
        <v>79900</v>
      </c>
      <c r="N710" s="4">
        <v>5999</v>
      </c>
      <c r="O710" s="4">
        <v>899</v>
      </c>
      <c r="P710" s="4">
        <v>3299</v>
      </c>
      <c r="Q710" t="s">
        <v>2368</v>
      </c>
      <c r="R710">
        <v>2023</v>
      </c>
    </row>
    <row r="711" spans="1:18" x14ac:dyDescent="0.25">
      <c r="A711" t="s">
        <v>372</v>
      </c>
      <c r="B711" t="s">
        <v>413</v>
      </c>
      <c r="C711" s="2">
        <v>228</v>
      </c>
      <c r="D711" t="s">
        <v>375</v>
      </c>
      <c r="E711" t="s">
        <v>414</v>
      </c>
      <c r="F711" t="s">
        <v>415</v>
      </c>
      <c r="G711" s="5" t="s">
        <v>416</v>
      </c>
      <c r="H711" t="s">
        <v>2437</v>
      </c>
      <c r="I711" s="6">
        <f t="shared" si="11"/>
        <v>85</v>
      </c>
      <c r="J711" s="2">
        <v>5000</v>
      </c>
      <c r="K711" s="2">
        <v>6.8</v>
      </c>
      <c r="L711" s="4">
        <v>420000</v>
      </c>
      <c r="M711" s="4">
        <v>94900</v>
      </c>
      <c r="N711" s="4">
        <v>6599</v>
      </c>
      <c r="O711" s="4">
        <v>1099</v>
      </c>
      <c r="P711" s="4">
        <v>4499</v>
      </c>
      <c r="Q711" t="s">
        <v>2368</v>
      </c>
      <c r="R711">
        <v>2022</v>
      </c>
    </row>
    <row r="712" spans="1:18" x14ac:dyDescent="0.25">
      <c r="A712" t="s">
        <v>372</v>
      </c>
      <c r="B712" t="s">
        <v>419</v>
      </c>
      <c r="C712" s="2">
        <v>228</v>
      </c>
      <c r="D712" t="s">
        <v>375</v>
      </c>
      <c r="E712" t="s">
        <v>414</v>
      </c>
      <c r="F712" t="s">
        <v>415</v>
      </c>
      <c r="G712" s="5" t="s">
        <v>416</v>
      </c>
      <c r="H712" t="s">
        <v>2437</v>
      </c>
      <c r="I712" s="6">
        <f t="shared" si="11"/>
        <v>85</v>
      </c>
      <c r="J712" s="2">
        <v>5000</v>
      </c>
      <c r="K712" s="2">
        <v>6.8</v>
      </c>
      <c r="L712" s="4">
        <v>450000</v>
      </c>
      <c r="M712" s="4">
        <v>104900</v>
      </c>
      <c r="N712" s="4">
        <v>7199</v>
      </c>
      <c r="O712" s="4">
        <v>1199</v>
      </c>
      <c r="P712" s="4">
        <v>4799</v>
      </c>
      <c r="Q712" t="s">
        <v>2368</v>
      </c>
      <c r="R712">
        <v>2022</v>
      </c>
    </row>
    <row r="713" spans="1:18" x14ac:dyDescent="0.25">
      <c r="A713" t="s">
        <v>372</v>
      </c>
      <c r="B713" t="s">
        <v>420</v>
      </c>
      <c r="C713" s="2">
        <v>195</v>
      </c>
      <c r="D713" t="s">
        <v>68</v>
      </c>
      <c r="E713" t="s">
        <v>414</v>
      </c>
      <c r="F713" t="s">
        <v>61</v>
      </c>
      <c r="G713" s="5" t="s">
        <v>416</v>
      </c>
      <c r="H713" t="s">
        <v>2437</v>
      </c>
      <c r="I713" s="6">
        <f t="shared" si="11"/>
        <v>85</v>
      </c>
      <c r="J713" s="2">
        <v>4500</v>
      </c>
      <c r="K713" s="2">
        <v>6.6</v>
      </c>
      <c r="L713" s="4">
        <v>350000</v>
      </c>
      <c r="M713" s="4">
        <v>79900</v>
      </c>
      <c r="N713" s="4">
        <v>5999</v>
      </c>
      <c r="O713" s="4">
        <v>799</v>
      </c>
      <c r="P713" s="4">
        <v>3299</v>
      </c>
      <c r="Q713" t="s">
        <v>2368</v>
      </c>
      <c r="R713">
        <v>2022</v>
      </c>
    </row>
    <row r="714" spans="1:18" x14ac:dyDescent="0.25">
      <c r="A714" t="s">
        <v>372</v>
      </c>
      <c r="B714" t="s">
        <v>423</v>
      </c>
      <c r="C714" s="2">
        <v>195</v>
      </c>
      <c r="D714" t="s">
        <v>68</v>
      </c>
      <c r="E714" t="s">
        <v>414</v>
      </c>
      <c r="F714" t="s">
        <v>61</v>
      </c>
      <c r="G714" s="5" t="s">
        <v>416</v>
      </c>
      <c r="H714" t="s">
        <v>2437</v>
      </c>
      <c r="I714" s="6">
        <f t="shared" si="11"/>
        <v>85</v>
      </c>
      <c r="J714" s="2">
        <v>4500</v>
      </c>
      <c r="K714" s="2">
        <v>6.6</v>
      </c>
      <c r="L714" s="4">
        <v>380000</v>
      </c>
      <c r="M714" s="4">
        <v>89900</v>
      </c>
      <c r="N714" s="4">
        <v>6499</v>
      </c>
      <c r="O714" s="4">
        <v>899</v>
      </c>
      <c r="P714" s="4">
        <v>3599</v>
      </c>
      <c r="Q714" t="s">
        <v>2368</v>
      </c>
      <c r="R714">
        <v>2022</v>
      </c>
    </row>
    <row r="715" spans="1:18" x14ac:dyDescent="0.25">
      <c r="A715" t="s">
        <v>372</v>
      </c>
      <c r="B715" t="s">
        <v>424</v>
      </c>
      <c r="C715" s="2">
        <v>167</v>
      </c>
      <c r="D715" t="s">
        <v>68</v>
      </c>
      <c r="E715" t="s">
        <v>414</v>
      </c>
      <c r="F715" t="s">
        <v>61</v>
      </c>
      <c r="G715" s="5" t="s">
        <v>416</v>
      </c>
      <c r="H715" t="s">
        <v>2437</v>
      </c>
      <c r="I715" s="6">
        <f t="shared" si="11"/>
        <v>85</v>
      </c>
      <c r="J715" s="2">
        <v>3800</v>
      </c>
      <c r="K715" s="2">
        <v>6.1</v>
      </c>
      <c r="L715" s="4">
        <v>300000</v>
      </c>
      <c r="M715" s="4">
        <v>69900</v>
      </c>
      <c r="N715" s="4">
        <v>5499</v>
      </c>
      <c r="O715" s="4">
        <v>699</v>
      </c>
      <c r="P715" s="4">
        <v>2999</v>
      </c>
      <c r="Q715" t="s">
        <v>2368</v>
      </c>
      <c r="R715">
        <v>2022</v>
      </c>
    </row>
    <row r="716" spans="1:18" x14ac:dyDescent="0.25">
      <c r="A716" t="s">
        <v>372</v>
      </c>
      <c r="B716" t="s">
        <v>428</v>
      </c>
      <c r="C716" s="2">
        <v>167</v>
      </c>
      <c r="D716" t="s">
        <v>68</v>
      </c>
      <c r="E716" t="s">
        <v>414</v>
      </c>
      <c r="F716" t="s">
        <v>61</v>
      </c>
      <c r="G716" s="5" t="s">
        <v>416</v>
      </c>
      <c r="H716" t="s">
        <v>2437</v>
      </c>
      <c r="I716" s="6">
        <f t="shared" si="11"/>
        <v>85</v>
      </c>
      <c r="J716" s="2">
        <v>3800</v>
      </c>
      <c r="K716" s="2">
        <v>6.1</v>
      </c>
      <c r="L716" s="4">
        <v>330000</v>
      </c>
      <c r="M716" s="4">
        <v>79900</v>
      </c>
      <c r="N716" s="4">
        <v>5999</v>
      </c>
      <c r="O716" s="4">
        <v>799</v>
      </c>
      <c r="P716" s="4">
        <v>3199</v>
      </c>
      <c r="Q716" t="s">
        <v>2368</v>
      </c>
      <c r="R716">
        <v>2022</v>
      </c>
    </row>
    <row r="717" spans="1:18" x14ac:dyDescent="0.25">
      <c r="A717" t="s">
        <v>372</v>
      </c>
      <c r="B717" t="s">
        <v>430</v>
      </c>
      <c r="C717" s="2">
        <v>254</v>
      </c>
      <c r="D717" t="s">
        <v>375</v>
      </c>
      <c r="E717" t="s">
        <v>414</v>
      </c>
      <c r="F717" t="s">
        <v>61</v>
      </c>
      <c r="G717" s="5" t="s">
        <v>401</v>
      </c>
      <c r="H717" t="s">
        <v>2437</v>
      </c>
      <c r="I717" s="6">
        <f t="shared" si="11"/>
        <v>95</v>
      </c>
      <c r="J717" s="2">
        <v>4400</v>
      </c>
      <c r="K717" s="2">
        <v>7.6</v>
      </c>
      <c r="L717" s="4">
        <v>500000</v>
      </c>
      <c r="M717" s="4">
        <v>154900</v>
      </c>
      <c r="N717" s="4">
        <v>11999</v>
      </c>
      <c r="O717" s="4">
        <v>1799</v>
      </c>
      <c r="P717" s="4">
        <v>6999</v>
      </c>
      <c r="Q717" t="s">
        <v>2368</v>
      </c>
      <c r="R717">
        <v>2023</v>
      </c>
    </row>
    <row r="718" spans="1:18" x14ac:dyDescent="0.25">
      <c r="A718" t="s">
        <v>372</v>
      </c>
      <c r="B718" t="s">
        <v>438</v>
      </c>
      <c r="C718" s="2">
        <v>254</v>
      </c>
      <c r="D718" t="s">
        <v>375</v>
      </c>
      <c r="E718" t="s">
        <v>414</v>
      </c>
      <c r="F718" t="s">
        <v>61</v>
      </c>
      <c r="G718" s="5" t="s">
        <v>401</v>
      </c>
      <c r="H718" t="s">
        <v>2437</v>
      </c>
      <c r="I718" s="6">
        <f t="shared" si="11"/>
        <v>95</v>
      </c>
      <c r="J718" s="2">
        <v>4400</v>
      </c>
      <c r="K718" s="2">
        <v>7.6</v>
      </c>
      <c r="L718" s="4">
        <v>550000</v>
      </c>
      <c r="M718" s="4">
        <v>174900</v>
      </c>
      <c r="N718" s="4">
        <v>12999</v>
      </c>
      <c r="O718" s="4">
        <v>1899</v>
      </c>
      <c r="P718" s="4">
        <v>7499</v>
      </c>
      <c r="Q718" t="s">
        <v>2368</v>
      </c>
      <c r="R718">
        <v>2023</v>
      </c>
    </row>
    <row r="719" spans="1:18" x14ac:dyDescent="0.25">
      <c r="A719" t="s">
        <v>372</v>
      </c>
      <c r="B719" t="s">
        <v>444</v>
      </c>
      <c r="C719" s="2">
        <v>187</v>
      </c>
      <c r="D719" t="s">
        <v>68</v>
      </c>
      <c r="E719" t="s">
        <v>19</v>
      </c>
      <c r="F719" t="s">
        <v>132</v>
      </c>
      <c r="G719" s="5" t="s">
        <v>401</v>
      </c>
      <c r="H719" t="s">
        <v>2437</v>
      </c>
      <c r="I719" s="6">
        <f t="shared" si="11"/>
        <v>95</v>
      </c>
      <c r="J719" s="2">
        <v>3700</v>
      </c>
      <c r="K719" s="2">
        <v>6.7</v>
      </c>
      <c r="L719" s="4">
        <v>350000</v>
      </c>
      <c r="M719" s="4">
        <v>94900</v>
      </c>
      <c r="N719" s="4">
        <v>7999</v>
      </c>
      <c r="O719" s="4">
        <v>999</v>
      </c>
      <c r="P719" s="4">
        <v>4099</v>
      </c>
      <c r="Q719" t="s">
        <v>2368</v>
      </c>
      <c r="R719">
        <v>2023</v>
      </c>
    </row>
    <row r="720" spans="1:18" x14ac:dyDescent="0.25">
      <c r="A720" t="s">
        <v>372</v>
      </c>
      <c r="B720" t="s">
        <v>448</v>
      </c>
      <c r="C720" s="2">
        <v>187</v>
      </c>
      <c r="D720" t="s">
        <v>68</v>
      </c>
      <c r="E720" t="s">
        <v>19</v>
      </c>
      <c r="F720" t="s">
        <v>132</v>
      </c>
      <c r="G720" s="5" t="s">
        <v>401</v>
      </c>
      <c r="H720" t="s">
        <v>2437</v>
      </c>
      <c r="I720" s="6">
        <f t="shared" si="11"/>
        <v>95</v>
      </c>
      <c r="J720" s="2">
        <v>3700</v>
      </c>
      <c r="K720" s="2">
        <v>6.7</v>
      </c>
      <c r="L720" s="4">
        <v>380000</v>
      </c>
      <c r="M720" s="4">
        <v>104900</v>
      </c>
      <c r="N720" s="4">
        <v>8999</v>
      </c>
      <c r="O720" s="4">
        <v>1099</v>
      </c>
      <c r="P720" s="4">
        <v>4399</v>
      </c>
      <c r="Q720" t="s">
        <v>2368</v>
      </c>
      <c r="R720">
        <v>2023</v>
      </c>
    </row>
    <row r="721" spans="1:18" x14ac:dyDescent="0.25">
      <c r="A721" t="s">
        <v>372</v>
      </c>
      <c r="B721" t="s">
        <v>449</v>
      </c>
      <c r="C721" s="2">
        <v>263</v>
      </c>
      <c r="D721" t="s">
        <v>375</v>
      </c>
      <c r="E721" t="s">
        <v>414</v>
      </c>
      <c r="F721" t="s">
        <v>61</v>
      </c>
      <c r="G721" s="5" t="s">
        <v>451</v>
      </c>
      <c r="H721" t="s">
        <v>2437</v>
      </c>
      <c r="I721" s="6">
        <f t="shared" si="11"/>
        <v>90</v>
      </c>
      <c r="J721" s="2">
        <v>4400</v>
      </c>
      <c r="K721" s="2">
        <v>7.6</v>
      </c>
      <c r="L721" s="4">
        <v>480000</v>
      </c>
      <c r="M721" s="4">
        <v>134900</v>
      </c>
      <c r="N721" s="4">
        <v>10999</v>
      </c>
      <c r="O721" s="4">
        <v>1799</v>
      </c>
      <c r="P721" s="4">
        <v>6499</v>
      </c>
      <c r="Q721" t="s">
        <v>2368</v>
      </c>
      <c r="R721">
        <v>2022</v>
      </c>
    </row>
    <row r="722" spans="1:18" x14ac:dyDescent="0.25">
      <c r="A722" t="s">
        <v>372</v>
      </c>
      <c r="B722" t="s">
        <v>455</v>
      </c>
      <c r="C722" s="2">
        <v>263</v>
      </c>
      <c r="D722" t="s">
        <v>375</v>
      </c>
      <c r="E722" t="s">
        <v>414</v>
      </c>
      <c r="F722" t="s">
        <v>61</v>
      </c>
      <c r="G722" s="5" t="s">
        <v>451</v>
      </c>
      <c r="H722" t="s">
        <v>2437</v>
      </c>
      <c r="I722" s="6">
        <f t="shared" si="11"/>
        <v>90</v>
      </c>
      <c r="J722" s="2">
        <v>4400</v>
      </c>
      <c r="K722" s="2">
        <v>7.6</v>
      </c>
      <c r="L722" s="4">
        <v>530000</v>
      </c>
      <c r="M722" s="4">
        <v>154900</v>
      </c>
      <c r="N722" s="4">
        <v>11999</v>
      </c>
      <c r="O722" s="4">
        <v>1899</v>
      </c>
      <c r="P722" s="4">
        <v>7099</v>
      </c>
      <c r="Q722" t="s">
        <v>2368</v>
      </c>
      <c r="R722">
        <v>2022</v>
      </c>
    </row>
    <row r="723" spans="1:18" x14ac:dyDescent="0.25">
      <c r="A723" t="s">
        <v>372</v>
      </c>
      <c r="B723" t="s">
        <v>458</v>
      </c>
      <c r="C723" s="2">
        <v>187</v>
      </c>
      <c r="D723" t="s">
        <v>68</v>
      </c>
      <c r="E723" t="s">
        <v>414</v>
      </c>
      <c r="F723" t="s">
        <v>132</v>
      </c>
      <c r="G723" s="5" t="s">
        <v>451</v>
      </c>
      <c r="H723" t="s">
        <v>2437</v>
      </c>
      <c r="I723" s="6">
        <f t="shared" si="11"/>
        <v>90</v>
      </c>
      <c r="J723" s="2">
        <v>3700</v>
      </c>
      <c r="K723" s="2">
        <v>6.7</v>
      </c>
      <c r="L723" s="4">
        <v>320000</v>
      </c>
      <c r="M723" s="4">
        <v>84900</v>
      </c>
      <c r="N723" s="4">
        <v>6999</v>
      </c>
      <c r="O723" s="4">
        <v>999</v>
      </c>
      <c r="P723" s="4">
        <v>3799</v>
      </c>
      <c r="Q723" t="s">
        <v>2368</v>
      </c>
      <c r="R723">
        <v>2022</v>
      </c>
    </row>
    <row r="724" spans="1:18" x14ac:dyDescent="0.25">
      <c r="A724" t="s">
        <v>372</v>
      </c>
      <c r="B724" t="s">
        <v>459</v>
      </c>
      <c r="C724" s="2">
        <v>187</v>
      </c>
      <c r="D724" t="s">
        <v>68</v>
      </c>
      <c r="E724" t="s">
        <v>414</v>
      </c>
      <c r="F724" t="s">
        <v>132</v>
      </c>
      <c r="G724" s="5" t="s">
        <v>451</v>
      </c>
      <c r="H724" t="s">
        <v>2437</v>
      </c>
      <c r="I724" s="6">
        <f t="shared" si="11"/>
        <v>90</v>
      </c>
      <c r="J724" s="2">
        <v>3700</v>
      </c>
      <c r="K724" s="2">
        <v>6.7</v>
      </c>
      <c r="L724" s="4">
        <v>350000</v>
      </c>
      <c r="M724" s="4">
        <v>94900</v>
      </c>
      <c r="N724" s="4">
        <v>7999</v>
      </c>
      <c r="O724" s="4">
        <v>1099</v>
      </c>
      <c r="P724" s="4">
        <v>4099</v>
      </c>
      <c r="Q724" t="s">
        <v>2368</v>
      </c>
      <c r="R724">
        <v>2022</v>
      </c>
    </row>
    <row r="725" spans="1:18" x14ac:dyDescent="0.25">
      <c r="A725" t="s">
        <v>372</v>
      </c>
      <c r="B725" t="s">
        <v>551</v>
      </c>
      <c r="C725" s="2">
        <v>208</v>
      </c>
      <c r="D725" t="s">
        <v>375</v>
      </c>
      <c r="E725" t="s">
        <v>414</v>
      </c>
      <c r="F725" t="s">
        <v>415</v>
      </c>
      <c r="G725" s="5" t="s">
        <v>552</v>
      </c>
      <c r="H725" t="s">
        <v>2437</v>
      </c>
      <c r="I725" s="6">
        <f t="shared" si="11"/>
        <v>80</v>
      </c>
      <c r="J725" s="2">
        <v>4500</v>
      </c>
      <c r="K725" s="2">
        <v>6.9</v>
      </c>
      <c r="L725" s="4">
        <v>180000</v>
      </c>
      <c r="M725" s="4">
        <v>99999</v>
      </c>
      <c r="N725" s="4">
        <v>7999</v>
      </c>
      <c r="O725" s="4">
        <v>1299</v>
      </c>
      <c r="P725" s="4">
        <v>4499</v>
      </c>
      <c r="Q725" t="s">
        <v>2368</v>
      </c>
      <c r="R725">
        <v>2020</v>
      </c>
    </row>
    <row r="726" spans="1:18" x14ac:dyDescent="0.25">
      <c r="A726" t="s">
        <v>372</v>
      </c>
      <c r="B726" t="s">
        <v>555</v>
      </c>
      <c r="C726" s="2">
        <v>208</v>
      </c>
      <c r="D726" t="s">
        <v>375</v>
      </c>
      <c r="E726" t="s">
        <v>414</v>
      </c>
      <c r="F726" t="s">
        <v>415</v>
      </c>
      <c r="G726" s="5" t="s">
        <v>552</v>
      </c>
      <c r="H726" t="s">
        <v>2437</v>
      </c>
      <c r="I726" s="6">
        <f t="shared" si="11"/>
        <v>80</v>
      </c>
      <c r="J726" s="2">
        <v>4500</v>
      </c>
      <c r="K726" s="2">
        <v>6.9</v>
      </c>
      <c r="L726" s="4">
        <v>200000</v>
      </c>
      <c r="M726" s="4" t="s">
        <v>2363</v>
      </c>
      <c r="N726" s="4">
        <v>8499</v>
      </c>
      <c r="O726" s="4">
        <v>1399</v>
      </c>
      <c r="P726" s="4">
        <v>4999</v>
      </c>
      <c r="Q726" t="s">
        <v>2368</v>
      </c>
      <c r="R726">
        <v>2020</v>
      </c>
    </row>
    <row r="727" spans="1:18" x14ac:dyDescent="0.25">
      <c r="A727" t="s">
        <v>372</v>
      </c>
      <c r="B727" t="s">
        <v>558</v>
      </c>
      <c r="C727" s="2">
        <v>192</v>
      </c>
      <c r="D727" t="s">
        <v>68</v>
      </c>
      <c r="E727" t="s">
        <v>414</v>
      </c>
      <c r="F727" t="s">
        <v>415</v>
      </c>
      <c r="G727" s="5" t="s">
        <v>552</v>
      </c>
      <c r="H727" t="s">
        <v>2437</v>
      </c>
      <c r="I727" s="6">
        <f t="shared" si="11"/>
        <v>80</v>
      </c>
      <c r="J727" s="2">
        <v>4300</v>
      </c>
      <c r="K727" s="2">
        <v>6.7</v>
      </c>
      <c r="L727" s="4">
        <v>150000</v>
      </c>
      <c r="M727" s="4">
        <v>77999</v>
      </c>
      <c r="N727" s="4">
        <v>6499</v>
      </c>
      <c r="O727" s="4">
        <v>999</v>
      </c>
      <c r="P727" s="4">
        <v>3999</v>
      </c>
      <c r="Q727" t="s">
        <v>2368</v>
      </c>
      <c r="R727">
        <v>2020</v>
      </c>
    </row>
    <row r="728" spans="1:18" x14ac:dyDescent="0.25">
      <c r="A728" t="s">
        <v>372</v>
      </c>
      <c r="B728" t="s">
        <v>563</v>
      </c>
      <c r="C728" s="2">
        <v>192</v>
      </c>
      <c r="D728" t="s">
        <v>68</v>
      </c>
      <c r="E728" t="s">
        <v>414</v>
      </c>
      <c r="F728" t="s">
        <v>415</v>
      </c>
      <c r="G728" s="5" t="s">
        <v>552</v>
      </c>
      <c r="H728" t="s">
        <v>2437</v>
      </c>
      <c r="I728" s="6">
        <f t="shared" si="11"/>
        <v>80</v>
      </c>
      <c r="J728" s="2">
        <v>4300</v>
      </c>
      <c r="K728" s="2">
        <v>6.7</v>
      </c>
      <c r="L728" s="4">
        <v>170000</v>
      </c>
      <c r="M728" s="4">
        <v>89999</v>
      </c>
      <c r="N728" s="4">
        <v>7099</v>
      </c>
      <c r="O728" s="4">
        <v>1099</v>
      </c>
      <c r="P728" s="4">
        <v>4199</v>
      </c>
      <c r="Q728" t="s">
        <v>2368</v>
      </c>
      <c r="R728">
        <v>2020</v>
      </c>
    </row>
    <row r="729" spans="1:18" x14ac:dyDescent="0.25">
      <c r="A729" t="s">
        <v>372</v>
      </c>
      <c r="B729" t="s">
        <v>565</v>
      </c>
      <c r="C729" s="2">
        <v>196</v>
      </c>
      <c r="D729" t="s">
        <v>375</v>
      </c>
      <c r="E729" t="s">
        <v>414</v>
      </c>
      <c r="F729" t="s">
        <v>566</v>
      </c>
      <c r="G729" s="5" t="s">
        <v>567</v>
      </c>
      <c r="H729" t="s">
        <v>2437</v>
      </c>
      <c r="I729" s="6">
        <f t="shared" si="11"/>
        <v>78</v>
      </c>
      <c r="J729" s="2">
        <v>4300</v>
      </c>
      <c r="K729" s="2">
        <v>6.8</v>
      </c>
      <c r="L729" s="4">
        <v>160000</v>
      </c>
      <c r="M729" s="4">
        <v>74999</v>
      </c>
      <c r="N729" s="4">
        <v>6299</v>
      </c>
      <c r="O729" s="4">
        <v>1099</v>
      </c>
      <c r="P729" s="4">
        <v>3899</v>
      </c>
      <c r="Q729" t="s">
        <v>2368</v>
      </c>
      <c r="R729">
        <v>2019</v>
      </c>
    </row>
    <row r="730" spans="1:18" x14ac:dyDescent="0.25">
      <c r="A730" t="s">
        <v>372</v>
      </c>
      <c r="B730" t="s">
        <v>569</v>
      </c>
      <c r="C730" s="2">
        <v>196</v>
      </c>
      <c r="D730" t="s">
        <v>375</v>
      </c>
      <c r="E730" t="s">
        <v>414</v>
      </c>
      <c r="F730" t="s">
        <v>566</v>
      </c>
      <c r="G730" s="5" t="s">
        <v>567</v>
      </c>
      <c r="H730" t="s">
        <v>2437</v>
      </c>
      <c r="I730" s="6">
        <f t="shared" si="11"/>
        <v>78</v>
      </c>
      <c r="J730" s="2">
        <v>4300</v>
      </c>
      <c r="K730" s="2">
        <v>6.8</v>
      </c>
      <c r="L730" s="4">
        <v>180000</v>
      </c>
      <c r="M730" s="4">
        <v>84999</v>
      </c>
      <c r="N730" s="4">
        <v>6999</v>
      </c>
      <c r="O730" s="4">
        <v>1199</v>
      </c>
      <c r="P730" s="4">
        <v>4199</v>
      </c>
      <c r="Q730" t="s">
        <v>2368</v>
      </c>
      <c r="R730">
        <v>2019</v>
      </c>
    </row>
    <row r="731" spans="1:18" x14ac:dyDescent="0.25">
      <c r="A731" t="s">
        <v>372</v>
      </c>
      <c r="B731" t="s">
        <v>570</v>
      </c>
      <c r="C731" s="2">
        <v>168</v>
      </c>
      <c r="D731" t="s">
        <v>68</v>
      </c>
      <c r="E731" t="s">
        <v>414</v>
      </c>
      <c r="F731" t="s">
        <v>566</v>
      </c>
      <c r="G731" s="5" t="s">
        <v>567</v>
      </c>
      <c r="H731" t="s">
        <v>2437</v>
      </c>
      <c r="I731" s="6">
        <f t="shared" si="11"/>
        <v>78</v>
      </c>
      <c r="J731" s="2">
        <v>3500</v>
      </c>
      <c r="K731" s="2">
        <v>6.3</v>
      </c>
      <c r="L731" s="4">
        <v>140000</v>
      </c>
      <c r="M731" s="4">
        <v>64999</v>
      </c>
      <c r="N731" s="4">
        <v>5699</v>
      </c>
      <c r="O731" s="4">
        <v>949</v>
      </c>
      <c r="P731" s="4">
        <v>3699</v>
      </c>
      <c r="Q731" t="s">
        <v>2368</v>
      </c>
      <c r="R731">
        <v>2019</v>
      </c>
    </row>
    <row r="732" spans="1:18" x14ac:dyDescent="0.25">
      <c r="A732" t="s">
        <v>372</v>
      </c>
      <c r="B732" t="s">
        <v>575</v>
      </c>
      <c r="C732" s="2">
        <v>168</v>
      </c>
      <c r="D732" t="s">
        <v>68</v>
      </c>
      <c r="E732" t="s">
        <v>414</v>
      </c>
      <c r="F732" t="s">
        <v>566</v>
      </c>
      <c r="G732" s="5" t="s">
        <v>567</v>
      </c>
      <c r="H732" t="s">
        <v>2437</v>
      </c>
      <c r="I732" s="6">
        <f t="shared" si="11"/>
        <v>78</v>
      </c>
      <c r="J732" s="2">
        <v>3500</v>
      </c>
      <c r="K732" s="2">
        <v>6.3</v>
      </c>
      <c r="L732" s="4">
        <v>120000</v>
      </c>
      <c r="M732" s="4">
        <v>59999</v>
      </c>
      <c r="N732" s="4">
        <v>5199</v>
      </c>
      <c r="O732" s="4">
        <v>899</v>
      </c>
      <c r="P732" s="4">
        <v>3399</v>
      </c>
      <c r="Q732" t="s">
        <v>2368</v>
      </c>
      <c r="R732">
        <v>2019</v>
      </c>
    </row>
    <row r="733" spans="1:18" x14ac:dyDescent="0.25">
      <c r="A733" t="s">
        <v>372</v>
      </c>
      <c r="B733" t="s">
        <v>638</v>
      </c>
      <c r="C733" s="2">
        <v>228</v>
      </c>
      <c r="D733" t="s">
        <v>375</v>
      </c>
      <c r="E733" t="s">
        <v>414</v>
      </c>
      <c r="F733" t="s">
        <v>415</v>
      </c>
      <c r="G733" s="5" t="s">
        <v>639</v>
      </c>
      <c r="H733" t="s">
        <v>2437</v>
      </c>
      <c r="I733" s="6">
        <f t="shared" si="11"/>
        <v>85</v>
      </c>
      <c r="J733" s="2">
        <v>4500</v>
      </c>
      <c r="K733" s="2">
        <v>7.6</v>
      </c>
      <c r="L733" s="4">
        <v>280000</v>
      </c>
      <c r="M733" s="4">
        <v>99999</v>
      </c>
      <c r="N733" s="4">
        <v>10999</v>
      </c>
      <c r="O733" s="4">
        <v>1499</v>
      </c>
      <c r="P733" s="4">
        <v>5499</v>
      </c>
      <c r="Q733" t="s">
        <v>2368</v>
      </c>
      <c r="R733">
        <v>2021</v>
      </c>
    </row>
    <row r="734" spans="1:18" x14ac:dyDescent="0.25">
      <c r="A734" t="s">
        <v>372</v>
      </c>
      <c r="B734" t="s">
        <v>643</v>
      </c>
      <c r="C734" s="2">
        <v>229</v>
      </c>
      <c r="D734" t="s">
        <v>375</v>
      </c>
      <c r="E734" t="s">
        <v>414</v>
      </c>
      <c r="F734" t="s">
        <v>415</v>
      </c>
      <c r="G734" s="5" t="s">
        <v>639</v>
      </c>
      <c r="H734" t="s">
        <v>2437</v>
      </c>
      <c r="I734" s="6">
        <f t="shared" si="11"/>
        <v>85</v>
      </c>
      <c r="J734" s="2">
        <v>4500</v>
      </c>
      <c r="K734" s="2">
        <v>7.6</v>
      </c>
      <c r="L734" s="4">
        <v>260000</v>
      </c>
      <c r="M734" s="4">
        <v>89999</v>
      </c>
      <c r="N734" s="4">
        <v>9999</v>
      </c>
      <c r="O734" s="4">
        <v>1399</v>
      </c>
      <c r="P734" s="4">
        <v>4999</v>
      </c>
      <c r="Q734" t="s">
        <v>2368</v>
      </c>
      <c r="R734">
        <v>2020</v>
      </c>
    </row>
    <row r="735" spans="1:18" x14ac:dyDescent="0.25">
      <c r="A735" t="s">
        <v>372</v>
      </c>
      <c r="B735" t="s">
        <v>647</v>
      </c>
      <c r="C735" s="2">
        <v>732</v>
      </c>
      <c r="D735" t="s">
        <v>375</v>
      </c>
      <c r="E735" t="s">
        <v>132</v>
      </c>
      <c r="F735" t="s">
        <v>649</v>
      </c>
      <c r="G735" s="5" t="s">
        <v>401</v>
      </c>
      <c r="H735" t="s">
        <v>2437</v>
      </c>
      <c r="I735" s="6">
        <f t="shared" si="11"/>
        <v>95</v>
      </c>
      <c r="J735" s="2">
        <v>11200</v>
      </c>
      <c r="K735" s="2">
        <v>14.6</v>
      </c>
      <c r="L735" s="4">
        <v>350000</v>
      </c>
      <c r="M735" s="4" t="s">
        <v>2364</v>
      </c>
      <c r="N735" s="4">
        <v>9999</v>
      </c>
      <c r="O735" s="4">
        <v>1199</v>
      </c>
      <c r="P735" s="4">
        <v>4499</v>
      </c>
      <c r="Q735" t="s">
        <v>2369</v>
      </c>
      <c r="R735">
        <v>2023</v>
      </c>
    </row>
    <row r="736" spans="1:18" x14ac:dyDescent="0.25">
      <c r="A736" t="s">
        <v>372</v>
      </c>
      <c r="B736" t="s">
        <v>653</v>
      </c>
      <c r="C736" s="2">
        <v>586</v>
      </c>
      <c r="D736" t="s">
        <v>375</v>
      </c>
      <c r="E736" t="s">
        <v>19</v>
      </c>
      <c r="F736" t="s">
        <v>649</v>
      </c>
      <c r="G736" s="5" t="s">
        <v>401</v>
      </c>
      <c r="H736" t="s">
        <v>2437</v>
      </c>
      <c r="I736" s="6">
        <f t="shared" si="11"/>
        <v>95</v>
      </c>
      <c r="J736" s="2">
        <v>10090</v>
      </c>
      <c r="K736" s="2">
        <v>12.4</v>
      </c>
      <c r="L736" s="4">
        <v>280000</v>
      </c>
      <c r="M736" s="4">
        <v>99999</v>
      </c>
      <c r="N736" s="4">
        <v>8799</v>
      </c>
      <c r="O736" s="4">
        <v>999</v>
      </c>
      <c r="P736" s="4">
        <v>3999</v>
      </c>
      <c r="Q736" t="s">
        <v>2369</v>
      </c>
      <c r="R736">
        <v>2023</v>
      </c>
    </row>
    <row r="737" spans="1:18" x14ac:dyDescent="0.25">
      <c r="A737" t="s">
        <v>372</v>
      </c>
      <c r="B737" t="s">
        <v>657</v>
      </c>
      <c r="C737" s="2">
        <v>498</v>
      </c>
      <c r="D737" t="s">
        <v>68</v>
      </c>
      <c r="E737" t="s">
        <v>19</v>
      </c>
      <c r="F737" t="s">
        <v>475</v>
      </c>
      <c r="G737" s="5" t="s">
        <v>401</v>
      </c>
      <c r="H737" t="s">
        <v>2437</v>
      </c>
      <c r="I737" s="6">
        <f t="shared" si="11"/>
        <v>95</v>
      </c>
      <c r="J737" s="2">
        <v>8400</v>
      </c>
      <c r="K737" s="2">
        <v>11</v>
      </c>
      <c r="L737" s="4">
        <v>230000</v>
      </c>
      <c r="M737" s="4">
        <v>85999</v>
      </c>
      <c r="N737" s="4">
        <v>7299</v>
      </c>
      <c r="O737" s="4">
        <v>799</v>
      </c>
      <c r="P737" s="4">
        <v>3299</v>
      </c>
      <c r="Q737" t="s">
        <v>2369</v>
      </c>
      <c r="R737">
        <v>2023</v>
      </c>
    </row>
    <row r="738" spans="1:18" x14ac:dyDescent="0.25">
      <c r="A738" t="s">
        <v>372</v>
      </c>
      <c r="B738" t="s">
        <v>668</v>
      </c>
      <c r="C738" s="2">
        <v>726</v>
      </c>
      <c r="D738" t="s">
        <v>375</v>
      </c>
      <c r="E738" t="s">
        <v>132</v>
      </c>
      <c r="F738" t="s">
        <v>670</v>
      </c>
      <c r="G738" s="5" t="s">
        <v>451</v>
      </c>
      <c r="H738" t="s">
        <v>2437</v>
      </c>
      <c r="I738" s="6">
        <f t="shared" si="11"/>
        <v>90</v>
      </c>
      <c r="J738" s="2">
        <v>11200</v>
      </c>
      <c r="K738" s="2">
        <v>14.6</v>
      </c>
      <c r="L738" s="4">
        <v>320000</v>
      </c>
      <c r="M738" s="4" t="s">
        <v>2365</v>
      </c>
      <c r="N738" s="4">
        <v>9499</v>
      </c>
      <c r="O738" s="4">
        <v>1099</v>
      </c>
      <c r="P738" s="4">
        <v>4299</v>
      </c>
      <c r="Q738" t="s">
        <v>2369</v>
      </c>
      <c r="R738">
        <v>2022</v>
      </c>
    </row>
    <row r="739" spans="1:18" x14ac:dyDescent="0.25">
      <c r="A739" t="s">
        <v>372</v>
      </c>
      <c r="B739" t="s">
        <v>673</v>
      </c>
      <c r="C739" s="2">
        <v>567</v>
      </c>
      <c r="D739" t="s">
        <v>68</v>
      </c>
      <c r="E739" t="s">
        <v>19</v>
      </c>
      <c r="F739" t="s">
        <v>670</v>
      </c>
      <c r="G739" s="5" t="s">
        <v>451</v>
      </c>
      <c r="H739" t="s">
        <v>2437</v>
      </c>
      <c r="I739" s="6">
        <f t="shared" si="11"/>
        <v>90</v>
      </c>
      <c r="J739" s="2">
        <v>10090</v>
      </c>
      <c r="K739" s="2">
        <v>12.4</v>
      </c>
      <c r="L739" s="4">
        <v>250000</v>
      </c>
      <c r="M739" s="4">
        <v>94999</v>
      </c>
      <c r="N739" s="4">
        <v>8299</v>
      </c>
      <c r="O739" s="4">
        <v>899</v>
      </c>
      <c r="P739" s="4">
        <v>3699</v>
      </c>
      <c r="Q739" t="s">
        <v>2369</v>
      </c>
      <c r="R739">
        <v>2022</v>
      </c>
    </row>
    <row r="740" spans="1:18" x14ac:dyDescent="0.25">
      <c r="A740" t="s">
        <v>372</v>
      </c>
      <c r="B740" t="s">
        <v>676</v>
      </c>
      <c r="C740" s="2">
        <v>503</v>
      </c>
      <c r="D740" t="s">
        <v>68</v>
      </c>
      <c r="E740" t="s">
        <v>19</v>
      </c>
      <c r="F740" t="s">
        <v>670</v>
      </c>
      <c r="G740" s="5" t="s">
        <v>451</v>
      </c>
      <c r="H740" t="s">
        <v>2437</v>
      </c>
      <c r="I740" s="6">
        <f t="shared" si="11"/>
        <v>90</v>
      </c>
      <c r="J740" s="2">
        <v>8000</v>
      </c>
      <c r="K740" s="2">
        <v>11</v>
      </c>
      <c r="L740" s="4">
        <v>200000</v>
      </c>
      <c r="M740" s="4">
        <v>74999</v>
      </c>
      <c r="N740" s="4">
        <v>6999</v>
      </c>
      <c r="O740" s="4">
        <v>699</v>
      </c>
      <c r="P740" s="4">
        <v>2999</v>
      </c>
      <c r="Q740" t="s">
        <v>2369</v>
      </c>
      <c r="R740">
        <v>2022</v>
      </c>
    </row>
    <row r="741" spans="1:18" x14ac:dyDescent="0.25">
      <c r="A741" t="s">
        <v>372</v>
      </c>
      <c r="B741" t="s">
        <v>713</v>
      </c>
      <c r="C741" s="2">
        <v>426</v>
      </c>
      <c r="D741" t="s">
        <v>162</v>
      </c>
      <c r="E741" t="s">
        <v>508</v>
      </c>
      <c r="F741" t="s">
        <v>475</v>
      </c>
      <c r="G741" s="5" t="s">
        <v>715</v>
      </c>
      <c r="H741" t="s">
        <v>2437</v>
      </c>
      <c r="I741" s="6">
        <f t="shared" si="11"/>
        <v>75</v>
      </c>
      <c r="J741" s="2">
        <v>5050</v>
      </c>
      <c r="K741" s="2">
        <v>8</v>
      </c>
      <c r="L741" s="4">
        <v>120000</v>
      </c>
      <c r="M741" s="4">
        <v>44999</v>
      </c>
      <c r="N741" s="4">
        <v>2999</v>
      </c>
      <c r="O741" s="4">
        <v>499</v>
      </c>
      <c r="P741" s="4">
        <v>1899</v>
      </c>
      <c r="Q741" t="s">
        <v>2368</v>
      </c>
      <c r="R741">
        <v>2020</v>
      </c>
    </row>
    <row r="742" spans="1:18" x14ac:dyDescent="0.25">
      <c r="A742" t="s">
        <v>372</v>
      </c>
      <c r="B742" t="s">
        <v>2344</v>
      </c>
      <c r="C742" s="2">
        <v>239</v>
      </c>
      <c r="D742" t="s">
        <v>375</v>
      </c>
      <c r="E742" t="s">
        <v>2345</v>
      </c>
      <c r="F742" t="s">
        <v>580</v>
      </c>
      <c r="G742" s="5" t="s">
        <v>737</v>
      </c>
      <c r="H742" t="s">
        <v>2437</v>
      </c>
      <c r="I742" s="6">
        <f t="shared" si="11"/>
        <v>100</v>
      </c>
      <c r="J742" s="2">
        <v>4400</v>
      </c>
      <c r="K742" s="2">
        <v>7.6</v>
      </c>
      <c r="L742" s="4">
        <v>604999</v>
      </c>
      <c r="M742" s="4">
        <v>164999</v>
      </c>
      <c r="N742" s="4" t="s">
        <v>2348</v>
      </c>
      <c r="O742" s="4">
        <v>1899</v>
      </c>
      <c r="P742" s="4">
        <v>7199</v>
      </c>
      <c r="Q742" t="s">
        <v>2368</v>
      </c>
      <c r="R742">
        <v>2024</v>
      </c>
    </row>
    <row r="743" spans="1:18" x14ac:dyDescent="0.25">
      <c r="A743" t="s">
        <v>372</v>
      </c>
      <c r="B743" t="s">
        <v>2350</v>
      </c>
      <c r="C743" s="2">
        <v>239</v>
      </c>
      <c r="D743" t="s">
        <v>375</v>
      </c>
      <c r="E743" t="s">
        <v>2345</v>
      </c>
      <c r="F743" t="s">
        <v>580</v>
      </c>
      <c r="G743" s="5" t="s">
        <v>737</v>
      </c>
      <c r="H743" t="s">
        <v>2437</v>
      </c>
      <c r="I743" s="6">
        <f t="shared" si="11"/>
        <v>100</v>
      </c>
      <c r="J743" s="2">
        <v>4400</v>
      </c>
      <c r="K743" s="2">
        <v>7.6</v>
      </c>
      <c r="L743" s="4">
        <v>544999</v>
      </c>
      <c r="M743" s="4">
        <v>176999</v>
      </c>
      <c r="N743" s="4">
        <v>15999</v>
      </c>
      <c r="O743" s="4">
        <v>1719</v>
      </c>
      <c r="P743" s="4">
        <v>7699</v>
      </c>
      <c r="Q743" t="s">
        <v>2368</v>
      </c>
      <c r="R743">
        <v>2024</v>
      </c>
    </row>
    <row r="744" spans="1:18" x14ac:dyDescent="0.25">
      <c r="A744" t="s">
        <v>372</v>
      </c>
      <c r="B744" t="s">
        <v>2356</v>
      </c>
      <c r="C744" s="2">
        <v>239</v>
      </c>
      <c r="D744" t="s">
        <v>375</v>
      </c>
      <c r="E744" t="s">
        <v>2345</v>
      </c>
      <c r="F744" t="s">
        <v>580</v>
      </c>
      <c r="G744" s="5" t="s">
        <v>737</v>
      </c>
      <c r="H744" t="s">
        <v>2437</v>
      </c>
      <c r="I744" s="6">
        <f t="shared" si="11"/>
        <v>100</v>
      </c>
      <c r="J744" s="2">
        <v>4400</v>
      </c>
      <c r="K744" s="2">
        <v>7.6</v>
      </c>
      <c r="L744" s="4" t="s">
        <v>2357</v>
      </c>
      <c r="M744" s="4">
        <v>200999</v>
      </c>
      <c r="N744" s="4" t="s">
        <v>2366</v>
      </c>
      <c r="O744" s="4">
        <v>2259</v>
      </c>
      <c r="P744" s="4">
        <v>8699</v>
      </c>
      <c r="Q744" t="s">
        <v>2368</v>
      </c>
      <c r="R744">
        <v>2024</v>
      </c>
    </row>
    <row r="745" spans="1:18" x14ac:dyDescent="0.25">
      <c r="A745" t="s">
        <v>372</v>
      </c>
      <c r="B745" t="s">
        <v>460</v>
      </c>
      <c r="C745" s="2">
        <v>189</v>
      </c>
      <c r="D745" t="s">
        <v>18</v>
      </c>
      <c r="E745" t="s">
        <v>461</v>
      </c>
      <c r="F745" t="s">
        <v>61</v>
      </c>
      <c r="G745" s="5" t="s">
        <v>462</v>
      </c>
      <c r="H745" t="s">
        <v>2438</v>
      </c>
      <c r="I745" s="6">
        <f t="shared" si="11"/>
        <v>45</v>
      </c>
      <c r="J745" s="2">
        <v>5000</v>
      </c>
      <c r="K745" s="2">
        <v>6.4</v>
      </c>
      <c r="L745" s="4">
        <v>85000</v>
      </c>
      <c r="M745" s="4">
        <v>27999</v>
      </c>
      <c r="N745" s="4">
        <v>2199</v>
      </c>
      <c r="O745" s="4">
        <v>399</v>
      </c>
      <c r="P745" s="4">
        <v>1399</v>
      </c>
      <c r="Q745" t="s">
        <v>2368</v>
      </c>
      <c r="R745">
        <v>2023</v>
      </c>
    </row>
    <row r="746" spans="1:18" x14ac:dyDescent="0.25">
      <c r="A746" t="s">
        <v>372</v>
      </c>
      <c r="B746" t="s">
        <v>468</v>
      </c>
      <c r="C746" s="2">
        <v>189</v>
      </c>
      <c r="D746" t="s">
        <v>18</v>
      </c>
      <c r="E746" t="s">
        <v>461</v>
      </c>
      <c r="F746" t="s">
        <v>61</v>
      </c>
      <c r="G746" s="5" t="s">
        <v>462</v>
      </c>
      <c r="H746" t="s">
        <v>2438</v>
      </c>
      <c r="I746" s="6">
        <f t="shared" si="11"/>
        <v>45</v>
      </c>
      <c r="J746" s="2">
        <v>5000</v>
      </c>
      <c r="K746" s="2">
        <v>6.4</v>
      </c>
      <c r="L746" s="4">
        <v>95000</v>
      </c>
      <c r="M746" s="4">
        <v>32999</v>
      </c>
      <c r="N746" s="4">
        <v>2499</v>
      </c>
      <c r="O746" s="4">
        <v>449</v>
      </c>
      <c r="P746" s="4">
        <v>1499</v>
      </c>
      <c r="Q746" t="s">
        <v>2368</v>
      </c>
      <c r="R746">
        <v>2023</v>
      </c>
    </row>
    <row r="747" spans="1:18" x14ac:dyDescent="0.25">
      <c r="A747" t="s">
        <v>372</v>
      </c>
      <c r="B747" t="s">
        <v>473</v>
      </c>
      <c r="C747" s="2">
        <v>199</v>
      </c>
      <c r="D747" t="s">
        <v>18</v>
      </c>
      <c r="E747" t="s">
        <v>475</v>
      </c>
      <c r="F747" t="s">
        <v>476</v>
      </c>
      <c r="G747" s="5" t="s">
        <v>2420</v>
      </c>
      <c r="H747" t="s">
        <v>2438</v>
      </c>
      <c r="I747" s="6">
        <f t="shared" si="11"/>
        <v>42</v>
      </c>
      <c r="J747" s="2">
        <v>5000</v>
      </c>
      <c r="K747" s="2">
        <v>6.6</v>
      </c>
      <c r="L747" s="4">
        <v>75000</v>
      </c>
      <c r="M747" s="4">
        <v>22999</v>
      </c>
      <c r="N747" s="4">
        <v>1799</v>
      </c>
      <c r="O747" s="4">
        <v>349</v>
      </c>
      <c r="P747" s="4">
        <v>1299</v>
      </c>
      <c r="Q747" t="s">
        <v>2368</v>
      </c>
      <c r="R747">
        <v>2023</v>
      </c>
    </row>
    <row r="748" spans="1:18" x14ac:dyDescent="0.25">
      <c r="A748" t="s">
        <v>372</v>
      </c>
      <c r="B748" t="s">
        <v>483</v>
      </c>
      <c r="C748" s="2">
        <v>199</v>
      </c>
      <c r="D748" t="s">
        <v>18</v>
      </c>
      <c r="E748" t="s">
        <v>475</v>
      </c>
      <c r="F748" t="s">
        <v>476</v>
      </c>
      <c r="G748" s="5" t="s">
        <v>2420</v>
      </c>
      <c r="H748" t="s">
        <v>2438</v>
      </c>
      <c r="I748" s="6">
        <f t="shared" si="11"/>
        <v>42</v>
      </c>
      <c r="J748" s="2">
        <v>5000</v>
      </c>
      <c r="K748" s="2">
        <v>6.6</v>
      </c>
      <c r="L748" s="4">
        <v>85000</v>
      </c>
      <c r="M748" s="4">
        <v>27999</v>
      </c>
      <c r="N748" s="4">
        <v>1999</v>
      </c>
      <c r="O748" s="4">
        <v>399</v>
      </c>
      <c r="P748" s="4">
        <v>1399</v>
      </c>
      <c r="Q748" t="s">
        <v>2368</v>
      </c>
      <c r="R748">
        <v>2023</v>
      </c>
    </row>
    <row r="749" spans="1:18" x14ac:dyDescent="0.25">
      <c r="A749" t="s">
        <v>372</v>
      </c>
      <c r="B749" t="s">
        <v>495</v>
      </c>
      <c r="C749" s="2">
        <v>190</v>
      </c>
      <c r="D749" t="s">
        <v>162</v>
      </c>
      <c r="E749" t="s">
        <v>475</v>
      </c>
      <c r="F749" t="s">
        <v>497</v>
      </c>
      <c r="G749" s="5" t="s">
        <v>498</v>
      </c>
      <c r="H749" t="s">
        <v>2438</v>
      </c>
      <c r="I749" s="6">
        <f t="shared" si="11"/>
        <v>30</v>
      </c>
      <c r="J749" s="2">
        <v>5000</v>
      </c>
      <c r="K749" s="2">
        <v>6.6</v>
      </c>
      <c r="L749" s="4">
        <v>60000</v>
      </c>
      <c r="M749" s="4">
        <v>18499</v>
      </c>
      <c r="N749" s="4">
        <v>1499</v>
      </c>
      <c r="O749" s="4">
        <v>249</v>
      </c>
      <c r="P749" s="4">
        <v>1099</v>
      </c>
      <c r="Q749" t="s">
        <v>2368</v>
      </c>
      <c r="R749">
        <v>2023</v>
      </c>
    </row>
    <row r="750" spans="1:18" x14ac:dyDescent="0.25">
      <c r="A750" t="s">
        <v>372</v>
      </c>
      <c r="B750" t="s">
        <v>504</v>
      </c>
      <c r="C750" s="2">
        <v>190</v>
      </c>
      <c r="D750" t="s">
        <v>162</v>
      </c>
      <c r="E750" t="s">
        <v>475</v>
      </c>
      <c r="F750" t="s">
        <v>497</v>
      </c>
      <c r="G750" s="5" t="s">
        <v>498</v>
      </c>
      <c r="H750" t="s">
        <v>2438</v>
      </c>
      <c r="I750" s="6">
        <f t="shared" si="11"/>
        <v>30</v>
      </c>
      <c r="J750" s="2">
        <v>5000</v>
      </c>
      <c r="K750" s="2">
        <v>6.6</v>
      </c>
      <c r="L750" s="4">
        <v>70000</v>
      </c>
      <c r="M750" s="4">
        <v>21999</v>
      </c>
      <c r="N750" s="4">
        <v>1699</v>
      </c>
      <c r="O750" s="4">
        <v>299</v>
      </c>
      <c r="P750" s="4">
        <v>1199</v>
      </c>
      <c r="Q750" t="s">
        <v>2368</v>
      </c>
      <c r="R750">
        <v>2023</v>
      </c>
    </row>
    <row r="751" spans="1:18" x14ac:dyDescent="0.25">
      <c r="A751" t="s">
        <v>372</v>
      </c>
      <c r="B751" t="s">
        <v>507</v>
      </c>
      <c r="C751" s="2">
        <v>188</v>
      </c>
      <c r="D751" t="s">
        <v>162</v>
      </c>
      <c r="E751" t="s">
        <v>508</v>
      </c>
      <c r="F751" t="s">
        <v>497</v>
      </c>
      <c r="G751" s="5" t="s">
        <v>498</v>
      </c>
      <c r="H751" t="s">
        <v>2438</v>
      </c>
      <c r="I751" s="6">
        <f t="shared" si="11"/>
        <v>30</v>
      </c>
      <c r="J751" s="2">
        <v>5000</v>
      </c>
      <c r="K751" s="2">
        <v>6.5</v>
      </c>
      <c r="L751" s="4">
        <v>50000</v>
      </c>
      <c r="M751" s="4">
        <v>14999</v>
      </c>
      <c r="N751" s="4">
        <v>1199</v>
      </c>
      <c r="O751" s="4">
        <v>199</v>
      </c>
      <c r="P751" s="4">
        <v>899</v>
      </c>
      <c r="Q751" t="s">
        <v>2368</v>
      </c>
      <c r="R751">
        <v>2022</v>
      </c>
    </row>
    <row r="752" spans="1:18" x14ac:dyDescent="0.25">
      <c r="A752" t="s">
        <v>372</v>
      </c>
      <c r="B752" t="s">
        <v>514</v>
      </c>
      <c r="C752" s="2">
        <v>188</v>
      </c>
      <c r="D752" t="s">
        <v>162</v>
      </c>
      <c r="E752" t="s">
        <v>508</v>
      </c>
      <c r="F752" t="s">
        <v>497</v>
      </c>
      <c r="G752" s="5" t="s">
        <v>498</v>
      </c>
      <c r="H752" t="s">
        <v>2438</v>
      </c>
      <c r="I752" s="6">
        <f t="shared" si="11"/>
        <v>30</v>
      </c>
      <c r="J752" s="2">
        <v>5000</v>
      </c>
      <c r="K752" s="2">
        <v>6.5</v>
      </c>
      <c r="L752" s="4">
        <v>60000</v>
      </c>
      <c r="M752" s="4">
        <v>18499</v>
      </c>
      <c r="N752" s="4">
        <v>1399</v>
      </c>
      <c r="O752" s="4">
        <v>249</v>
      </c>
      <c r="P752" s="4">
        <v>999</v>
      </c>
      <c r="Q752" t="s">
        <v>2368</v>
      </c>
      <c r="R752">
        <v>2022</v>
      </c>
    </row>
    <row r="753" spans="1:18" x14ac:dyDescent="0.25">
      <c r="A753" t="s">
        <v>372</v>
      </c>
      <c r="B753" t="s">
        <v>517</v>
      </c>
      <c r="C753" s="2">
        <v>202</v>
      </c>
      <c r="D753" t="s">
        <v>68</v>
      </c>
      <c r="E753" t="s">
        <v>461</v>
      </c>
      <c r="F753" t="s">
        <v>519</v>
      </c>
      <c r="G753" s="5" t="s">
        <v>462</v>
      </c>
      <c r="H753" t="s">
        <v>2438</v>
      </c>
      <c r="I753" s="6">
        <f t="shared" si="11"/>
        <v>45</v>
      </c>
      <c r="J753" s="2">
        <v>6000</v>
      </c>
      <c r="K753" s="2">
        <v>6.7</v>
      </c>
      <c r="L753" s="4">
        <v>95000</v>
      </c>
      <c r="M753" s="4">
        <v>23999</v>
      </c>
      <c r="N753" s="4">
        <v>2099</v>
      </c>
      <c r="O753" s="4">
        <v>349</v>
      </c>
      <c r="P753" s="4">
        <v>1299</v>
      </c>
      <c r="Q753" t="s">
        <v>2368</v>
      </c>
      <c r="R753">
        <v>2023</v>
      </c>
    </row>
    <row r="754" spans="1:18" x14ac:dyDescent="0.25">
      <c r="A754" t="s">
        <v>372</v>
      </c>
      <c r="B754" t="s">
        <v>523</v>
      </c>
      <c r="C754" s="2">
        <v>202</v>
      </c>
      <c r="D754" t="s">
        <v>68</v>
      </c>
      <c r="E754" t="s">
        <v>461</v>
      </c>
      <c r="F754" t="s">
        <v>519</v>
      </c>
      <c r="G754" s="5" t="s">
        <v>462</v>
      </c>
      <c r="H754" t="s">
        <v>2438</v>
      </c>
      <c r="I754" s="6">
        <f t="shared" si="11"/>
        <v>45</v>
      </c>
      <c r="J754" s="2">
        <v>6000</v>
      </c>
      <c r="K754" s="2">
        <v>6.7</v>
      </c>
      <c r="L754" s="4">
        <v>105000</v>
      </c>
      <c r="M754" s="4">
        <v>26999</v>
      </c>
      <c r="N754" s="4">
        <v>2299</v>
      </c>
      <c r="O754" s="4">
        <v>399</v>
      </c>
      <c r="P754" s="4">
        <v>1399</v>
      </c>
      <c r="Q754" t="s">
        <v>2368</v>
      </c>
      <c r="R754">
        <v>2023</v>
      </c>
    </row>
    <row r="755" spans="1:18" x14ac:dyDescent="0.25">
      <c r="A755" t="s">
        <v>372</v>
      </c>
      <c r="B755" t="s">
        <v>526</v>
      </c>
      <c r="C755" s="2">
        <v>199</v>
      </c>
      <c r="D755" t="s">
        <v>18</v>
      </c>
      <c r="E755" t="s">
        <v>475</v>
      </c>
      <c r="F755" t="s">
        <v>527</v>
      </c>
      <c r="G755" s="5" t="s">
        <v>528</v>
      </c>
      <c r="H755" t="s">
        <v>2438</v>
      </c>
      <c r="I755" s="6">
        <f t="shared" si="11"/>
        <v>40</v>
      </c>
      <c r="J755" s="2">
        <v>6000</v>
      </c>
      <c r="K755" s="2">
        <v>6.5</v>
      </c>
      <c r="L755" s="4">
        <v>70000</v>
      </c>
      <c r="M755" s="4">
        <v>17999</v>
      </c>
      <c r="N755" s="4">
        <v>1699</v>
      </c>
      <c r="O755" s="4">
        <v>299</v>
      </c>
      <c r="P755" s="4">
        <v>1099</v>
      </c>
      <c r="Q755" t="s">
        <v>2368</v>
      </c>
      <c r="R755">
        <v>2023</v>
      </c>
    </row>
    <row r="756" spans="1:18" x14ac:dyDescent="0.25">
      <c r="A756" t="s">
        <v>372</v>
      </c>
      <c r="B756" t="s">
        <v>530</v>
      </c>
      <c r="C756" s="2">
        <v>199</v>
      </c>
      <c r="D756" t="s">
        <v>18</v>
      </c>
      <c r="E756" t="s">
        <v>475</v>
      </c>
      <c r="F756" t="s">
        <v>527</v>
      </c>
      <c r="G756" s="5" t="s">
        <v>528</v>
      </c>
      <c r="H756" t="s">
        <v>2438</v>
      </c>
      <c r="I756" s="6">
        <f t="shared" si="11"/>
        <v>40</v>
      </c>
      <c r="J756" s="2">
        <v>6000</v>
      </c>
      <c r="K756" s="2">
        <v>6.5</v>
      </c>
      <c r="L756" s="4">
        <v>80000</v>
      </c>
      <c r="M756" s="4">
        <v>20999</v>
      </c>
      <c r="N756" s="4">
        <v>1999</v>
      </c>
      <c r="O756" s="4">
        <v>349</v>
      </c>
      <c r="P756" s="4">
        <v>1199</v>
      </c>
      <c r="Q756" t="s">
        <v>2368</v>
      </c>
      <c r="R756">
        <v>2023</v>
      </c>
    </row>
    <row r="757" spans="1:18" x14ac:dyDescent="0.25">
      <c r="A757" t="s">
        <v>372</v>
      </c>
      <c r="B757" t="s">
        <v>532</v>
      </c>
      <c r="C757" s="2">
        <v>202</v>
      </c>
      <c r="D757" t="s">
        <v>162</v>
      </c>
      <c r="E757" t="s">
        <v>475</v>
      </c>
      <c r="F757" t="s">
        <v>497</v>
      </c>
      <c r="G757" s="5" t="s">
        <v>498</v>
      </c>
      <c r="H757" t="s">
        <v>2438</v>
      </c>
      <c r="I757" s="6">
        <f t="shared" si="11"/>
        <v>30</v>
      </c>
      <c r="J757" s="2">
        <v>6000</v>
      </c>
      <c r="K757" s="2">
        <v>6.6</v>
      </c>
      <c r="L757" s="4">
        <v>60000</v>
      </c>
      <c r="M757" s="4">
        <v>14999</v>
      </c>
      <c r="N757" s="4">
        <v>1399</v>
      </c>
      <c r="O757" s="4">
        <v>249</v>
      </c>
      <c r="P757" s="4">
        <v>999</v>
      </c>
      <c r="Q757" t="s">
        <v>2368</v>
      </c>
      <c r="R757">
        <v>2023</v>
      </c>
    </row>
    <row r="758" spans="1:18" x14ac:dyDescent="0.25">
      <c r="A758" t="s">
        <v>372</v>
      </c>
      <c r="B758" t="s">
        <v>533</v>
      </c>
      <c r="C758" s="2">
        <v>202</v>
      </c>
      <c r="D758" t="s">
        <v>162</v>
      </c>
      <c r="E758" t="s">
        <v>475</v>
      </c>
      <c r="F758" t="s">
        <v>497</v>
      </c>
      <c r="G758" s="5" t="s">
        <v>498</v>
      </c>
      <c r="H758" t="s">
        <v>2438</v>
      </c>
      <c r="I758" s="6">
        <f t="shared" si="11"/>
        <v>30</v>
      </c>
      <c r="J758" s="2">
        <v>6000</v>
      </c>
      <c r="K758" s="2">
        <v>6.6</v>
      </c>
      <c r="L758" s="4">
        <v>70000</v>
      </c>
      <c r="M758" s="4">
        <v>17999</v>
      </c>
      <c r="N758" s="4">
        <v>1599</v>
      </c>
      <c r="O758" s="4">
        <v>299</v>
      </c>
      <c r="P758" s="4">
        <v>1099</v>
      </c>
      <c r="Q758" t="s">
        <v>2368</v>
      </c>
      <c r="R758">
        <v>2023</v>
      </c>
    </row>
    <row r="759" spans="1:18" x14ac:dyDescent="0.25">
      <c r="A759" t="s">
        <v>372</v>
      </c>
      <c r="B759" t="s">
        <v>542</v>
      </c>
      <c r="C759" s="2">
        <v>199</v>
      </c>
      <c r="D759" t="s">
        <v>68</v>
      </c>
      <c r="E759" t="s">
        <v>461</v>
      </c>
      <c r="F759" t="s">
        <v>519</v>
      </c>
      <c r="G759" s="5" t="s">
        <v>462</v>
      </c>
      <c r="H759" t="s">
        <v>2438</v>
      </c>
      <c r="I759" s="6">
        <f t="shared" si="11"/>
        <v>45</v>
      </c>
      <c r="J759" s="2">
        <v>6000</v>
      </c>
      <c r="K759" s="2">
        <v>6.7</v>
      </c>
      <c r="L759" s="4">
        <v>85000</v>
      </c>
      <c r="M759" s="4">
        <v>23999</v>
      </c>
      <c r="N759" s="4">
        <v>2199</v>
      </c>
      <c r="O759" s="4">
        <v>349</v>
      </c>
      <c r="P759" s="4">
        <v>1299</v>
      </c>
      <c r="Q759" t="s">
        <v>2368</v>
      </c>
      <c r="R759">
        <v>2023</v>
      </c>
    </row>
    <row r="760" spans="1:18" x14ac:dyDescent="0.25">
      <c r="A760" t="s">
        <v>372</v>
      </c>
      <c r="B760" t="s">
        <v>543</v>
      </c>
      <c r="C760" s="2">
        <v>199</v>
      </c>
      <c r="D760" t="s">
        <v>68</v>
      </c>
      <c r="E760" t="s">
        <v>461</v>
      </c>
      <c r="F760" t="s">
        <v>519</v>
      </c>
      <c r="G760" s="5" t="s">
        <v>462</v>
      </c>
      <c r="H760" t="s">
        <v>2438</v>
      </c>
      <c r="I760" s="6">
        <f t="shared" si="11"/>
        <v>45</v>
      </c>
      <c r="J760" s="2">
        <v>6000</v>
      </c>
      <c r="K760" s="2">
        <v>6.7</v>
      </c>
      <c r="L760" s="4">
        <v>95000</v>
      </c>
      <c r="M760" s="4">
        <v>26999</v>
      </c>
      <c r="N760" s="4">
        <v>2399</v>
      </c>
      <c r="O760" s="4">
        <v>399</v>
      </c>
      <c r="P760" s="4">
        <v>1399</v>
      </c>
      <c r="Q760" t="s">
        <v>2368</v>
      </c>
      <c r="R760">
        <v>2023</v>
      </c>
    </row>
    <row r="761" spans="1:18" x14ac:dyDescent="0.25">
      <c r="A761" t="s">
        <v>372</v>
      </c>
      <c r="B761" t="s">
        <v>545</v>
      </c>
      <c r="C761" s="2">
        <v>190</v>
      </c>
      <c r="D761" t="s">
        <v>18</v>
      </c>
      <c r="E761" t="s">
        <v>475</v>
      </c>
      <c r="F761" t="s">
        <v>527</v>
      </c>
      <c r="G761" s="5" t="s">
        <v>528</v>
      </c>
      <c r="H761" t="s">
        <v>2438</v>
      </c>
      <c r="I761" s="6">
        <f t="shared" si="11"/>
        <v>40</v>
      </c>
      <c r="J761" s="2">
        <v>6000</v>
      </c>
      <c r="K761" s="2">
        <v>6.5</v>
      </c>
      <c r="L761" s="4">
        <v>70000</v>
      </c>
      <c r="M761" s="4">
        <v>18999</v>
      </c>
      <c r="N761" s="4">
        <v>1799</v>
      </c>
      <c r="O761" s="4">
        <v>299</v>
      </c>
      <c r="P761" s="4">
        <v>1099</v>
      </c>
      <c r="Q761" t="s">
        <v>2368</v>
      </c>
      <c r="R761">
        <v>2023</v>
      </c>
    </row>
    <row r="762" spans="1:18" x14ac:dyDescent="0.25">
      <c r="A762" t="s">
        <v>372</v>
      </c>
      <c r="B762" t="s">
        <v>547</v>
      </c>
      <c r="C762" s="2">
        <v>190</v>
      </c>
      <c r="D762" t="s">
        <v>18</v>
      </c>
      <c r="E762" t="s">
        <v>475</v>
      </c>
      <c r="F762" t="s">
        <v>527</v>
      </c>
      <c r="G762" s="5" t="s">
        <v>528</v>
      </c>
      <c r="H762" t="s">
        <v>2438</v>
      </c>
      <c r="I762" s="6">
        <f t="shared" si="11"/>
        <v>40</v>
      </c>
      <c r="J762" s="2">
        <v>6000</v>
      </c>
      <c r="K762" s="2">
        <v>6.5</v>
      </c>
      <c r="L762" s="4">
        <v>80000</v>
      </c>
      <c r="M762" s="4">
        <v>21999</v>
      </c>
      <c r="N762" s="4">
        <v>1999</v>
      </c>
      <c r="O762" s="4">
        <v>349</v>
      </c>
      <c r="P762" s="4">
        <v>1199</v>
      </c>
      <c r="Q762" t="s">
        <v>2368</v>
      </c>
      <c r="R762">
        <v>2023</v>
      </c>
    </row>
    <row r="763" spans="1:18" x14ac:dyDescent="0.25">
      <c r="A763" t="s">
        <v>372</v>
      </c>
      <c r="B763" t="s">
        <v>548</v>
      </c>
      <c r="C763" s="2">
        <v>198</v>
      </c>
      <c r="D763" t="s">
        <v>162</v>
      </c>
      <c r="E763" t="s">
        <v>475</v>
      </c>
      <c r="F763" t="s">
        <v>497</v>
      </c>
      <c r="G763" s="5" t="s">
        <v>498</v>
      </c>
      <c r="H763" t="s">
        <v>2438</v>
      </c>
      <c r="I763" s="6">
        <f t="shared" si="11"/>
        <v>30</v>
      </c>
      <c r="J763" s="2">
        <v>6000</v>
      </c>
      <c r="K763" s="2">
        <v>6.6</v>
      </c>
      <c r="L763" s="4">
        <v>60000</v>
      </c>
      <c r="M763" s="4">
        <v>14999</v>
      </c>
      <c r="N763" s="4">
        <v>1399</v>
      </c>
      <c r="O763" s="4">
        <v>249</v>
      </c>
      <c r="P763" s="4">
        <v>999</v>
      </c>
      <c r="Q763" t="s">
        <v>2368</v>
      </c>
      <c r="R763">
        <v>2023</v>
      </c>
    </row>
    <row r="764" spans="1:18" x14ac:dyDescent="0.25">
      <c r="A764" t="s">
        <v>372</v>
      </c>
      <c r="B764" t="s">
        <v>550</v>
      </c>
      <c r="C764" s="2">
        <v>198</v>
      </c>
      <c r="D764" t="s">
        <v>162</v>
      </c>
      <c r="E764" t="s">
        <v>475</v>
      </c>
      <c r="F764" t="s">
        <v>497</v>
      </c>
      <c r="G764" s="5" t="s">
        <v>498</v>
      </c>
      <c r="H764" t="s">
        <v>2438</v>
      </c>
      <c r="I764" s="6">
        <f t="shared" si="11"/>
        <v>30</v>
      </c>
      <c r="J764" s="2">
        <v>6000</v>
      </c>
      <c r="K764" s="2">
        <v>6.6</v>
      </c>
      <c r="L764" s="4">
        <v>70000</v>
      </c>
      <c r="M764" s="4">
        <v>17999</v>
      </c>
      <c r="N764" s="4">
        <v>1599</v>
      </c>
      <c r="O764" s="4">
        <v>299</v>
      </c>
      <c r="P764" s="4">
        <v>1099</v>
      </c>
      <c r="Q764" t="s">
        <v>2368</v>
      </c>
      <c r="R764">
        <v>2023</v>
      </c>
    </row>
    <row r="765" spans="1:18" x14ac:dyDescent="0.25">
      <c r="A765" t="s">
        <v>372</v>
      </c>
      <c r="B765" t="s">
        <v>578</v>
      </c>
      <c r="C765" s="2">
        <v>235</v>
      </c>
      <c r="D765" t="s">
        <v>18</v>
      </c>
      <c r="E765" t="s">
        <v>475</v>
      </c>
      <c r="F765" t="s">
        <v>580</v>
      </c>
      <c r="G765" s="5" t="s">
        <v>462</v>
      </c>
      <c r="H765" t="s">
        <v>2438</v>
      </c>
      <c r="I765" s="6">
        <f t="shared" si="11"/>
        <v>45</v>
      </c>
      <c r="J765" s="2">
        <v>4050</v>
      </c>
      <c r="K765" s="2">
        <v>6.6</v>
      </c>
      <c r="L765" s="4">
        <v>75000</v>
      </c>
      <c r="M765" s="4">
        <v>28999</v>
      </c>
      <c r="N765" s="4">
        <v>2299</v>
      </c>
      <c r="O765" s="4">
        <v>499</v>
      </c>
      <c r="P765" s="4">
        <v>1699</v>
      </c>
      <c r="Q765" t="s">
        <v>2368</v>
      </c>
      <c r="R765">
        <v>2022</v>
      </c>
    </row>
    <row r="766" spans="1:18" x14ac:dyDescent="0.25">
      <c r="A766" t="s">
        <v>372</v>
      </c>
      <c r="B766" t="s">
        <v>584</v>
      </c>
      <c r="C766" s="2">
        <v>172</v>
      </c>
      <c r="D766" t="s">
        <v>162</v>
      </c>
      <c r="E766" t="s">
        <v>508</v>
      </c>
      <c r="F766" t="s">
        <v>585</v>
      </c>
      <c r="G766" s="5" t="s">
        <v>498</v>
      </c>
      <c r="H766" t="s">
        <v>2438</v>
      </c>
      <c r="I766" s="6">
        <f t="shared" si="11"/>
        <v>30</v>
      </c>
      <c r="J766" s="2">
        <v>3000</v>
      </c>
      <c r="K766" s="2">
        <v>5.3</v>
      </c>
      <c r="L766" s="4">
        <v>50000</v>
      </c>
      <c r="M766" s="4">
        <v>17499</v>
      </c>
      <c r="N766" s="4">
        <v>1299</v>
      </c>
      <c r="O766" s="4">
        <v>249</v>
      </c>
      <c r="P766" s="4">
        <v>899</v>
      </c>
      <c r="Q766" t="s">
        <v>2368</v>
      </c>
      <c r="R766">
        <v>2020</v>
      </c>
    </row>
    <row r="767" spans="1:18" x14ac:dyDescent="0.25">
      <c r="A767" t="s">
        <v>372</v>
      </c>
      <c r="B767" t="s">
        <v>662</v>
      </c>
      <c r="C767" s="2">
        <v>523</v>
      </c>
      <c r="D767" t="s">
        <v>18</v>
      </c>
      <c r="E767" t="s">
        <v>19</v>
      </c>
      <c r="F767" t="s">
        <v>307</v>
      </c>
      <c r="G767" s="5" t="s">
        <v>462</v>
      </c>
      <c r="H767" t="s">
        <v>2438</v>
      </c>
      <c r="I767" s="6">
        <f t="shared" si="11"/>
        <v>45</v>
      </c>
      <c r="J767" s="2">
        <v>8000</v>
      </c>
      <c r="K767" s="2">
        <v>10.9</v>
      </c>
      <c r="L767" s="4">
        <v>150000</v>
      </c>
      <c r="M767" s="4">
        <v>49999</v>
      </c>
      <c r="N767" s="4">
        <v>5499</v>
      </c>
      <c r="O767" s="4">
        <v>549</v>
      </c>
      <c r="P767" s="4">
        <v>1999</v>
      </c>
      <c r="Q767" t="s">
        <v>2369</v>
      </c>
      <c r="R767">
        <v>2023</v>
      </c>
    </row>
    <row r="768" spans="1:18" x14ac:dyDescent="0.25">
      <c r="A768" t="s">
        <v>372</v>
      </c>
      <c r="B768" t="s">
        <v>678</v>
      </c>
      <c r="C768" s="2">
        <v>480</v>
      </c>
      <c r="D768" t="s">
        <v>68</v>
      </c>
      <c r="E768" t="s">
        <v>508</v>
      </c>
      <c r="F768" t="s">
        <v>307</v>
      </c>
      <c r="G768" s="5" t="s">
        <v>680</v>
      </c>
      <c r="H768" t="s">
        <v>2438</v>
      </c>
      <c r="I768" s="6">
        <f t="shared" si="11"/>
        <v>40</v>
      </c>
      <c r="J768" s="2">
        <v>7040</v>
      </c>
      <c r="K768" s="2">
        <v>11</v>
      </c>
      <c r="L768" s="4">
        <v>100000</v>
      </c>
      <c r="M768" s="4">
        <v>22999</v>
      </c>
      <c r="N768" s="4">
        <v>1799</v>
      </c>
      <c r="O768" s="4">
        <v>229</v>
      </c>
      <c r="P768" s="4">
        <v>899</v>
      </c>
      <c r="Q768" t="s">
        <v>2369</v>
      </c>
      <c r="R768">
        <v>2023</v>
      </c>
    </row>
    <row r="769" spans="1:18" x14ac:dyDescent="0.25">
      <c r="A769" t="s">
        <v>372</v>
      </c>
      <c r="B769" t="s">
        <v>700</v>
      </c>
      <c r="C769" s="2">
        <v>433</v>
      </c>
      <c r="D769" t="s">
        <v>18</v>
      </c>
      <c r="E769" t="s">
        <v>508</v>
      </c>
      <c r="F769" t="s">
        <v>475</v>
      </c>
      <c r="G769" s="5" t="s">
        <v>462</v>
      </c>
      <c r="H769" t="s">
        <v>2438</v>
      </c>
      <c r="I769" s="6">
        <f t="shared" si="11"/>
        <v>45</v>
      </c>
      <c r="J769" s="2">
        <v>5050</v>
      </c>
      <c r="K769" s="2">
        <v>8</v>
      </c>
      <c r="L769" s="4">
        <v>150000</v>
      </c>
      <c r="M769" s="4">
        <v>54999</v>
      </c>
      <c r="N769" s="4">
        <v>3699</v>
      </c>
      <c r="O769" s="4">
        <v>549</v>
      </c>
      <c r="P769" s="4">
        <v>2199</v>
      </c>
      <c r="Q769" t="s">
        <v>2368</v>
      </c>
      <c r="R769">
        <v>2024</v>
      </c>
    </row>
    <row r="770" spans="1:18" x14ac:dyDescent="0.25">
      <c r="A770" t="s">
        <v>372</v>
      </c>
      <c r="B770" t="s">
        <v>706</v>
      </c>
      <c r="C770" s="2">
        <v>674</v>
      </c>
      <c r="D770" t="s">
        <v>18</v>
      </c>
      <c r="E770" t="s">
        <v>307</v>
      </c>
      <c r="F770" t="s">
        <v>475</v>
      </c>
      <c r="G770" s="5" t="s">
        <v>708</v>
      </c>
      <c r="H770" t="s">
        <v>2438</v>
      </c>
      <c r="I770" s="6">
        <f t="shared" ref="I770:I833" si="12">_xlfn.XLOOKUP(G770, $T$2:$T$183,$U$2:$U$183,"Unknown",0)</f>
        <v>60</v>
      </c>
      <c r="J770" s="2">
        <v>7600</v>
      </c>
      <c r="K770" s="2">
        <v>10.1</v>
      </c>
      <c r="L770" s="4">
        <v>180000</v>
      </c>
      <c r="M770" s="4">
        <v>64999</v>
      </c>
      <c r="N770" s="4">
        <v>4299</v>
      </c>
      <c r="O770" s="4">
        <v>649</v>
      </c>
      <c r="P770" s="4">
        <v>2599</v>
      </c>
      <c r="Q770" t="s">
        <v>2369</v>
      </c>
      <c r="R770">
        <v>2022</v>
      </c>
    </row>
    <row r="771" spans="1:18" x14ac:dyDescent="0.25">
      <c r="A771" t="s">
        <v>1887</v>
      </c>
      <c r="B771" t="s">
        <v>1888</v>
      </c>
      <c r="C771" s="2">
        <v>185</v>
      </c>
      <c r="D771" t="s">
        <v>375</v>
      </c>
      <c r="E771" t="s">
        <v>19</v>
      </c>
      <c r="F771" t="s">
        <v>19</v>
      </c>
      <c r="G771" s="5" t="s">
        <v>451</v>
      </c>
      <c r="H771" t="s">
        <v>2437</v>
      </c>
      <c r="I771" s="6">
        <f t="shared" si="12"/>
        <v>90</v>
      </c>
      <c r="J771" s="2">
        <v>5000</v>
      </c>
      <c r="K771" s="2">
        <v>6.5</v>
      </c>
      <c r="L771" s="4">
        <v>429999</v>
      </c>
      <c r="M771" s="4">
        <v>119999</v>
      </c>
      <c r="N771" s="4">
        <v>7299</v>
      </c>
      <c r="O771" s="4">
        <v>1599</v>
      </c>
      <c r="P771" s="4">
        <v>5799</v>
      </c>
      <c r="Q771" t="s">
        <v>2368</v>
      </c>
      <c r="R771">
        <v>2022</v>
      </c>
    </row>
    <row r="772" spans="1:18" x14ac:dyDescent="0.25">
      <c r="A772" t="s">
        <v>1887</v>
      </c>
      <c r="B772" t="s">
        <v>1890</v>
      </c>
      <c r="C772" s="2">
        <v>172</v>
      </c>
      <c r="D772" t="s">
        <v>68</v>
      </c>
      <c r="E772" t="s">
        <v>19</v>
      </c>
      <c r="F772" t="s">
        <v>19</v>
      </c>
      <c r="G772" s="5" t="s">
        <v>451</v>
      </c>
      <c r="H772" t="s">
        <v>2437</v>
      </c>
      <c r="I772" s="6">
        <f t="shared" si="12"/>
        <v>90</v>
      </c>
      <c r="J772" s="2">
        <v>5000</v>
      </c>
      <c r="K772" s="2">
        <v>6.1</v>
      </c>
      <c r="L772" s="4">
        <v>319999</v>
      </c>
      <c r="M772" s="4">
        <v>89999</v>
      </c>
      <c r="N772" s="4">
        <v>5999</v>
      </c>
      <c r="O772" s="4">
        <v>999</v>
      </c>
      <c r="P772" s="4">
        <v>3799</v>
      </c>
      <c r="Q772" t="s">
        <v>2368</v>
      </c>
      <c r="R772">
        <v>2022</v>
      </c>
    </row>
    <row r="773" spans="1:18" x14ac:dyDescent="0.25">
      <c r="A773" t="s">
        <v>1887</v>
      </c>
      <c r="B773" t="s">
        <v>1894</v>
      </c>
      <c r="C773" s="2">
        <v>187</v>
      </c>
      <c r="D773" t="s">
        <v>375</v>
      </c>
      <c r="E773" t="s">
        <v>19</v>
      </c>
      <c r="F773" t="s">
        <v>20</v>
      </c>
      <c r="G773" s="5" t="s">
        <v>401</v>
      </c>
      <c r="H773" t="s">
        <v>2437</v>
      </c>
      <c r="I773" s="6">
        <f t="shared" si="12"/>
        <v>95</v>
      </c>
      <c r="J773" s="2">
        <v>5000</v>
      </c>
      <c r="K773" s="2">
        <v>6.5</v>
      </c>
      <c r="L773" s="4">
        <v>449999</v>
      </c>
      <c r="M773" s="4">
        <v>124999</v>
      </c>
      <c r="N773" s="4">
        <v>7999</v>
      </c>
      <c r="O773" s="4">
        <v>1699</v>
      </c>
      <c r="P773" s="4">
        <v>5999</v>
      </c>
      <c r="Q773" t="s">
        <v>2368</v>
      </c>
      <c r="R773">
        <v>2023</v>
      </c>
    </row>
    <row r="774" spans="1:18" x14ac:dyDescent="0.25">
      <c r="A774" t="s">
        <v>1887</v>
      </c>
      <c r="B774" t="s">
        <v>1898</v>
      </c>
      <c r="C774" s="2">
        <v>178</v>
      </c>
      <c r="D774" t="s">
        <v>68</v>
      </c>
      <c r="E774" t="s">
        <v>19</v>
      </c>
      <c r="F774" t="s">
        <v>20</v>
      </c>
      <c r="G774" s="5" t="s">
        <v>401</v>
      </c>
      <c r="H774" t="s">
        <v>2437</v>
      </c>
      <c r="I774" s="6">
        <f t="shared" si="12"/>
        <v>95</v>
      </c>
      <c r="J774" s="2">
        <v>5000</v>
      </c>
      <c r="K774" s="2">
        <v>6.1</v>
      </c>
      <c r="L774" s="4">
        <v>339999</v>
      </c>
      <c r="M774" s="4">
        <v>94999</v>
      </c>
      <c r="N774" s="4">
        <v>6299</v>
      </c>
      <c r="O774" s="4">
        <v>1099</v>
      </c>
      <c r="P774" s="4">
        <v>4099</v>
      </c>
      <c r="Q774" t="s">
        <v>2368</v>
      </c>
      <c r="R774">
        <v>2023</v>
      </c>
    </row>
    <row r="775" spans="1:18" x14ac:dyDescent="0.25">
      <c r="A775" t="s">
        <v>1887</v>
      </c>
      <c r="B775" t="s">
        <v>1901</v>
      </c>
      <c r="C775" s="2">
        <v>190</v>
      </c>
      <c r="D775" t="s">
        <v>375</v>
      </c>
      <c r="E775" t="s">
        <v>19</v>
      </c>
      <c r="F775" t="s">
        <v>20</v>
      </c>
      <c r="G775" s="5" t="s">
        <v>737</v>
      </c>
      <c r="H775" t="s">
        <v>2437</v>
      </c>
      <c r="I775" s="6">
        <f t="shared" si="12"/>
        <v>100</v>
      </c>
      <c r="J775" s="2">
        <v>5000</v>
      </c>
      <c r="K775" s="2">
        <v>6.5</v>
      </c>
      <c r="L775" s="4">
        <v>469999</v>
      </c>
      <c r="M775" s="4">
        <v>129999</v>
      </c>
      <c r="N775" s="4">
        <v>8499</v>
      </c>
      <c r="O775" s="4">
        <v>1799</v>
      </c>
      <c r="P775" s="4">
        <v>6199</v>
      </c>
      <c r="Q775" t="s">
        <v>2368</v>
      </c>
      <c r="R775">
        <v>2024</v>
      </c>
    </row>
    <row r="776" spans="1:18" x14ac:dyDescent="0.25">
      <c r="A776" t="s">
        <v>1887</v>
      </c>
      <c r="B776" t="s">
        <v>1904</v>
      </c>
      <c r="C776" s="2">
        <v>180</v>
      </c>
      <c r="D776" t="s">
        <v>68</v>
      </c>
      <c r="E776" t="s">
        <v>19</v>
      </c>
      <c r="F776" t="s">
        <v>20</v>
      </c>
      <c r="G776" s="5" t="s">
        <v>737</v>
      </c>
      <c r="H776" t="s">
        <v>2437</v>
      </c>
      <c r="I776" s="6">
        <f t="shared" si="12"/>
        <v>100</v>
      </c>
      <c r="J776" s="2">
        <v>5000</v>
      </c>
      <c r="K776" s="2">
        <v>6.1</v>
      </c>
      <c r="L776" s="4">
        <v>349999</v>
      </c>
      <c r="M776" s="4">
        <v>99999</v>
      </c>
      <c r="N776" s="4">
        <v>6599</v>
      </c>
      <c r="O776" s="4">
        <v>1199</v>
      </c>
      <c r="P776" s="4">
        <v>4399</v>
      </c>
      <c r="Q776" t="s">
        <v>2368</v>
      </c>
      <c r="R776">
        <v>2024</v>
      </c>
    </row>
    <row r="777" spans="1:18" x14ac:dyDescent="0.25">
      <c r="A777" t="s">
        <v>1887</v>
      </c>
      <c r="B777" t="s">
        <v>1892</v>
      </c>
      <c r="C777" s="2">
        <v>161</v>
      </c>
      <c r="D777" t="s">
        <v>18</v>
      </c>
      <c r="E777" t="s">
        <v>307</v>
      </c>
      <c r="F777" t="s">
        <v>19</v>
      </c>
      <c r="G777" s="5" t="s">
        <v>680</v>
      </c>
      <c r="H777" t="s">
        <v>2438</v>
      </c>
      <c r="I777" s="6">
        <f t="shared" si="12"/>
        <v>40</v>
      </c>
      <c r="J777" s="2">
        <v>5000</v>
      </c>
      <c r="K777" s="2">
        <v>6</v>
      </c>
      <c r="L777" s="4">
        <v>179999</v>
      </c>
      <c r="M777" s="4">
        <v>49999</v>
      </c>
      <c r="N777" s="4">
        <v>3299</v>
      </c>
      <c r="O777" s="4">
        <v>499</v>
      </c>
      <c r="P777" s="4">
        <v>1799</v>
      </c>
      <c r="Q777" t="s">
        <v>2368</v>
      </c>
      <c r="R777">
        <v>2022</v>
      </c>
    </row>
    <row r="778" spans="1:18" x14ac:dyDescent="0.25">
      <c r="A778" t="s">
        <v>1887</v>
      </c>
      <c r="B778" t="s">
        <v>1900</v>
      </c>
      <c r="C778" s="2">
        <v>164</v>
      </c>
      <c r="D778" t="s">
        <v>18</v>
      </c>
      <c r="E778" t="s">
        <v>307</v>
      </c>
      <c r="F778" t="s">
        <v>20</v>
      </c>
      <c r="G778" s="5" t="s">
        <v>680</v>
      </c>
      <c r="H778" t="s">
        <v>2438</v>
      </c>
      <c r="I778" s="6">
        <f t="shared" si="12"/>
        <v>40</v>
      </c>
      <c r="J778" s="2">
        <v>5000</v>
      </c>
      <c r="K778" s="2">
        <v>6.1</v>
      </c>
      <c r="L778" s="4">
        <v>199999</v>
      </c>
      <c r="M778" s="4">
        <v>54999</v>
      </c>
      <c r="N778" s="4">
        <v>3699</v>
      </c>
      <c r="O778" s="4">
        <v>599</v>
      </c>
      <c r="P778" s="4">
        <v>1999</v>
      </c>
      <c r="Q778" t="s">
        <v>2368</v>
      </c>
      <c r="R778">
        <v>2023</v>
      </c>
    </row>
    <row r="779" spans="1:18" x14ac:dyDescent="0.25">
      <c r="A779" t="s">
        <v>1887</v>
      </c>
      <c r="B779" t="s">
        <v>1905</v>
      </c>
      <c r="C779" s="2">
        <v>167</v>
      </c>
      <c r="D779" t="s">
        <v>18</v>
      </c>
      <c r="E779" t="s">
        <v>307</v>
      </c>
      <c r="F779" t="s">
        <v>20</v>
      </c>
      <c r="G779" s="5" t="s">
        <v>1648</v>
      </c>
      <c r="H779" t="s">
        <v>2438</v>
      </c>
      <c r="I779" s="6">
        <f t="shared" si="12"/>
        <v>55</v>
      </c>
      <c r="J779" s="2">
        <v>5000</v>
      </c>
      <c r="K779" s="2">
        <v>6.1</v>
      </c>
      <c r="L779" s="4">
        <v>209999</v>
      </c>
      <c r="M779" s="4">
        <v>59999</v>
      </c>
      <c r="N779" s="4">
        <v>3999</v>
      </c>
      <c r="O779" s="4">
        <v>699</v>
      </c>
      <c r="P779" s="4">
        <v>2199</v>
      </c>
      <c r="Q779" t="s">
        <v>2368</v>
      </c>
      <c r="R779">
        <v>2024</v>
      </c>
    </row>
    <row r="780" spans="1:18" x14ac:dyDescent="0.25">
      <c r="A780" t="s">
        <v>1981</v>
      </c>
      <c r="B780" t="s">
        <v>1982</v>
      </c>
      <c r="C780" s="2">
        <v>190</v>
      </c>
      <c r="D780" t="s">
        <v>162</v>
      </c>
      <c r="E780" t="s">
        <v>307</v>
      </c>
      <c r="F780" t="s">
        <v>475</v>
      </c>
      <c r="G780" s="5" t="s">
        <v>2396</v>
      </c>
      <c r="H780" t="s">
        <v>2439</v>
      </c>
      <c r="I780" s="6">
        <f t="shared" si="12"/>
        <v>2</v>
      </c>
      <c r="J780" s="2">
        <v>5000</v>
      </c>
      <c r="K780" s="2">
        <v>6.6</v>
      </c>
      <c r="L780" s="4">
        <v>27999</v>
      </c>
      <c r="M780" s="4">
        <v>9999</v>
      </c>
      <c r="N780" s="4">
        <v>799</v>
      </c>
      <c r="O780" s="4">
        <v>129</v>
      </c>
      <c r="P780" s="4">
        <v>499</v>
      </c>
      <c r="Q780" t="s">
        <v>2368</v>
      </c>
      <c r="R780">
        <v>2024</v>
      </c>
    </row>
    <row r="781" spans="1:18" x14ac:dyDescent="0.25">
      <c r="A781" t="s">
        <v>1981</v>
      </c>
      <c r="B781" t="s">
        <v>1984</v>
      </c>
      <c r="C781" s="2">
        <v>450</v>
      </c>
      <c r="D781" t="s">
        <v>68</v>
      </c>
      <c r="E781" t="s">
        <v>475</v>
      </c>
      <c r="F781" t="s">
        <v>580</v>
      </c>
      <c r="G781" s="5" t="s">
        <v>2390</v>
      </c>
      <c r="H781" t="s">
        <v>2439</v>
      </c>
      <c r="I781" s="6">
        <f t="shared" si="12"/>
        <v>22</v>
      </c>
      <c r="J781" s="2">
        <v>8000</v>
      </c>
      <c r="K781" s="2">
        <v>11</v>
      </c>
      <c r="L781" s="4">
        <v>69999</v>
      </c>
      <c r="M781" s="4">
        <v>29999</v>
      </c>
      <c r="N781" s="4">
        <v>2499</v>
      </c>
      <c r="O781" s="4">
        <v>349</v>
      </c>
      <c r="P781" s="4">
        <v>1299</v>
      </c>
      <c r="Q781" t="s">
        <v>2369</v>
      </c>
      <c r="R781">
        <v>2024</v>
      </c>
    </row>
    <row r="782" spans="1:18" x14ac:dyDescent="0.25">
      <c r="A782" t="s">
        <v>1981</v>
      </c>
      <c r="B782" t="s">
        <v>1988</v>
      </c>
      <c r="C782" s="2">
        <v>195</v>
      </c>
      <c r="D782" t="s">
        <v>256</v>
      </c>
      <c r="E782" t="s">
        <v>508</v>
      </c>
      <c r="F782" t="s">
        <v>307</v>
      </c>
      <c r="G782" s="5" t="s">
        <v>1626</v>
      </c>
      <c r="H782" t="s">
        <v>2439</v>
      </c>
      <c r="I782" s="6">
        <f t="shared" si="12"/>
        <v>3</v>
      </c>
      <c r="J782" s="2">
        <v>5000</v>
      </c>
      <c r="K782" s="2">
        <v>6.52</v>
      </c>
      <c r="L782" s="4">
        <v>22999</v>
      </c>
      <c r="M782" s="4">
        <v>7499</v>
      </c>
      <c r="N782" s="4">
        <v>599</v>
      </c>
      <c r="O782" s="4">
        <v>99</v>
      </c>
      <c r="P782" s="4">
        <v>399</v>
      </c>
      <c r="Q782" t="s">
        <v>2368</v>
      </c>
      <c r="R782">
        <v>2024</v>
      </c>
    </row>
    <row r="783" spans="1:18" x14ac:dyDescent="0.25">
      <c r="A783" t="s">
        <v>1981</v>
      </c>
      <c r="B783" t="s">
        <v>1990</v>
      </c>
      <c r="C783" s="2">
        <v>420</v>
      </c>
      <c r="D783" t="s">
        <v>18</v>
      </c>
      <c r="E783" t="s">
        <v>19</v>
      </c>
      <c r="F783" t="s">
        <v>580</v>
      </c>
      <c r="G783" s="5" t="s">
        <v>2385</v>
      </c>
      <c r="H783" t="s">
        <v>2439</v>
      </c>
      <c r="I783" s="6">
        <f t="shared" si="12"/>
        <v>10</v>
      </c>
      <c r="J783" s="2">
        <v>7500</v>
      </c>
      <c r="K783" s="2">
        <v>10.9</v>
      </c>
      <c r="L783" s="4">
        <v>59999</v>
      </c>
      <c r="M783" s="4">
        <v>24999</v>
      </c>
      <c r="N783" s="4">
        <v>2299</v>
      </c>
      <c r="O783" s="4">
        <v>299</v>
      </c>
      <c r="P783" s="4">
        <v>1099</v>
      </c>
      <c r="Q783" t="s">
        <v>2369</v>
      </c>
      <c r="R783">
        <v>2024</v>
      </c>
    </row>
    <row r="784" spans="1:18" x14ac:dyDescent="0.25">
      <c r="A784" t="s">
        <v>1981</v>
      </c>
      <c r="B784" t="s">
        <v>1994</v>
      </c>
      <c r="C784" s="2">
        <v>200</v>
      </c>
      <c r="D784" t="s">
        <v>18</v>
      </c>
      <c r="E784" t="s">
        <v>585</v>
      </c>
      <c r="F784" t="s">
        <v>580</v>
      </c>
      <c r="G784" s="5" t="s">
        <v>2383</v>
      </c>
      <c r="H784" t="s">
        <v>2439</v>
      </c>
      <c r="I784" s="6">
        <f t="shared" si="12"/>
        <v>22</v>
      </c>
      <c r="J784" s="2">
        <v>5000</v>
      </c>
      <c r="K784" s="2">
        <v>6.6</v>
      </c>
      <c r="L784" s="4">
        <v>39999</v>
      </c>
      <c r="M784" s="4">
        <v>14999</v>
      </c>
      <c r="N784" s="4">
        <v>1199</v>
      </c>
      <c r="O784" s="4">
        <v>199</v>
      </c>
      <c r="P784" s="4">
        <v>749</v>
      </c>
      <c r="Q784" t="s">
        <v>2368</v>
      </c>
      <c r="R784">
        <v>2024</v>
      </c>
    </row>
    <row r="785" spans="1:18" x14ac:dyDescent="0.25">
      <c r="A785" t="s">
        <v>1981</v>
      </c>
      <c r="B785" t="s">
        <v>1995</v>
      </c>
      <c r="C785" s="2">
        <v>195</v>
      </c>
      <c r="D785" t="s">
        <v>18</v>
      </c>
      <c r="E785" t="s">
        <v>585</v>
      </c>
      <c r="F785" t="s">
        <v>580</v>
      </c>
      <c r="G785" s="5" t="s">
        <v>2381</v>
      </c>
      <c r="H785" t="s">
        <v>2439</v>
      </c>
      <c r="I785" s="6">
        <f t="shared" si="12"/>
        <v>20</v>
      </c>
      <c r="J785" s="2">
        <v>5000</v>
      </c>
      <c r="K785" s="2">
        <v>6.6</v>
      </c>
      <c r="L785" s="4">
        <v>42999</v>
      </c>
      <c r="M785" s="4">
        <v>16999</v>
      </c>
      <c r="N785" s="4">
        <v>1399</v>
      </c>
      <c r="O785" s="4">
        <v>229</v>
      </c>
      <c r="P785" s="4">
        <v>849</v>
      </c>
      <c r="Q785" t="s">
        <v>2368</v>
      </c>
      <c r="R785">
        <v>2024</v>
      </c>
    </row>
    <row r="786" spans="1:18" x14ac:dyDescent="0.25">
      <c r="A786" t="s">
        <v>1981</v>
      </c>
      <c r="B786" t="s">
        <v>1996</v>
      </c>
      <c r="C786" s="2">
        <v>190</v>
      </c>
      <c r="D786" t="s">
        <v>256</v>
      </c>
      <c r="E786" t="s">
        <v>508</v>
      </c>
      <c r="F786" t="s">
        <v>307</v>
      </c>
      <c r="G786" s="5" t="s">
        <v>1997</v>
      </c>
      <c r="H786" t="s">
        <v>2439</v>
      </c>
      <c r="I786" s="6">
        <f t="shared" si="12"/>
        <v>2</v>
      </c>
      <c r="J786" s="2">
        <v>5000</v>
      </c>
      <c r="K786" s="2">
        <v>6.52</v>
      </c>
      <c r="L786" s="4">
        <v>21999</v>
      </c>
      <c r="M786" s="4">
        <v>6999</v>
      </c>
      <c r="N786" s="4">
        <v>549</v>
      </c>
      <c r="O786" s="4">
        <v>89</v>
      </c>
      <c r="P786" s="4">
        <v>349</v>
      </c>
      <c r="Q786" t="s">
        <v>2368</v>
      </c>
      <c r="R786">
        <v>2024</v>
      </c>
    </row>
    <row r="787" spans="1:18" x14ac:dyDescent="0.25">
      <c r="A787" t="s">
        <v>1981</v>
      </c>
      <c r="B787" t="s">
        <v>2002</v>
      </c>
      <c r="C787" s="2">
        <v>205</v>
      </c>
      <c r="D787" t="s">
        <v>68</v>
      </c>
      <c r="E787" t="s">
        <v>461</v>
      </c>
      <c r="F787" t="s">
        <v>580</v>
      </c>
      <c r="G787" s="5" t="s">
        <v>2390</v>
      </c>
      <c r="H787" t="s">
        <v>2439</v>
      </c>
      <c r="I787" s="6">
        <f t="shared" si="12"/>
        <v>22</v>
      </c>
      <c r="J787" s="2">
        <v>5200</v>
      </c>
      <c r="K787" s="2">
        <v>6.8</v>
      </c>
      <c r="L787" s="4">
        <v>54999</v>
      </c>
      <c r="M787" s="4">
        <v>19999</v>
      </c>
      <c r="N787" s="4">
        <v>1799</v>
      </c>
      <c r="O787" s="4">
        <v>269</v>
      </c>
      <c r="P787" s="4">
        <v>999</v>
      </c>
      <c r="Q787" t="s">
        <v>2368</v>
      </c>
      <c r="R787">
        <v>2024</v>
      </c>
    </row>
    <row r="788" spans="1:18" x14ac:dyDescent="0.25">
      <c r="A788" t="s">
        <v>1981</v>
      </c>
      <c r="B788" t="s">
        <v>2003</v>
      </c>
      <c r="C788" s="2">
        <v>192</v>
      </c>
      <c r="D788" t="s">
        <v>162</v>
      </c>
      <c r="E788" t="s">
        <v>585</v>
      </c>
      <c r="F788" t="s">
        <v>580</v>
      </c>
      <c r="G788" s="5" t="s">
        <v>2391</v>
      </c>
      <c r="H788" t="s">
        <v>2439</v>
      </c>
      <c r="I788" s="6">
        <f t="shared" si="12"/>
        <v>12</v>
      </c>
      <c r="J788" s="2">
        <v>5000</v>
      </c>
      <c r="K788" s="2">
        <v>6.6</v>
      </c>
      <c r="L788" s="4">
        <v>34999</v>
      </c>
      <c r="M788" s="4">
        <v>12999</v>
      </c>
      <c r="N788" s="4">
        <v>1099</v>
      </c>
      <c r="O788" s="4">
        <v>179</v>
      </c>
      <c r="P788" s="4">
        <v>699</v>
      </c>
      <c r="Q788" t="s">
        <v>2368</v>
      </c>
      <c r="R788">
        <v>2024</v>
      </c>
    </row>
    <row r="789" spans="1:18" x14ac:dyDescent="0.25">
      <c r="A789" t="s">
        <v>1981</v>
      </c>
      <c r="B789" t="s">
        <v>2012</v>
      </c>
      <c r="C789" s="2">
        <v>190</v>
      </c>
      <c r="D789" t="s">
        <v>162</v>
      </c>
      <c r="E789" t="s">
        <v>585</v>
      </c>
      <c r="F789" t="s">
        <v>580</v>
      </c>
      <c r="G789" s="5" t="s">
        <v>2391</v>
      </c>
      <c r="H789" t="s">
        <v>2439</v>
      </c>
      <c r="I789" s="6">
        <f t="shared" si="12"/>
        <v>12</v>
      </c>
      <c r="J789" s="2">
        <v>5000</v>
      </c>
      <c r="K789" s="2">
        <v>6.6</v>
      </c>
      <c r="L789" s="4">
        <v>32999</v>
      </c>
      <c r="M789" s="4">
        <v>11999</v>
      </c>
      <c r="N789" s="4">
        <v>999</v>
      </c>
      <c r="O789" s="4">
        <v>149</v>
      </c>
      <c r="P789" s="4">
        <v>599</v>
      </c>
      <c r="Q789" t="s">
        <v>2368</v>
      </c>
      <c r="R789">
        <v>2024</v>
      </c>
    </row>
    <row r="790" spans="1:18" x14ac:dyDescent="0.25">
      <c r="A790" t="s">
        <v>1981</v>
      </c>
      <c r="B790" t="s">
        <v>2013</v>
      </c>
      <c r="C790" s="2">
        <v>195</v>
      </c>
      <c r="D790" t="s">
        <v>256</v>
      </c>
      <c r="E790" t="s">
        <v>508</v>
      </c>
      <c r="F790" t="s">
        <v>307</v>
      </c>
      <c r="G790" s="5" t="s">
        <v>1626</v>
      </c>
      <c r="H790" t="s">
        <v>2439</v>
      </c>
      <c r="I790" s="6">
        <f t="shared" si="12"/>
        <v>3</v>
      </c>
      <c r="J790" s="2">
        <v>5000</v>
      </c>
      <c r="K790" s="2">
        <v>6.52</v>
      </c>
      <c r="L790" s="4">
        <v>22999</v>
      </c>
      <c r="M790" s="4">
        <v>7499</v>
      </c>
      <c r="N790" s="4">
        <v>599</v>
      </c>
      <c r="O790" s="4">
        <v>99</v>
      </c>
      <c r="P790" s="4">
        <v>399</v>
      </c>
      <c r="Q790" t="s">
        <v>2368</v>
      </c>
      <c r="R790">
        <v>2024</v>
      </c>
    </row>
    <row r="791" spans="1:18" x14ac:dyDescent="0.25">
      <c r="A791" t="s">
        <v>1981</v>
      </c>
      <c r="B791" t="s">
        <v>2015</v>
      </c>
      <c r="C791" s="2">
        <v>195</v>
      </c>
      <c r="D791" t="s">
        <v>162</v>
      </c>
      <c r="E791" t="s">
        <v>585</v>
      </c>
      <c r="F791" t="s">
        <v>580</v>
      </c>
      <c r="G791" s="5" t="s">
        <v>2391</v>
      </c>
      <c r="H791" t="s">
        <v>2439</v>
      </c>
      <c r="I791" s="6">
        <f t="shared" si="12"/>
        <v>12</v>
      </c>
      <c r="J791" s="2">
        <v>5000</v>
      </c>
      <c r="K791" s="2">
        <v>6.6</v>
      </c>
      <c r="L791" s="4">
        <v>37999</v>
      </c>
      <c r="M791" s="4">
        <v>13999</v>
      </c>
      <c r="N791" s="4">
        <v>1199</v>
      </c>
      <c r="O791" s="4">
        <v>179</v>
      </c>
      <c r="P791" s="4">
        <v>699</v>
      </c>
      <c r="Q791" t="s">
        <v>2368</v>
      </c>
      <c r="R791">
        <v>2024</v>
      </c>
    </row>
    <row r="792" spans="1:18" x14ac:dyDescent="0.25">
      <c r="A792" t="s">
        <v>1981</v>
      </c>
      <c r="B792" t="s">
        <v>2017</v>
      </c>
      <c r="C792" s="2">
        <v>230</v>
      </c>
      <c r="D792" t="s">
        <v>68</v>
      </c>
      <c r="E792" t="s">
        <v>585</v>
      </c>
      <c r="F792" t="s">
        <v>580</v>
      </c>
      <c r="G792" s="5" t="s">
        <v>2390</v>
      </c>
      <c r="H792" t="s">
        <v>2439</v>
      </c>
      <c r="I792" s="6">
        <f t="shared" si="12"/>
        <v>22</v>
      </c>
      <c r="J792" s="2">
        <v>6000</v>
      </c>
      <c r="K792" s="2">
        <v>6.8</v>
      </c>
      <c r="L792" s="4">
        <v>55999</v>
      </c>
      <c r="M792" s="4">
        <v>22999</v>
      </c>
      <c r="N792" s="4">
        <v>1899</v>
      </c>
      <c r="O792" s="4">
        <v>299</v>
      </c>
      <c r="P792" s="4">
        <v>1099</v>
      </c>
      <c r="Q792" t="s">
        <v>2368</v>
      </c>
      <c r="R792">
        <v>2024</v>
      </c>
    </row>
    <row r="793" spans="1:18" x14ac:dyDescent="0.25">
      <c r="A793" t="s">
        <v>1981</v>
      </c>
      <c r="B793" t="s">
        <v>2023</v>
      </c>
      <c r="C793" s="2">
        <v>195</v>
      </c>
      <c r="D793" t="s">
        <v>18</v>
      </c>
      <c r="E793" t="s">
        <v>461</v>
      </c>
      <c r="F793" t="s">
        <v>580</v>
      </c>
      <c r="G793" s="5" t="s">
        <v>2390</v>
      </c>
      <c r="H793" t="s">
        <v>2439</v>
      </c>
      <c r="I793" s="6">
        <f t="shared" si="12"/>
        <v>22</v>
      </c>
      <c r="J793" s="2">
        <v>5000</v>
      </c>
      <c r="K793" s="2">
        <v>6.7</v>
      </c>
      <c r="L793" s="4">
        <v>69999</v>
      </c>
      <c r="M793" s="4">
        <v>29999</v>
      </c>
      <c r="N793" s="4">
        <v>2499</v>
      </c>
      <c r="O793" s="4">
        <v>349</v>
      </c>
      <c r="P793" s="4">
        <v>1299</v>
      </c>
      <c r="Q793" t="s">
        <v>2368</v>
      </c>
      <c r="R793">
        <v>2024</v>
      </c>
    </row>
    <row r="794" spans="1:18" x14ac:dyDescent="0.25">
      <c r="A794" t="s">
        <v>1981</v>
      </c>
      <c r="B794" t="s">
        <v>2025</v>
      </c>
      <c r="C794" s="2">
        <v>210</v>
      </c>
      <c r="D794" t="s">
        <v>68</v>
      </c>
      <c r="E794" t="s">
        <v>461</v>
      </c>
      <c r="F794" t="s">
        <v>580</v>
      </c>
      <c r="G794" s="5" t="s">
        <v>2390</v>
      </c>
      <c r="H794" t="s">
        <v>2439</v>
      </c>
      <c r="I794" s="6">
        <f t="shared" si="12"/>
        <v>22</v>
      </c>
      <c r="J794" s="2">
        <v>5200</v>
      </c>
      <c r="K794" s="2">
        <v>6.8</v>
      </c>
      <c r="L794" s="4">
        <v>54999</v>
      </c>
      <c r="M794" s="4">
        <v>19999</v>
      </c>
      <c r="N794" s="4">
        <v>1799</v>
      </c>
      <c r="O794" s="4">
        <v>269</v>
      </c>
      <c r="P794" s="4">
        <v>999</v>
      </c>
      <c r="Q794" t="s">
        <v>2368</v>
      </c>
      <c r="R794">
        <v>2024</v>
      </c>
    </row>
    <row r="795" spans="1:18" x14ac:dyDescent="0.25">
      <c r="A795" t="s">
        <v>1981</v>
      </c>
      <c r="B795" t="s">
        <v>2026</v>
      </c>
      <c r="C795" s="2">
        <v>195</v>
      </c>
      <c r="D795" t="s">
        <v>18</v>
      </c>
      <c r="E795" t="s">
        <v>585</v>
      </c>
      <c r="F795" t="s">
        <v>580</v>
      </c>
      <c r="G795" s="5" t="s">
        <v>2391</v>
      </c>
      <c r="H795" t="s">
        <v>2439</v>
      </c>
      <c r="I795" s="6">
        <f t="shared" si="12"/>
        <v>12</v>
      </c>
      <c r="J795" s="2">
        <v>5000</v>
      </c>
      <c r="K795" s="2">
        <v>6.6</v>
      </c>
      <c r="L795" s="4">
        <v>39999</v>
      </c>
      <c r="M795" s="4">
        <v>14999</v>
      </c>
      <c r="N795" s="4">
        <v>1199</v>
      </c>
      <c r="O795" s="4">
        <v>199</v>
      </c>
      <c r="P795" s="4">
        <v>749</v>
      </c>
      <c r="Q795" t="s">
        <v>2368</v>
      </c>
      <c r="R795">
        <v>2024</v>
      </c>
    </row>
    <row r="796" spans="1:18" x14ac:dyDescent="0.25">
      <c r="A796" t="s">
        <v>1981</v>
      </c>
      <c r="B796" t="s">
        <v>2027</v>
      </c>
      <c r="C796" s="2">
        <v>192</v>
      </c>
      <c r="D796" t="s">
        <v>162</v>
      </c>
      <c r="E796" t="s">
        <v>585</v>
      </c>
      <c r="F796" t="s">
        <v>580</v>
      </c>
      <c r="G796" s="5" t="s">
        <v>2391</v>
      </c>
      <c r="H796" t="s">
        <v>2439</v>
      </c>
      <c r="I796" s="6">
        <f t="shared" si="12"/>
        <v>12</v>
      </c>
      <c r="J796" s="2">
        <v>5000</v>
      </c>
      <c r="K796" s="2">
        <v>6.6</v>
      </c>
      <c r="L796" s="4">
        <v>34999</v>
      </c>
      <c r="M796" s="4">
        <v>12999</v>
      </c>
      <c r="N796" s="4">
        <v>1099</v>
      </c>
      <c r="O796" s="4">
        <v>179</v>
      </c>
      <c r="P796" s="4">
        <v>699</v>
      </c>
      <c r="Q796" t="s">
        <v>2368</v>
      </c>
      <c r="R796">
        <v>2024</v>
      </c>
    </row>
    <row r="797" spans="1:18" x14ac:dyDescent="0.25">
      <c r="A797" t="s">
        <v>1981</v>
      </c>
      <c r="B797" t="s">
        <v>2028</v>
      </c>
      <c r="C797" s="2">
        <v>190</v>
      </c>
      <c r="D797" t="s">
        <v>162</v>
      </c>
      <c r="E797" t="s">
        <v>585</v>
      </c>
      <c r="F797" t="s">
        <v>580</v>
      </c>
      <c r="G797" s="5" t="s">
        <v>2391</v>
      </c>
      <c r="H797" t="s">
        <v>2439</v>
      </c>
      <c r="I797" s="6">
        <f t="shared" si="12"/>
        <v>12</v>
      </c>
      <c r="J797" s="2">
        <v>5000</v>
      </c>
      <c r="K797" s="2">
        <v>6.6</v>
      </c>
      <c r="L797" s="4">
        <v>32999</v>
      </c>
      <c r="M797" s="4">
        <v>11999</v>
      </c>
      <c r="N797" s="4">
        <v>999</v>
      </c>
      <c r="O797" s="4">
        <v>149</v>
      </c>
      <c r="P797" s="4">
        <v>599</v>
      </c>
      <c r="Q797" t="s">
        <v>2368</v>
      </c>
      <c r="R797">
        <v>2024</v>
      </c>
    </row>
    <row r="798" spans="1:18" x14ac:dyDescent="0.25">
      <c r="A798" t="s">
        <v>1981</v>
      </c>
      <c r="B798" t="s">
        <v>2029</v>
      </c>
      <c r="C798" s="2">
        <v>195</v>
      </c>
      <c r="D798" t="s">
        <v>256</v>
      </c>
      <c r="E798" t="s">
        <v>508</v>
      </c>
      <c r="F798" t="s">
        <v>307</v>
      </c>
      <c r="G798" s="5" t="s">
        <v>1626</v>
      </c>
      <c r="H798" t="s">
        <v>2439</v>
      </c>
      <c r="I798" s="6">
        <f t="shared" si="12"/>
        <v>3</v>
      </c>
      <c r="J798" s="2">
        <v>5000</v>
      </c>
      <c r="K798" s="2">
        <v>6.52</v>
      </c>
      <c r="L798" s="4">
        <v>22999</v>
      </c>
      <c r="M798" s="4">
        <v>7499</v>
      </c>
      <c r="N798" s="4">
        <v>599</v>
      </c>
      <c r="O798" s="4">
        <v>99</v>
      </c>
      <c r="P798" s="4">
        <v>399</v>
      </c>
      <c r="Q798" t="s">
        <v>2368</v>
      </c>
      <c r="R798">
        <v>2024</v>
      </c>
    </row>
    <row r="799" spans="1:18" x14ac:dyDescent="0.25">
      <c r="A799" t="s">
        <v>1981</v>
      </c>
      <c r="B799" t="s">
        <v>2030</v>
      </c>
      <c r="C799" s="2">
        <v>195</v>
      </c>
      <c r="D799" t="s">
        <v>256</v>
      </c>
      <c r="E799" t="s">
        <v>508</v>
      </c>
      <c r="F799" t="s">
        <v>307</v>
      </c>
      <c r="G799" s="5" t="s">
        <v>1997</v>
      </c>
      <c r="H799" t="s">
        <v>2439</v>
      </c>
      <c r="I799" s="6">
        <f t="shared" si="12"/>
        <v>2</v>
      </c>
      <c r="J799" s="2">
        <v>5000</v>
      </c>
      <c r="K799" s="2">
        <v>6.52</v>
      </c>
      <c r="L799" s="4">
        <v>21999</v>
      </c>
      <c r="M799" s="4">
        <v>6999</v>
      </c>
      <c r="N799" s="4">
        <v>549</v>
      </c>
      <c r="O799" s="4">
        <v>89</v>
      </c>
      <c r="P799" s="4">
        <v>349</v>
      </c>
      <c r="Q799" t="s">
        <v>2368</v>
      </c>
      <c r="R799">
        <v>2024</v>
      </c>
    </row>
    <row r="800" spans="1:18" x14ac:dyDescent="0.25">
      <c r="A800" t="s">
        <v>1981</v>
      </c>
      <c r="B800" t="s">
        <v>2033</v>
      </c>
      <c r="C800" s="2">
        <v>200</v>
      </c>
      <c r="D800" t="s">
        <v>68</v>
      </c>
      <c r="E800" t="s">
        <v>461</v>
      </c>
      <c r="F800" t="s">
        <v>580</v>
      </c>
      <c r="G800" s="5" t="s">
        <v>2390</v>
      </c>
      <c r="H800" t="s">
        <v>2439</v>
      </c>
      <c r="I800" s="6">
        <f t="shared" si="12"/>
        <v>22</v>
      </c>
      <c r="J800" s="2">
        <v>5000</v>
      </c>
      <c r="K800" s="2">
        <v>6.7</v>
      </c>
      <c r="L800" s="4">
        <v>79999</v>
      </c>
      <c r="M800" s="4">
        <v>34999</v>
      </c>
      <c r="N800" s="4">
        <v>2799</v>
      </c>
      <c r="O800" s="4">
        <v>449</v>
      </c>
      <c r="P800" s="4">
        <v>1799</v>
      </c>
      <c r="Q800" t="s">
        <v>2368</v>
      </c>
      <c r="R800">
        <v>2024</v>
      </c>
    </row>
    <row r="801" spans="1:18" x14ac:dyDescent="0.25">
      <c r="A801" t="s">
        <v>1981</v>
      </c>
      <c r="B801" t="s">
        <v>2036</v>
      </c>
      <c r="C801" s="2">
        <v>198</v>
      </c>
      <c r="D801" t="s">
        <v>18</v>
      </c>
      <c r="E801" t="s">
        <v>461</v>
      </c>
      <c r="F801" t="s">
        <v>580</v>
      </c>
      <c r="G801" s="5" t="s">
        <v>2390</v>
      </c>
      <c r="H801" t="s">
        <v>2439</v>
      </c>
      <c r="I801" s="6">
        <f t="shared" si="12"/>
        <v>22</v>
      </c>
      <c r="J801" s="2">
        <v>5000</v>
      </c>
      <c r="K801" s="2">
        <v>6.7</v>
      </c>
      <c r="L801" s="4">
        <v>69999</v>
      </c>
      <c r="M801" s="4">
        <v>29999</v>
      </c>
      <c r="N801" s="4">
        <v>2499</v>
      </c>
      <c r="O801" s="4">
        <v>349</v>
      </c>
      <c r="P801" s="4">
        <v>1299</v>
      </c>
      <c r="Q801" t="s">
        <v>2368</v>
      </c>
      <c r="R801">
        <v>2024</v>
      </c>
    </row>
    <row r="802" spans="1:18" x14ac:dyDescent="0.25">
      <c r="A802" t="s">
        <v>1981</v>
      </c>
      <c r="B802" t="s">
        <v>2037</v>
      </c>
      <c r="C802" s="2">
        <v>195</v>
      </c>
      <c r="D802" t="s">
        <v>18</v>
      </c>
      <c r="E802" t="s">
        <v>461</v>
      </c>
      <c r="F802" t="s">
        <v>580</v>
      </c>
      <c r="G802" s="5" t="s">
        <v>2390</v>
      </c>
      <c r="H802" t="s">
        <v>2439</v>
      </c>
      <c r="I802" s="6">
        <f t="shared" si="12"/>
        <v>22</v>
      </c>
      <c r="J802" s="2">
        <v>5000</v>
      </c>
      <c r="K802" s="2">
        <v>6.7</v>
      </c>
      <c r="L802" s="4">
        <v>69999</v>
      </c>
      <c r="M802" s="4">
        <v>29999</v>
      </c>
      <c r="N802" s="4">
        <v>2499</v>
      </c>
      <c r="O802" s="4">
        <v>349</v>
      </c>
      <c r="P802" s="4">
        <v>1299</v>
      </c>
      <c r="Q802" t="s">
        <v>2368</v>
      </c>
      <c r="R802">
        <v>2024</v>
      </c>
    </row>
    <row r="803" spans="1:18" x14ac:dyDescent="0.25">
      <c r="A803" t="s">
        <v>1981</v>
      </c>
      <c r="B803" t="s">
        <v>2040</v>
      </c>
      <c r="C803" s="2">
        <v>230</v>
      </c>
      <c r="D803" t="s">
        <v>68</v>
      </c>
      <c r="E803" t="s">
        <v>585</v>
      </c>
      <c r="F803" t="s">
        <v>580</v>
      </c>
      <c r="G803" s="5" t="s">
        <v>2390</v>
      </c>
      <c r="H803" t="s">
        <v>2439</v>
      </c>
      <c r="I803" s="6">
        <f t="shared" si="12"/>
        <v>22</v>
      </c>
      <c r="J803" s="2">
        <v>6000</v>
      </c>
      <c r="K803" s="2">
        <v>6.8</v>
      </c>
      <c r="L803" s="4">
        <v>59999</v>
      </c>
      <c r="M803" s="4">
        <v>24999</v>
      </c>
      <c r="N803" s="4">
        <v>2299</v>
      </c>
      <c r="O803" s="4">
        <v>329</v>
      </c>
      <c r="P803" s="4">
        <v>1199</v>
      </c>
      <c r="Q803" t="s">
        <v>2368</v>
      </c>
      <c r="R803">
        <v>2024</v>
      </c>
    </row>
    <row r="804" spans="1:18" x14ac:dyDescent="0.25">
      <c r="A804" t="s">
        <v>1981</v>
      </c>
      <c r="B804" t="s">
        <v>2004</v>
      </c>
      <c r="C804" s="2">
        <v>280</v>
      </c>
      <c r="D804" t="s">
        <v>375</v>
      </c>
      <c r="E804" t="s">
        <v>461</v>
      </c>
      <c r="F804" t="s">
        <v>907</v>
      </c>
      <c r="G804" s="5" t="s">
        <v>2424</v>
      </c>
      <c r="H804" t="s">
        <v>2437</v>
      </c>
      <c r="I804" s="6">
        <f t="shared" si="12"/>
        <v>97</v>
      </c>
      <c r="J804" s="2">
        <v>5500</v>
      </c>
      <c r="K804" s="2">
        <v>7.85</v>
      </c>
      <c r="L804" s="4">
        <v>399999</v>
      </c>
      <c r="M804" s="4">
        <v>169999</v>
      </c>
      <c r="N804" s="4">
        <v>12999</v>
      </c>
      <c r="O804" s="4">
        <v>1799</v>
      </c>
      <c r="P804" s="4">
        <v>6999</v>
      </c>
      <c r="Q804" t="s">
        <v>2368</v>
      </c>
      <c r="R804">
        <v>2024</v>
      </c>
    </row>
    <row r="805" spans="1:18" x14ac:dyDescent="0.25">
      <c r="A805" t="s">
        <v>1981</v>
      </c>
      <c r="B805" t="s">
        <v>2014</v>
      </c>
      <c r="C805" s="2">
        <v>202</v>
      </c>
      <c r="D805" t="s">
        <v>375</v>
      </c>
      <c r="E805" t="s">
        <v>580</v>
      </c>
      <c r="F805" t="s">
        <v>753</v>
      </c>
      <c r="G805" s="5" t="s">
        <v>1203</v>
      </c>
      <c r="H805" t="s">
        <v>2437</v>
      </c>
      <c r="I805" s="6">
        <f t="shared" si="12"/>
        <v>95</v>
      </c>
      <c r="J805" s="2">
        <v>5200</v>
      </c>
      <c r="K805" s="2">
        <v>6.9</v>
      </c>
      <c r="L805" s="4">
        <v>159999</v>
      </c>
      <c r="M805" s="4">
        <v>79999</v>
      </c>
      <c r="N805" s="4">
        <v>6999</v>
      </c>
      <c r="O805" s="4">
        <v>1099</v>
      </c>
      <c r="P805" s="4">
        <v>4199</v>
      </c>
      <c r="Q805" t="s">
        <v>2368</v>
      </c>
      <c r="R805">
        <v>2024</v>
      </c>
    </row>
    <row r="806" spans="1:18" x14ac:dyDescent="0.25">
      <c r="A806" t="s">
        <v>1981</v>
      </c>
      <c r="B806" t="s">
        <v>2020</v>
      </c>
      <c r="C806" s="2">
        <v>210</v>
      </c>
      <c r="D806" t="s">
        <v>375</v>
      </c>
      <c r="E806" t="s">
        <v>580</v>
      </c>
      <c r="F806" t="s">
        <v>753</v>
      </c>
      <c r="G806" s="5" t="s">
        <v>1203</v>
      </c>
      <c r="H806" t="s">
        <v>2437</v>
      </c>
      <c r="I806" s="6">
        <f t="shared" si="12"/>
        <v>95</v>
      </c>
      <c r="J806" s="2">
        <v>5200</v>
      </c>
      <c r="K806" s="2">
        <v>6.9</v>
      </c>
      <c r="L806" s="4">
        <v>179999</v>
      </c>
      <c r="M806" s="4">
        <v>89999</v>
      </c>
      <c r="N806" s="4">
        <v>7499</v>
      </c>
      <c r="O806" s="4">
        <v>1199</v>
      </c>
      <c r="P806" s="4">
        <v>4499</v>
      </c>
      <c r="Q806" t="s">
        <v>2368</v>
      </c>
      <c r="R806">
        <v>2024</v>
      </c>
    </row>
    <row r="807" spans="1:18" x14ac:dyDescent="0.25">
      <c r="A807" t="s">
        <v>1981</v>
      </c>
      <c r="B807" t="s">
        <v>2031</v>
      </c>
      <c r="C807" s="2">
        <v>202</v>
      </c>
      <c r="D807" t="s">
        <v>375</v>
      </c>
      <c r="E807" t="s">
        <v>580</v>
      </c>
      <c r="F807" t="s">
        <v>753</v>
      </c>
      <c r="G807" s="5" t="s">
        <v>1203</v>
      </c>
      <c r="H807" t="s">
        <v>2437</v>
      </c>
      <c r="I807" s="6">
        <f t="shared" si="12"/>
        <v>95</v>
      </c>
      <c r="J807" s="2">
        <v>5200</v>
      </c>
      <c r="K807" s="2">
        <v>6.9</v>
      </c>
      <c r="L807" s="4">
        <v>159999</v>
      </c>
      <c r="M807" s="4">
        <v>79999</v>
      </c>
      <c r="N807" s="4">
        <v>6999</v>
      </c>
      <c r="O807" s="4">
        <v>1099</v>
      </c>
      <c r="P807" s="4">
        <v>4199</v>
      </c>
      <c r="Q807" t="s">
        <v>2368</v>
      </c>
      <c r="R807">
        <v>2024</v>
      </c>
    </row>
    <row r="808" spans="1:18" x14ac:dyDescent="0.25">
      <c r="A808" t="s">
        <v>1981</v>
      </c>
      <c r="B808" t="s">
        <v>1993</v>
      </c>
      <c r="C808" s="2">
        <v>198</v>
      </c>
      <c r="D808" t="s">
        <v>68</v>
      </c>
      <c r="E808" t="s">
        <v>461</v>
      </c>
      <c r="F808" t="s">
        <v>580</v>
      </c>
      <c r="G808" s="5" t="s">
        <v>2377</v>
      </c>
      <c r="H808" t="s">
        <v>2438</v>
      </c>
      <c r="I808" s="6">
        <f t="shared" si="12"/>
        <v>25</v>
      </c>
      <c r="J808" s="2">
        <v>5200</v>
      </c>
      <c r="K808" s="2">
        <v>6.8</v>
      </c>
      <c r="L808" s="4">
        <v>89999</v>
      </c>
      <c r="M808" s="4">
        <v>39999</v>
      </c>
      <c r="N808" s="4">
        <v>3199</v>
      </c>
      <c r="O808" s="4">
        <v>499</v>
      </c>
      <c r="P808" s="4">
        <v>1999</v>
      </c>
      <c r="Q808" t="s">
        <v>2368</v>
      </c>
      <c r="R808">
        <v>2024</v>
      </c>
    </row>
    <row r="809" spans="1:18" x14ac:dyDescent="0.25">
      <c r="A809" t="s">
        <v>1981</v>
      </c>
      <c r="B809" t="s">
        <v>2009</v>
      </c>
      <c r="C809" s="2">
        <v>195</v>
      </c>
      <c r="D809" t="s">
        <v>68</v>
      </c>
      <c r="E809" t="s">
        <v>461</v>
      </c>
      <c r="F809" t="s">
        <v>580</v>
      </c>
      <c r="G809" s="5" t="s">
        <v>2395</v>
      </c>
      <c r="H809" t="s">
        <v>2438</v>
      </c>
      <c r="I809" s="6">
        <f t="shared" si="12"/>
        <v>60</v>
      </c>
      <c r="J809" s="2">
        <v>4300</v>
      </c>
      <c r="K809" s="2">
        <v>6.9</v>
      </c>
      <c r="L809" s="4">
        <v>159999</v>
      </c>
      <c r="M809" s="4">
        <v>79999</v>
      </c>
      <c r="N809" s="4">
        <v>5999</v>
      </c>
      <c r="O809" s="4">
        <v>999</v>
      </c>
      <c r="P809" s="4">
        <v>3999</v>
      </c>
      <c r="Q809" t="s">
        <v>2368</v>
      </c>
      <c r="R809">
        <v>2024</v>
      </c>
    </row>
    <row r="810" spans="1:18" x14ac:dyDescent="0.25">
      <c r="A810" t="s">
        <v>1981</v>
      </c>
      <c r="B810" t="s">
        <v>2011</v>
      </c>
      <c r="C810" s="2">
        <v>225</v>
      </c>
      <c r="D810" t="s">
        <v>68</v>
      </c>
      <c r="E810" t="s">
        <v>585</v>
      </c>
      <c r="F810" t="s">
        <v>580</v>
      </c>
      <c r="G810" s="5" t="s">
        <v>2377</v>
      </c>
      <c r="H810" t="s">
        <v>2438</v>
      </c>
      <c r="I810" s="6">
        <f t="shared" si="12"/>
        <v>25</v>
      </c>
      <c r="J810" s="2">
        <v>6000</v>
      </c>
      <c r="K810" s="2">
        <v>6.8</v>
      </c>
      <c r="L810" s="4">
        <v>69999</v>
      </c>
      <c r="M810" s="4">
        <v>29999</v>
      </c>
      <c r="N810" s="4">
        <v>2499</v>
      </c>
      <c r="O810" s="4">
        <v>349</v>
      </c>
      <c r="P810" s="4">
        <v>1299</v>
      </c>
      <c r="Q810" t="s">
        <v>2368</v>
      </c>
      <c r="R810">
        <v>2024</v>
      </c>
    </row>
    <row r="811" spans="1:18" x14ac:dyDescent="0.25">
      <c r="A811" t="s">
        <v>1981</v>
      </c>
      <c r="B811" t="s">
        <v>2016</v>
      </c>
      <c r="C811" s="2">
        <v>210</v>
      </c>
      <c r="D811" t="s">
        <v>68</v>
      </c>
      <c r="E811" t="s">
        <v>461</v>
      </c>
      <c r="F811" t="s">
        <v>580</v>
      </c>
      <c r="G811" s="5" t="s">
        <v>2377</v>
      </c>
      <c r="H811" t="s">
        <v>2438</v>
      </c>
      <c r="I811" s="6">
        <f t="shared" si="12"/>
        <v>25</v>
      </c>
      <c r="J811" s="2">
        <v>5200</v>
      </c>
      <c r="K811" s="2">
        <v>6.8</v>
      </c>
      <c r="L811" s="4">
        <v>59999</v>
      </c>
      <c r="M811" s="4">
        <v>24999</v>
      </c>
      <c r="N811" s="4">
        <v>2299</v>
      </c>
      <c r="O811" s="4">
        <v>329</v>
      </c>
      <c r="P811" s="4">
        <v>1199</v>
      </c>
      <c r="Q811" t="s">
        <v>2368</v>
      </c>
      <c r="R811">
        <v>2024</v>
      </c>
    </row>
    <row r="812" spans="1:18" x14ac:dyDescent="0.25">
      <c r="A812" t="s">
        <v>1981</v>
      </c>
      <c r="B812" t="s">
        <v>2021</v>
      </c>
      <c r="C812" s="2">
        <v>205</v>
      </c>
      <c r="D812" t="s">
        <v>375</v>
      </c>
      <c r="E812" t="s">
        <v>580</v>
      </c>
      <c r="F812" t="s">
        <v>907</v>
      </c>
      <c r="G812" s="5" t="s">
        <v>2392</v>
      </c>
      <c r="H812" t="s">
        <v>2438</v>
      </c>
      <c r="I812" s="6">
        <f t="shared" si="12"/>
        <v>70</v>
      </c>
      <c r="J812" s="2">
        <v>5200</v>
      </c>
      <c r="K812" s="2">
        <v>6.8</v>
      </c>
      <c r="L812" s="4">
        <v>129999</v>
      </c>
      <c r="M812" s="4">
        <v>64999</v>
      </c>
      <c r="N812" s="4">
        <v>5499</v>
      </c>
      <c r="O812" s="4">
        <v>899</v>
      </c>
      <c r="P812" s="4">
        <v>3299</v>
      </c>
      <c r="Q812" t="s">
        <v>2368</v>
      </c>
      <c r="R812">
        <v>2024</v>
      </c>
    </row>
    <row r="813" spans="1:18" x14ac:dyDescent="0.25">
      <c r="A813" t="s">
        <v>1981</v>
      </c>
      <c r="B813" t="s">
        <v>2022</v>
      </c>
      <c r="C813" s="2">
        <v>198</v>
      </c>
      <c r="D813" t="s">
        <v>68</v>
      </c>
      <c r="E813" t="s">
        <v>461</v>
      </c>
      <c r="F813" t="s">
        <v>580</v>
      </c>
      <c r="G813" s="5" t="s">
        <v>2377</v>
      </c>
      <c r="H813" t="s">
        <v>2438</v>
      </c>
      <c r="I813" s="6">
        <f t="shared" si="12"/>
        <v>25</v>
      </c>
      <c r="J813" s="2">
        <v>5000</v>
      </c>
      <c r="K813" s="2">
        <v>6.7</v>
      </c>
      <c r="L813" s="4">
        <v>89999</v>
      </c>
      <c r="M813" s="4">
        <v>39999</v>
      </c>
      <c r="N813" s="4">
        <v>3199</v>
      </c>
      <c r="O813" s="4">
        <v>499</v>
      </c>
      <c r="P813" s="4">
        <v>1999</v>
      </c>
      <c r="Q813" t="s">
        <v>2368</v>
      </c>
      <c r="R813">
        <v>2024</v>
      </c>
    </row>
    <row r="814" spans="1:18" x14ac:dyDescent="0.25">
      <c r="A814" t="s">
        <v>1981</v>
      </c>
      <c r="B814" t="s">
        <v>2024</v>
      </c>
      <c r="C814" s="2">
        <v>230</v>
      </c>
      <c r="D814" t="s">
        <v>375</v>
      </c>
      <c r="E814" t="s">
        <v>461</v>
      </c>
      <c r="F814" t="s">
        <v>907</v>
      </c>
      <c r="G814" s="5" t="s">
        <v>1229</v>
      </c>
      <c r="H814" t="s">
        <v>2438</v>
      </c>
      <c r="I814" s="6">
        <f t="shared" si="12"/>
        <v>65</v>
      </c>
      <c r="J814" s="2">
        <v>6000</v>
      </c>
      <c r="K814" s="2">
        <v>6.9</v>
      </c>
      <c r="L814" s="4">
        <v>159999</v>
      </c>
      <c r="M814" s="4">
        <v>79999</v>
      </c>
      <c r="N814" s="4">
        <v>6999</v>
      </c>
      <c r="O814" s="4">
        <v>1099</v>
      </c>
      <c r="P814" s="4">
        <v>4199</v>
      </c>
      <c r="Q814" t="s">
        <v>2368</v>
      </c>
      <c r="R814">
        <v>2024</v>
      </c>
    </row>
    <row r="815" spans="1:18" x14ac:dyDescent="0.25">
      <c r="A815" t="s">
        <v>1981</v>
      </c>
      <c r="B815" t="s">
        <v>2032</v>
      </c>
      <c r="C815" s="2">
        <v>202</v>
      </c>
      <c r="D815" t="s">
        <v>375</v>
      </c>
      <c r="E815" t="s">
        <v>580</v>
      </c>
      <c r="F815" t="s">
        <v>753</v>
      </c>
      <c r="G815" s="5" t="s">
        <v>2377</v>
      </c>
      <c r="H815" t="s">
        <v>2438</v>
      </c>
      <c r="I815" s="6">
        <f t="shared" si="12"/>
        <v>25</v>
      </c>
      <c r="J815" s="2">
        <v>5200</v>
      </c>
      <c r="K815" s="2">
        <v>6.9</v>
      </c>
      <c r="L815" s="4">
        <v>129999</v>
      </c>
      <c r="M815" s="4">
        <v>59999</v>
      </c>
      <c r="N815" s="4">
        <v>4999</v>
      </c>
      <c r="O815" s="4">
        <v>899</v>
      </c>
      <c r="P815" s="4">
        <v>3499</v>
      </c>
      <c r="Q815" t="s">
        <v>2368</v>
      </c>
      <c r="R815">
        <v>2024</v>
      </c>
    </row>
    <row r="816" spans="1:18" x14ac:dyDescent="0.25">
      <c r="A816" t="s">
        <v>1981</v>
      </c>
      <c r="B816" t="s">
        <v>2034</v>
      </c>
      <c r="C816" s="2">
        <v>205</v>
      </c>
      <c r="D816" t="s">
        <v>375</v>
      </c>
      <c r="E816" t="s">
        <v>580</v>
      </c>
      <c r="F816" t="s">
        <v>753</v>
      </c>
      <c r="G816" s="5" t="s">
        <v>2392</v>
      </c>
      <c r="H816" t="s">
        <v>2438</v>
      </c>
      <c r="I816" s="6">
        <f t="shared" si="12"/>
        <v>70</v>
      </c>
      <c r="J816" s="2">
        <v>5200</v>
      </c>
      <c r="K816" s="2">
        <v>6.8</v>
      </c>
      <c r="L816" s="4">
        <v>149999</v>
      </c>
      <c r="M816" s="4">
        <v>74999</v>
      </c>
      <c r="N816" s="4">
        <v>6499</v>
      </c>
      <c r="O816" s="4">
        <v>1049</v>
      </c>
      <c r="P816" s="4">
        <v>3999</v>
      </c>
      <c r="Q816" t="s">
        <v>2368</v>
      </c>
      <c r="R816">
        <v>2024</v>
      </c>
    </row>
    <row r="817" spans="1:18" x14ac:dyDescent="0.25">
      <c r="A817" t="s">
        <v>1981</v>
      </c>
      <c r="B817" t="s">
        <v>2035</v>
      </c>
      <c r="C817" s="2">
        <v>200</v>
      </c>
      <c r="D817" t="s">
        <v>68</v>
      </c>
      <c r="E817" t="s">
        <v>461</v>
      </c>
      <c r="F817" t="s">
        <v>580</v>
      </c>
      <c r="G817" s="5" t="s">
        <v>2377</v>
      </c>
      <c r="H817" t="s">
        <v>2438</v>
      </c>
      <c r="I817" s="6">
        <f t="shared" si="12"/>
        <v>25</v>
      </c>
      <c r="J817" s="2">
        <v>5000</v>
      </c>
      <c r="K817" s="2">
        <v>6.7</v>
      </c>
      <c r="L817" s="4">
        <v>89999</v>
      </c>
      <c r="M817" s="4">
        <v>39999</v>
      </c>
      <c r="N817" s="4">
        <v>3199</v>
      </c>
      <c r="O817" s="4">
        <v>499</v>
      </c>
      <c r="P817" s="4">
        <v>1999</v>
      </c>
      <c r="Q817" t="s">
        <v>2368</v>
      </c>
      <c r="R817">
        <v>2024</v>
      </c>
    </row>
    <row r="818" spans="1:18" x14ac:dyDescent="0.25">
      <c r="A818" t="s">
        <v>1981</v>
      </c>
      <c r="B818" t="s">
        <v>2038</v>
      </c>
      <c r="C818" s="2">
        <v>240</v>
      </c>
      <c r="D818" t="s">
        <v>68</v>
      </c>
      <c r="E818" t="s">
        <v>461</v>
      </c>
      <c r="F818" t="s">
        <v>580</v>
      </c>
      <c r="G818" s="5" t="s">
        <v>915</v>
      </c>
      <c r="H818" t="s">
        <v>2438</v>
      </c>
      <c r="I818" s="6">
        <f t="shared" si="12"/>
        <v>28</v>
      </c>
      <c r="J818" s="2">
        <v>6000</v>
      </c>
      <c r="K818" s="2">
        <v>6.9</v>
      </c>
      <c r="L818" s="4">
        <v>119999</v>
      </c>
      <c r="M818" s="4">
        <v>54999</v>
      </c>
      <c r="N818" s="4">
        <v>4499</v>
      </c>
      <c r="O818" s="4">
        <v>699</v>
      </c>
      <c r="P818" s="4">
        <v>2799</v>
      </c>
      <c r="Q818" t="s">
        <v>2368</v>
      </c>
      <c r="R818">
        <v>2024</v>
      </c>
    </row>
    <row r="819" spans="1:18" x14ac:dyDescent="0.25">
      <c r="A819" t="s">
        <v>890</v>
      </c>
      <c r="B819" t="s">
        <v>923</v>
      </c>
      <c r="C819" s="2">
        <v>162</v>
      </c>
      <c r="D819" t="s">
        <v>18</v>
      </c>
      <c r="E819" t="s">
        <v>19</v>
      </c>
      <c r="F819" t="s">
        <v>585</v>
      </c>
      <c r="G819" s="5" t="s">
        <v>924</v>
      </c>
      <c r="H819" t="s">
        <v>2439</v>
      </c>
      <c r="I819" s="6">
        <f t="shared" si="12"/>
        <v>28</v>
      </c>
      <c r="J819" s="2">
        <v>3315</v>
      </c>
      <c r="K819" s="2">
        <v>6.3</v>
      </c>
      <c r="L819" s="4">
        <v>39999</v>
      </c>
      <c r="M819" s="4">
        <v>22999</v>
      </c>
      <c r="N819" s="4">
        <v>1699</v>
      </c>
      <c r="O819" s="4">
        <v>249</v>
      </c>
      <c r="P819" s="4">
        <v>899</v>
      </c>
      <c r="Q819" t="s">
        <v>2368</v>
      </c>
      <c r="R819">
        <v>2018</v>
      </c>
    </row>
    <row r="820" spans="1:18" x14ac:dyDescent="0.25">
      <c r="A820" t="s">
        <v>890</v>
      </c>
      <c r="B820" t="s">
        <v>926</v>
      </c>
      <c r="C820" s="2">
        <v>150</v>
      </c>
      <c r="D820" t="s">
        <v>162</v>
      </c>
      <c r="E820" t="s">
        <v>928</v>
      </c>
      <c r="F820" t="s">
        <v>585</v>
      </c>
      <c r="G820" s="5" t="s">
        <v>929</v>
      </c>
      <c r="H820" t="s">
        <v>2439</v>
      </c>
      <c r="I820" s="6">
        <f t="shared" si="12"/>
        <v>15</v>
      </c>
      <c r="J820" s="2">
        <v>3260</v>
      </c>
      <c r="K820" s="2">
        <v>6.3</v>
      </c>
      <c r="L820" s="4">
        <v>34999</v>
      </c>
      <c r="M820" s="4">
        <v>19999</v>
      </c>
      <c r="N820" s="4">
        <v>1499</v>
      </c>
      <c r="O820" s="4">
        <v>219</v>
      </c>
      <c r="P820" s="4">
        <v>799</v>
      </c>
      <c r="Q820" t="s">
        <v>2368</v>
      </c>
      <c r="R820">
        <v>2018</v>
      </c>
    </row>
    <row r="821" spans="1:18" x14ac:dyDescent="0.25">
      <c r="A821" t="s">
        <v>890</v>
      </c>
      <c r="B821" t="s">
        <v>933</v>
      </c>
      <c r="C821" s="2">
        <v>199</v>
      </c>
      <c r="D821" t="s">
        <v>18</v>
      </c>
      <c r="E821" t="s">
        <v>934</v>
      </c>
      <c r="F821" t="s">
        <v>585</v>
      </c>
      <c r="G821" s="5" t="s">
        <v>622</v>
      </c>
      <c r="H821" t="s">
        <v>2439</v>
      </c>
      <c r="I821" s="6">
        <f t="shared" si="12"/>
        <v>18</v>
      </c>
      <c r="J821" s="2">
        <v>4000</v>
      </c>
      <c r="K821" s="2">
        <v>5.88</v>
      </c>
      <c r="L821" s="4">
        <v>42999</v>
      </c>
      <c r="M821" s="4">
        <v>24999</v>
      </c>
      <c r="N821" s="4">
        <v>2199</v>
      </c>
      <c r="O821" s="4">
        <v>299</v>
      </c>
      <c r="P821" s="4">
        <v>1099</v>
      </c>
      <c r="Q821" t="s">
        <v>2368</v>
      </c>
      <c r="R821">
        <v>2017</v>
      </c>
    </row>
    <row r="822" spans="1:18" x14ac:dyDescent="0.25">
      <c r="A822" t="s">
        <v>890</v>
      </c>
      <c r="B822" t="s">
        <v>937</v>
      </c>
      <c r="C822" s="2">
        <v>146</v>
      </c>
      <c r="D822" t="s">
        <v>256</v>
      </c>
      <c r="E822" t="s">
        <v>508</v>
      </c>
      <c r="F822" t="s">
        <v>475</v>
      </c>
      <c r="G822" s="5" t="s">
        <v>1634</v>
      </c>
      <c r="H822" t="s">
        <v>2439</v>
      </c>
      <c r="I822" s="6">
        <f t="shared" si="12"/>
        <v>4</v>
      </c>
      <c r="J822" s="2">
        <v>3260</v>
      </c>
      <c r="K822" s="2">
        <v>6.22</v>
      </c>
      <c r="L822" s="4">
        <v>22999</v>
      </c>
      <c r="M822" s="4">
        <v>12999</v>
      </c>
      <c r="N822" s="4">
        <v>999</v>
      </c>
      <c r="O822" s="4">
        <v>149</v>
      </c>
      <c r="P822" s="4">
        <v>549</v>
      </c>
      <c r="Q822" t="s">
        <v>2368</v>
      </c>
      <c r="R822">
        <v>2018</v>
      </c>
    </row>
    <row r="823" spans="1:18" x14ac:dyDescent="0.25">
      <c r="A823" t="s">
        <v>890</v>
      </c>
      <c r="B823" t="s">
        <v>943</v>
      </c>
      <c r="C823" s="2">
        <v>146</v>
      </c>
      <c r="D823" t="s">
        <v>613</v>
      </c>
      <c r="E823" t="s">
        <v>508</v>
      </c>
      <c r="F823" t="s">
        <v>475</v>
      </c>
      <c r="G823" s="5" t="s">
        <v>944</v>
      </c>
      <c r="H823" t="s">
        <v>2439</v>
      </c>
      <c r="I823" s="6">
        <f t="shared" si="12"/>
        <v>8</v>
      </c>
      <c r="J823" s="2">
        <v>2300</v>
      </c>
      <c r="K823" s="2">
        <v>5.5</v>
      </c>
      <c r="L823" s="4">
        <v>29999</v>
      </c>
      <c r="M823" s="4">
        <v>16999</v>
      </c>
      <c r="N823" s="4">
        <v>1299</v>
      </c>
      <c r="O823" s="4">
        <v>199</v>
      </c>
      <c r="P823" s="4">
        <v>699</v>
      </c>
      <c r="Q823" t="s">
        <v>2368</v>
      </c>
      <c r="R823">
        <v>2014</v>
      </c>
    </row>
    <row r="824" spans="1:18" x14ac:dyDescent="0.25">
      <c r="A824" t="s">
        <v>890</v>
      </c>
      <c r="B824" t="s">
        <v>946</v>
      </c>
      <c r="C824" s="2">
        <v>158</v>
      </c>
      <c r="D824" t="s">
        <v>162</v>
      </c>
      <c r="E824" t="s">
        <v>934</v>
      </c>
      <c r="F824" t="s">
        <v>585</v>
      </c>
      <c r="G824" s="5" t="s">
        <v>628</v>
      </c>
      <c r="H824" t="s">
        <v>2439</v>
      </c>
      <c r="I824" s="6">
        <f t="shared" si="12"/>
        <v>14</v>
      </c>
      <c r="J824" s="2">
        <v>3055</v>
      </c>
      <c r="K824" s="2">
        <v>5.5</v>
      </c>
      <c r="L824" s="4">
        <v>39999</v>
      </c>
      <c r="M824" s="4">
        <v>22999</v>
      </c>
      <c r="N824" s="4">
        <v>1699</v>
      </c>
      <c r="O824" s="4">
        <v>249</v>
      </c>
      <c r="P824" s="4">
        <v>899</v>
      </c>
      <c r="Q824" t="s">
        <v>2368</v>
      </c>
      <c r="R824">
        <v>2017</v>
      </c>
    </row>
    <row r="825" spans="1:18" x14ac:dyDescent="0.25">
      <c r="A825" t="s">
        <v>890</v>
      </c>
      <c r="B825" t="s">
        <v>949</v>
      </c>
      <c r="C825" s="2">
        <v>163</v>
      </c>
      <c r="D825" t="s">
        <v>162</v>
      </c>
      <c r="E825" t="s">
        <v>951</v>
      </c>
      <c r="F825" t="s">
        <v>952</v>
      </c>
      <c r="G825" s="5" t="s">
        <v>953</v>
      </c>
      <c r="H825" t="s">
        <v>2439</v>
      </c>
      <c r="I825" s="6">
        <f t="shared" si="12"/>
        <v>12</v>
      </c>
      <c r="J825" s="2">
        <v>4030</v>
      </c>
      <c r="K825" s="2">
        <v>6.22</v>
      </c>
      <c r="L825" s="4">
        <v>29999</v>
      </c>
      <c r="M825" s="4">
        <v>16999</v>
      </c>
      <c r="N825" s="4">
        <v>1299</v>
      </c>
      <c r="O825" s="4">
        <v>199</v>
      </c>
      <c r="P825" s="4">
        <v>699</v>
      </c>
      <c r="Q825" t="s">
        <v>2368</v>
      </c>
      <c r="R825">
        <v>2018</v>
      </c>
    </row>
    <row r="826" spans="1:18" x14ac:dyDescent="0.25">
      <c r="A826" t="s">
        <v>890</v>
      </c>
      <c r="B826" t="s">
        <v>955</v>
      </c>
      <c r="C826" s="2">
        <v>168</v>
      </c>
      <c r="D826" t="s">
        <v>162</v>
      </c>
      <c r="E826" t="s">
        <v>307</v>
      </c>
      <c r="F826" t="s">
        <v>475</v>
      </c>
      <c r="G826" s="5" t="s">
        <v>956</v>
      </c>
      <c r="H826" t="s">
        <v>2439</v>
      </c>
      <c r="I826" s="6">
        <f t="shared" si="12"/>
        <v>17</v>
      </c>
      <c r="J826" s="2">
        <v>3000</v>
      </c>
      <c r="K826" s="2">
        <v>5.5</v>
      </c>
      <c r="L826" s="4">
        <v>24999</v>
      </c>
      <c r="M826" s="4">
        <v>13999</v>
      </c>
      <c r="N826" s="4">
        <v>1199</v>
      </c>
      <c r="O826" s="4">
        <v>179</v>
      </c>
      <c r="P826" s="4">
        <v>649</v>
      </c>
      <c r="Q826" t="s">
        <v>2368</v>
      </c>
      <c r="R826">
        <v>2016</v>
      </c>
    </row>
    <row r="827" spans="1:18" x14ac:dyDescent="0.25">
      <c r="A827" t="s">
        <v>890</v>
      </c>
      <c r="B827" t="s">
        <v>960</v>
      </c>
      <c r="C827" s="2">
        <v>153</v>
      </c>
      <c r="D827" t="s">
        <v>962</v>
      </c>
      <c r="E827" t="s">
        <v>508</v>
      </c>
      <c r="F827" t="s">
        <v>475</v>
      </c>
      <c r="G827" s="5" t="s">
        <v>963</v>
      </c>
      <c r="H827" t="s">
        <v>2439</v>
      </c>
      <c r="I827" s="6">
        <f t="shared" si="12"/>
        <v>10</v>
      </c>
      <c r="J827" s="2">
        <v>2000</v>
      </c>
      <c r="K827" s="2">
        <v>5</v>
      </c>
      <c r="L827" s="4">
        <v>19999</v>
      </c>
      <c r="M827" s="4">
        <v>10999</v>
      </c>
      <c r="N827" s="4">
        <v>899</v>
      </c>
      <c r="O827" s="4">
        <v>139</v>
      </c>
      <c r="P827" s="4">
        <v>499</v>
      </c>
      <c r="Q827" t="s">
        <v>2368</v>
      </c>
      <c r="R827">
        <v>2014</v>
      </c>
    </row>
    <row r="828" spans="1:18" x14ac:dyDescent="0.25">
      <c r="A828" t="s">
        <v>890</v>
      </c>
      <c r="B828" t="s">
        <v>969</v>
      </c>
      <c r="C828" s="2">
        <v>155</v>
      </c>
      <c r="D828" t="s">
        <v>256</v>
      </c>
      <c r="E828" t="s">
        <v>585</v>
      </c>
      <c r="F828" t="s">
        <v>475</v>
      </c>
      <c r="G828" s="5" t="s">
        <v>970</v>
      </c>
      <c r="H828" t="s">
        <v>2439</v>
      </c>
      <c r="I828" s="6">
        <f t="shared" si="12"/>
        <v>10</v>
      </c>
      <c r="J828" s="2">
        <v>3000</v>
      </c>
      <c r="K828" s="2">
        <v>5.5</v>
      </c>
      <c r="L828" s="4">
        <v>27999</v>
      </c>
      <c r="M828" s="4">
        <v>14999</v>
      </c>
      <c r="N828" s="4">
        <v>1199</v>
      </c>
      <c r="O828" s="4">
        <v>179</v>
      </c>
      <c r="P828" s="4">
        <v>649</v>
      </c>
      <c r="Q828" t="s">
        <v>2368</v>
      </c>
      <c r="R828">
        <v>2017</v>
      </c>
    </row>
    <row r="829" spans="1:18" x14ac:dyDescent="0.25">
      <c r="A829" t="s">
        <v>890</v>
      </c>
      <c r="B829" t="s">
        <v>972</v>
      </c>
      <c r="C829" s="2">
        <v>176</v>
      </c>
      <c r="D829" t="s">
        <v>68</v>
      </c>
      <c r="E829" t="s">
        <v>461</v>
      </c>
      <c r="F829" t="s">
        <v>20</v>
      </c>
      <c r="G829" s="5" t="s">
        <v>2426</v>
      </c>
      <c r="H829" t="s">
        <v>2439</v>
      </c>
      <c r="I829" s="6">
        <f t="shared" si="12"/>
        <v>30</v>
      </c>
      <c r="J829" s="2">
        <v>4500</v>
      </c>
      <c r="K829" s="2">
        <v>6.44</v>
      </c>
      <c r="L829" s="4">
        <v>49999</v>
      </c>
      <c r="M829" s="4">
        <v>27990</v>
      </c>
      <c r="N829" s="4">
        <v>2799</v>
      </c>
      <c r="O829" s="4">
        <v>399</v>
      </c>
      <c r="P829" s="4">
        <v>1499</v>
      </c>
      <c r="Q829" t="s">
        <v>2368</v>
      </c>
      <c r="R829">
        <v>2020</v>
      </c>
    </row>
    <row r="830" spans="1:18" x14ac:dyDescent="0.25">
      <c r="A830" t="s">
        <v>890</v>
      </c>
      <c r="B830" t="s">
        <v>976</v>
      </c>
      <c r="C830" s="2">
        <v>176</v>
      </c>
      <c r="D830" t="s">
        <v>68</v>
      </c>
      <c r="E830" t="s">
        <v>461</v>
      </c>
      <c r="F830" t="s">
        <v>20</v>
      </c>
      <c r="G830" s="5" t="s">
        <v>2426</v>
      </c>
      <c r="H830" t="s">
        <v>2439</v>
      </c>
      <c r="I830" s="6">
        <f t="shared" si="12"/>
        <v>30</v>
      </c>
      <c r="J830" s="2">
        <v>4500</v>
      </c>
      <c r="K830" s="2">
        <v>6.44</v>
      </c>
      <c r="L830" s="4">
        <v>54999</v>
      </c>
      <c r="M830" s="4">
        <v>31990</v>
      </c>
      <c r="N830" s="4">
        <v>3199</v>
      </c>
      <c r="O830" s="4">
        <v>429</v>
      </c>
      <c r="P830" s="4">
        <v>1599</v>
      </c>
      <c r="Q830" t="s">
        <v>2368</v>
      </c>
      <c r="R830">
        <v>2020</v>
      </c>
    </row>
    <row r="831" spans="1:18" x14ac:dyDescent="0.25">
      <c r="A831" t="s">
        <v>890</v>
      </c>
      <c r="B831" t="s">
        <v>979</v>
      </c>
      <c r="C831" s="2">
        <v>201</v>
      </c>
      <c r="D831" t="s">
        <v>68</v>
      </c>
      <c r="E831" t="s">
        <v>461</v>
      </c>
      <c r="F831" t="s">
        <v>20</v>
      </c>
      <c r="G831" s="5" t="s">
        <v>2427</v>
      </c>
      <c r="H831" t="s">
        <v>2439</v>
      </c>
      <c r="I831" s="6">
        <f t="shared" si="12"/>
        <v>25</v>
      </c>
      <c r="J831" s="2">
        <v>4100</v>
      </c>
      <c r="K831" s="2">
        <v>6.44</v>
      </c>
      <c r="L831" s="4">
        <v>54999</v>
      </c>
      <c r="M831" s="4">
        <v>27990</v>
      </c>
      <c r="N831" s="4">
        <v>2999</v>
      </c>
      <c r="O831" s="4">
        <v>399</v>
      </c>
      <c r="P831" s="4">
        <v>1499</v>
      </c>
      <c r="Q831" t="s">
        <v>2368</v>
      </c>
      <c r="R831">
        <v>2019</v>
      </c>
    </row>
    <row r="832" spans="1:18" x14ac:dyDescent="0.25">
      <c r="A832" t="s">
        <v>890</v>
      </c>
      <c r="B832" t="s">
        <v>982</v>
      </c>
      <c r="C832" s="2">
        <v>201</v>
      </c>
      <c r="D832" t="s">
        <v>68</v>
      </c>
      <c r="E832" t="s">
        <v>461</v>
      </c>
      <c r="F832" t="s">
        <v>20</v>
      </c>
      <c r="G832" s="5" t="s">
        <v>2427</v>
      </c>
      <c r="H832" t="s">
        <v>2439</v>
      </c>
      <c r="I832" s="6">
        <f t="shared" si="12"/>
        <v>25</v>
      </c>
      <c r="J832" s="2">
        <v>4100</v>
      </c>
      <c r="K832" s="2">
        <v>6.44</v>
      </c>
      <c r="L832" s="4">
        <v>59999</v>
      </c>
      <c r="M832" s="4">
        <v>33990</v>
      </c>
      <c r="N832" s="4">
        <v>3199</v>
      </c>
      <c r="O832" s="4">
        <v>429</v>
      </c>
      <c r="P832" s="4">
        <v>1599</v>
      </c>
      <c r="Q832" t="s">
        <v>2368</v>
      </c>
      <c r="R832">
        <v>2019</v>
      </c>
    </row>
    <row r="833" spans="1:18" x14ac:dyDescent="0.25">
      <c r="A833" t="s">
        <v>890</v>
      </c>
      <c r="B833" t="s">
        <v>984</v>
      </c>
      <c r="C833" s="2">
        <v>191</v>
      </c>
      <c r="D833" t="s">
        <v>256</v>
      </c>
      <c r="E833" t="s">
        <v>307</v>
      </c>
      <c r="F833" t="s">
        <v>475</v>
      </c>
      <c r="G833" s="5" t="s">
        <v>2421</v>
      </c>
      <c r="H833" t="s">
        <v>2439</v>
      </c>
      <c r="I833" s="6">
        <f t="shared" si="12"/>
        <v>5</v>
      </c>
      <c r="J833" s="2">
        <v>5000</v>
      </c>
      <c r="K833" s="2">
        <v>6.51</v>
      </c>
      <c r="L833" s="4">
        <v>18999</v>
      </c>
      <c r="M833" s="4">
        <v>10990</v>
      </c>
      <c r="N833" s="4">
        <v>899</v>
      </c>
      <c r="O833" s="4">
        <v>159</v>
      </c>
      <c r="P833" s="4">
        <v>599</v>
      </c>
      <c r="Q833" t="s">
        <v>2368</v>
      </c>
      <c r="R833">
        <v>2020</v>
      </c>
    </row>
    <row r="834" spans="1:18" x14ac:dyDescent="0.25">
      <c r="A834" t="s">
        <v>890</v>
      </c>
      <c r="B834" t="s">
        <v>989</v>
      </c>
      <c r="C834" s="2">
        <v>191</v>
      </c>
      <c r="D834" t="s">
        <v>162</v>
      </c>
      <c r="E834" t="s">
        <v>307</v>
      </c>
      <c r="F834" t="s">
        <v>475</v>
      </c>
      <c r="G834" s="5" t="s">
        <v>2421</v>
      </c>
      <c r="H834" t="s">
        <v>2439</v>
      </c>
      <c r="I834" s="6">
        <f t="shared" ref="I834:I897" si="13">_xlfn.XLOOKUP(G834, $T$2:$T$183,$U$2:$U$183,"Unknown",0)</f>
        <v>5</v>
      </c>
      <c r="J834" s="2">
        <v>5000</v>
      </c>
      <c r="K834" s="2">
        <v>6.51</v>
      </c>
      <c r="L834" s="4">
        <v>22999</v>
      </c>
      <c r="M834" s="4">
        <v>13990</v>
      </c>
      <c r="N834" s="4">
        <v>1099</v>
      </c>
      <c r="O834" s="4">
        <v>179</v>
      </c>
      <c r="P834" s="4">
        <v>699</v>
      </c>
      <c r="Q834" t="s">
        <v>2368</v>
      </c>
      <c r="R834">
        <v>2020</v>
      </c>
    </row>
    <row r="835" spans="1:18" x14ac:dyDescent="0.25">
      <c r="A835" t="s">
        <v>890</v>
      </c>
      <c r="B835" t="s">
        <v>991</v>
      </c>
      <c r="C835" s="2">
        <v>185</v>
      </c>
      <c r="D835" t="s">
        <v>18</v>
      </c>
      <c r="E835" t="s">
        <v>461</v>
      </c>
      <c r="F835" t="s">
        <v>20</v>
      </c>
      <c r="G835" s="5" t="s">
        <v>2428</v>
      </c>
      <c r="H835" t="s">
        <v>2439</v>
      </c>
      <c r="I835" s="6">
        <f t="shared" si="13"/>
        <v>6</v>
      </c>
      <c r="J835" s="2">
        <v>4500</v>
      </c>
      <c r="K835" s="2">
        <v>6.38</v>
      </c>
      <c r="L835" s="4">
        <v>39999</v>
      </c>
      <c r="M835" s="4">
        <v>19990</v>
      </c>
      <c r="N835" s="4">
        <v>2299</v>
      </c>
      <c r="O835" s="4">
        <v>249</v>
      </c>
      <c r="P835" s="4">
        <v>999</v>
      </c>
      <c r="Q835" t="s">
        <v>2368</v>
      </c>
      <c r="R835">
        <v>2019</v>
      </c>
    </row>
    <row r="836" spans="1:18" x14ac:dyDescent="0.25">
      <c r="A836" t="s">
        <v>890</v>
      </c>
      <c r="B836" t="s">
        <v>993</v>
      </c>
      <c r="C836" s="2">
        <v>185</v>
      </c>
      <c r="D836" t="s">
        <v>18</v>
      </c>
      <c r="E836" t="s">
        <v>461</v>
      </c>
      <c r="F836" t="s">
        <v>20</v>
      </c>
      <c r="G836" s="5" t="s">
        <v>2428</v>
      </c>
      <c r="H836" t="s">
        <v>2439</v>
      </c>
      <c r="I836" s="6">
        <f t="shared" si="13"/>
        <v>6</v>
      </c>
      <c r="J836" s="2">
        <v>4500</v>
      </c>
      <c r="K836" s="2">
        <v>6.38</v>
      </c>
      <c r="L836" s="4">
        <v>44999</v>
      </c>
      <c r="M836" s="4">
        <v>24990</v>
      </c>
      <c r="N836" s="4">
        <v>2499</v>
      </c>
      <c r="O836" s="4">
        <v>269</v>
      </c>
      <c r="P836" s="4">
        <v>1099</v>
      </c>
      <c r="Q836" t="s">
        <v>2368</v>
      </c>
      <c r="R836">
        <v>2019</v>
      </c>
    </row>
    <row r="837" spans="1:18" x14ac:dyDescent="0.25">
      <c r="A837" t="s">
        <v>890</v>
      </c>
      <c r="B837" t="s">
        <v>997</v>
      </c>
      <c r="C837" s="2">
        <v>190</v>
      </c>
      <c r="D837" t="s">
        <v>256</v>
      </c>
      <c r="E837" t="s">
        <v>307</v>
      </c>
      <c r="F837" t="s">
        <v>475</v>
      </c>
      <c r="G837" s="5" t="s">
        <v>953</v>
      </c>
      <c r="H837" t="s">
        <v>2439</v>
      </c>
      <c r="I837" s="6">
        <f t="shared" si="13"/>
        <v>12</v>
      </c>
      <c r="J837" s="2">
        <v>5000</v>
      </c>
      <c r="K837" s="2">
        <v>6.35</v>
      </c>
      <c r="L837" s="4">
        <v>18499</v>
      </c>
      <c r="M837" s="4">
        <v>10999</v>
      </c>
      <c r="N837" s="4">
        <v>899</v>
      </c>
      <c r="O837" s="4">
        <v>149</v>
      </c>
      <c r="P837" s="4">
        <v>599</v>
      </c>
      <c r="Q837" t="s">
        <v>2368</v>
      </c>
      <c r="R837">
        <v>2019</v>
      </c>
    </row>
    <row r="838" spans="1:18" x14ac:dyDescent="0.25">
      <c r="A838" t="s">
        <v>890</v>
      </c>
      <c r="B838" t="s">
        <v>1001</v>
      </c>
      <c r="C838" s="2">
        <v>190</v>
      </c>
      <c r="D838" t="s">
        <v>256</v>
      </c>
      <c r="E838" t="s">
        <v>307</v>
      </c>
      <c r="F838" t="s">
        <v>475</v>
      </c>
      <c r="G838" s="5" t="s">
        <v>953</v>
      </c>
      <c r="H838" t="s">
        <v>2439</v>
      </c>
      <c r="I838" s="6">
        <f t="shared" si="13"/>
        <v>12</v>
      </c>
      <c r="J838" s="2">
        <v>5000</v>
      </c>
      <c r="K838" s="2">
        <v>6.35</v>
      </c>
      <c r="L838" s="4">
        <v>22499</v>
      </c>
      <c r="M838" s="4">
        <v>13490</v>
      </c>
      <c r="N838" s="4">
        <v>1099</v>
      </c>
      <c r="O838" s="4">
        <v>169</v>
      </c>
      <c r="P838" s="4">
        <v>649</v>
      </c>
      <c r="Q838" t="s">
        <v>2368</v>
      </c>
      <c r="R838">
        <v>2019</v>
      </c>
    </row>
    <row r="839" spans="1:18" x14ac:dyDescent="0.25">
      <c r="A839" t="s">
        <v>890</v>
      </c>
      <c r="B839" t="s">
        <v>1004</v>
      </c>
      <c r="C839" s="2">
        <v>190</v>
      </c>
      <c r="D839" t="s">
        <v>18</v>
      </c>
      <c r="E839" t="s">
        <v>461</v>
      </c>
      <c r="F839" t="s">
        <v>20</v>
      </c>
      <c r="G839" s="5" t="s">
        <v>2429</v>
      </c>
      <c r="H839" t="s">
        <v>2439</v>
      </c>
      <c r="I839" s="6">
        <f t="shared" si="13"/>
        <v>8</v>
      </c>
      <c r="J839" s="2">
        <v>4000</v>
      </c>
      <c r="K839" s="2">
        <v>6.53</v>
      </c>
      <c r="L839" s="4">
        <v>34999</v>
      </c>
      <c r="M839" s="4">
        <v>22990</v>
      </c>
      <c r="N839" s="4">
        <v>2199</v>
      </c>
      <c r="O839" s="4">
        <v>299</v>
      </c>
      <c r="P839" s="4">
        <v>1099</v>
      </c>
      <c r="Q839" t="s">
        <v>2368</v>
      </c>
      <c r="R839">
        <v>2019</v>
      </c>
    </row>
    <row r="840" spans="1:18" x14ac:dyDescent="0.25">
      <c r="A840" t="s">
        <v>890</v>
      </c>
      <c r="B840" t="s">
        <v>1007</v>
      </c>
      <c r="C840" s="2">
        <v>190</v>
      </c>
      <c r="D840" t="s">
        <v>18</v>
      </c>
      <c r="E840" t="s">
        <v>461</v>
      </c>
      <c r="F840" t="s">
        <v>20</v>
      </c>
      <c r="G840" s="5" t="s">
        <v>2429</v>
      </c>
      <c r="H840" t="s">
        <v>2439</v>
      </c>
      <c r="I840" s="6">
        <f t="shared" si="13"/>
        <v>8</v>
      </c>
      <c r="J840" s="2">
        <v>4000</v>
      </c>
      <c r="K840" s="2">
        <v>6.53</v>
      </c>
      <c r="L840" s="4">
        <v>39999</v>
      </c>
      <c r="M840" s="4">
        <v>26990</v>
      </c>
      <c r="N840" s="4">
        <v>2399</v>
      </c>
      <c r="O840" s="4">
        <v>319</v>
      </c>
      <c r="P840" s="4">
        <v>1199</v>
      </c>
      <c r="Q840" t="s">
        <v>2368</v>
      </c>
      <c r="R840">
        <v>2019</v>
      </c>
    </row>
    <row r="841" spans="1:18" x14ac:dyDescent="0.25">
      <c r="A841" t="s">
        <v>890</v>
      </c>
      <c r="B841" t="s">
        <v>1010</v>
      </c>
      <c r="C841" s="2">
        <v>190</v>
      </c>
      <c r="D841" t="s">
        <v>68</v>
      </c>
      <c r="E841" t="s">
        <v>461</v>
      </c>
      <c r="F841" t="s">
        <v>20</v>
      </c>
      <c r="G841" s="5" t="s">
        <v>924</v>
      </c>
      <c r="H841" t="s">
        <v>2439</v>
      </c>
      <c r="I841" s="6">
        <f t="shared" si="13"/>
        <v>28</v>
      </c>
      <c r="J841" s="2">
        <v>4000</v>
      </c>
      <c r="K841" s="2">
        <v>6.39</v>
      </c>
      <c r="L841" s="4">
        <v>59999</v>
      </c>
      <c r="M841" s="4">
        <v>35990</v>
      </c>
      <c r="N841" s="4">
        <v>3499</v>
      </c>
      <c r="O841" s="4">
        <v>499</v>
      </c>
      <c r="P841" s="4">
        <v>1799</v>
      </c>
      <c r="Q841" t="s">
        <v>2368</v>
      </c>
      <c r="R841">
        <v>2019</v>
      </c>
    </row>
    <row r="842" spans="1:18" x14ac:dyDescent="0.25">
      <c r="A842" t="s">
        <v>890</v>
      </c>
      <c r="B842" t="s">
        <v>1014</v>
      </c>
      <c r="C842" s="2">
        <v>190</v>
      </c>
      <c r="D842" t="s">
        <v>68</v>
      </c>
      <c r="E842" t="s">
        <v>461</v>
      </c>
      <c r="F842" t="s">
        <v>20</v>
      </c>
      <c r="G842" s="5" t="s">
        <v>924</v>
      </c>
      <c r="H842" t="s">
        <v>2439</v>
      </c>
      <c r="I842" s="6">
        <f t="shared" si="13"/>
        <v>28</v>
      </c>
      <c r="J842" s="2">
        <v>4000</v>
      </c>
      <c r="K842" s="2">
        <v>6.39</v>
      </c>
      <c r="L842" s="4">
        <v>64999</v>
      </c>
      <c r="M842" s="4">
        <v>39990</v>
      </c>
      <c r="N842" s="4">
        <v>3799</v>
      </c>
      <c r="O842" s="4">
        <v>549</v>
      </c>
      <c r="P842" s="4">
        <v>1999</v>
      </c>
      <c r="Q842" t="s">
        <v>2368</v>
      </c>
      <c r="R842">
        <v>2019</v>
      </c>
    </row>
    <row r="843" spans="1:18" x14ac:dyDescent="0.25">
      <c r="A843" t="s">
        <v>890</v>
      </c>
      <c r="B843" t="s">
        <v>1016</v>
      </c>
      <c r="C843" s="2">
        <v>193</v>
      </c>
      <c r="D843" t="s">
        <v>162</v>
      </c>
      <c r="E843" t="s">
        <v>307</v>
      </c>
      <c r="F843" t="s">
        <v>475</v>
      </c>
      <c r="G843" s="5" t="s">
        <v>2421</v>
      </c>
      <c r="H843" t="s">
        <v>2439</v>
      </c>
      <c r="I843" s="6">
        <f t="shared" si="13"/>
        <v>5</v>
      </c>
      <c r="J843" s="2">
        <v>5000</v>
      </c>
      <c r="K843" s="2">
        <v>6.47</v>
      </c>
      <c r="L843" s="4">
        <v>24999</v>
      </c>
      <c r="M843" s="4">
        <v>14990</v>
      </c>
      <c r="N843" s="4">
        <v>1499</v>
      </c>
      <c r="O843" s="4">
        <v>199</v>
      </c>
      <c r="P843" s="4">
        <v>749</v>
      </c>
      <c r="Q843" t="s">
        <v>2368</v>
      </c>
      <c r="R843">
        <v>2020</v>
      </c>
    </row>
    <row r="844" spans="1:18" x14ac:dyDescent="0.25">
      <c r="A844" t="s">
        <v>890</v>
      </c>
      <c r="B844" t="s">
        <v>1021</v>
      </c>
      <c r="C844" s="2">
        <v>193</v>
      </c>
      <c r="D844" t="s">
        <v>256</v>
      </c>
      <c r="E844" t="s">
        <v>307</v>
      </c>
      <c r="F844" t="s">
        <v>475</v>
      </c>
      <c r="G844" s="5" t="s">
        <v>2421</v>
      </c>
      <c r="H844" t="s">
        <v>2439</v>
      </c>
      <c r="I844" s="6">
        <f t="shared" si="13"/>
        <v>5</v>
      </c>
      <c r="J844" s="2">
        <v>5000</v>
      </c>
      <c r="K844" s="2">
        <v>6.47</v>
      </c>
      <c r="L844" s="4">
        <v>19999</v>
      </c>
      <c r="M844" s="4">
        <v>11990</v>
      </c>
      <c r="N844" s="4">
        <v>1299</v>
      </c>
      <c r="O844" s="4">
        <v>169</v>
      </c>
      <c r="P844" s="4">
        <v>649</v>
      </c>
      <c r="Q844" t="s">
        <v>2368</v>
      </c>
      <c r="R844">
        <v>2020</v>
      </c>
    </row>
    <row r="845" spans="1:18" x14ac:dyDescent="0.25">
      <c r="A845" t="s">
        <v>890</v>
      </c>
      <c r="B845" t="s">
        <v>1023</v>
      </c>
      <c r="C845" s="2">
        <v>159</v>
      </c>
      <c r="D845" t="s">
        <v>162</v>
      </c>
      <c r="E845" t="s">
        <v>585</v>
      </c>
      <c r="F845" t="s">
        <v>585</v>
      </c>
      <c r="G845" s="5" t="s">
        <v>2426</v>
      </c>
      <c r="H845" t="s">
        <v>2439</v>
      </c>
      <c r="I845" s="6">
        <f t="shared" si="13"/>
        <v>30</v>
      </c>
      <c r="J845" s="2">
        <v>4500</v>
      </c>
      <c r="K845" s="2">
        <v>6.53</v>
      </c>
      <c r="L845" s="4">
        <v>29999</v>
      </c>
      <c r="M845" s="4">
        <v>18990</v>
      </c>
      <c r="N845" s="4">
        <v>1799</v>
      </c>
      <c r="O845" s="4">
        <v>249</v>
      </c>
      <c r="P845" s="4">
        <v>899</v>
      </c>
      <c r="Q845" t="s">
        <v>2368</v>
      </c>
      <c r="R845">
        <v>2019</v>
      </c>
    </row>
    <row r="846" spans="1:18" x14ac:dyDescent="0.25">
      <c r="A846" t="s">
        <v>890</v>
      </c>
      <c r="B846" t="s">
        <v>1025</v>
      </c>
      <c r="C846" s="2">
        <v>159</v>
      </c>
      <c r="D846" t="s">
        <v>18</v>
      </c>
      <c r="E846" t="s">
        <v>585</v>
      </c>
      <c r="F846" t="s">
        <v>585</v>
      </c>
      <c r="G846" s="5" t="s">
        <v>2426</v>
      </c>
      <c r="H846" t="s">
        <v>2439</v>
      </c>
      <c r="I846" s="6">
        <f t="shared" si="13"/>
        <v>30</v>
      </c>
      <c r="J846" s="2">
        <v>4500</v>
      </c>
      <c r="K846" s="2">
        <v>6.53</v>
      </c>
      <c r="L846" s="4">
        <v>34999</v>
      </c>
      <c r="M846" s="4">
        <v>22990</v>
      </c>
      <c r="N846" s="4">
        <v>2099</v>
      </c>
      <c r="O846" s="4">
        <v>299</v>
      </c>
      <c r="P846" s="4">
        <v>999</v>
      </c>
      <c r="Q846" t="s">
        <v>2368</v>
      </c>
      <c r="R846">
        <v>2019</v>
      </c>
    </row>
    <row r="847" spans="1:18" x14ac:dyDescent="0.25">
      <c r="A847" t="s">
        <v>890</v>
      </c>
      <c r="B847" t="s">
        <v>1026</v>
      </c>
      <c r="C847" s="2">
        <v>156</v>
      </c>
      <c r="D847" t="s">
        <v>18</v>
      </c>
      <c r="E847" t="s">
        <v>19</v>
      </c>
      <c r="F847" t="s">
        <v>19</v>
      </c>
      <c r="G847" s="5" t="s">
        <v>2430</v>
      </c>
      <c r="H847" t="s">
        <v>2439</v>
      </c>
      <c r="I847" s="6">
        <f t="shared" si="13"/>
        <v>22</v>
      </c>
      <c r="J847" s="2">
        <v>3200</v>
      </c>
      <c r="K847" s="2">
        <v>6.28</v>
      </c>
      <c r="L847" s="4">
        <v>39999</v>
      </c>
      <c r="M847" s="4">
        <v>24990</v>
      </c>
      <c r="N847" s="4">
        <v>2299</v>
      </c>
      <c r="O847" s="4">
        <v>349</v>
      </c>
      <c r="P847" s="4">
        <v>1199</v>
      </c>
      <c r="Q847" t="s">
        <v>2368</v>
      </c>
      <c r="R847">
        <v>2018</v>
      </c>
    </row>
    <row r="848" spans="1:18" x14ac:dyDescent="0.25">
      <c r="A848" t="s">
        <v>890</v>
      </c>
      <c r="B848" t="s">
        <v>1030</v>
      </c>
      <c r="C848" s="2">
        <v>156</v>
      </c>
      <c r="D848" t="s">
        <v>162</v>
      </c>
      <c r="E848" t="s">
        <v>19</v>
      </c>
      <c r="F848" t="s">
        <v>19</v>
      </c>
      <c r="G848" s="5" t="s">
        <v>2430</v>
      </c>
      <c r="H848" t="s">
        <v>2439</v>
      </c>
      <c r="I848" s="6">
        <f t="shared" si="13"/>
        <v>22</v>
      </c>
      <c r="J848" s="2">
        <v>3200</v>
      </c>
      <c r="K848" s="2">
        <v>6.28</v>
      </c>
      <c r="L848" s="4">
        <v>34999</v>
      </c>
      <c r="M848" s="4">
        <v>21990</v>
      </c>
      <c r="N848" s="4">
        <v>1899</v>
      </c>
      <c r="O848" s="4">
        <v>299</v>
      </c>
      <c r="P848" s="4">
        <v>999</v>
      </c>
      <c r="Q848" t="s">
        <v>2368</v>
      </c>
      <c r="R848">
        <v>2018</v>
      </c>
    </row>
    <row r="849" spans="1:18" x14ac:dyDescent="0.25">
      <c r="A849" t="s">
        <v>890</v>
      </c>
      <c r="B849" t="s">
        <v>1032</v>
      </c>
      <c r="C849" s="2">
        <v>172</v>
      </c>
      <c r="D849" t="s">
        <v>68</v>
      </c>
      <c r="E849" t="s">
        <v>580</v>
      </c>
      <c r="F849" t="s">
        <v>907</v>
      </c>
      <c r="G849" s="5" t="s">
        <v>2397</v>
      </c>
      <c r="H849" t="s">
        <v>2439</v>
      </c>
      <c r="I849" s="6">
        <f t="shared" si="13"/>
        <v>20</v>
      </c>
      <c r="J849" s="2">
        <v>4050</v>
      </c>
      <c r="K849" s="2">
        <v>6.44</v>
      </c>
      <c r="L849" s="4">
        <v>39999</v>
      </c>
      <c r="M849" s="4">
        <v>20999</v>
      </c>
      <c r="N849" s="4">
        <v>1799</v>
      </c>
      <c r="O849" s="4">
        <v>299</v>
      </c>
      <c r="P849" s="4">
        <v>1099</v>
      </c>
      <c r="Q849" t="s">
        <v>2368</v>
      </c>
      <c r="R849">
        <v>2021</v>
      </c>
    </row>
    <row r="850" spans="1:18" x14ac:dyDescent="0.25">
      <c r="A850" t="s">
        <v>890</v>
      </c>
      <c r="B850" t="s">
        <v>1034</v>
      </c>
      <c r="C850" s="2">
        <v>172</v>
      </c>
      <c r="D850" t="s">
        <v>68</v>
      </c>
      <c r="E850" t="s">
        <v>580</v>
      </c>
      <c r="F850" t="s">
        <v>907</v>
      </c>
      <c r="G850" s="5" t="s">
        <v>2397</v>
      </c>
      <c r="H850" t="s">
        <v>2439</v>
      </c>
      <c r="I850" s="6">
        <f t="shared" si="13"/>
        <v>20</v>
      </c>
      <c r="J850" s="2">
        <v>4050</v>
      </c>
      <c r="K850" s="2">
        <v>6.44</v>
      </c>
      <c r="L850" s="4">
        <v>44999</v>
      </c>
      <c r="M850" s="4">
        <v>24999</v>
      </c>
      <c r="N850" s="4">
        <v>1999</v>
      </c>
      <c r="O850" s="4">
        <v>349</v>
      </c>
      <c r="P850" s="4">
        <v>1199</v>
      </c>
      <c r="Q850" t="s">
        <v>2368</v>
      </c>
      <c r="R850">
        <v>2021</v>
      </c>
    </row>
    <row r="851" spans="1:18" x14ac:dyDescent="0.25">
      <c r="A851" t="s">
        <v>890</v>
      </c>
      <c r="B851" t="s">
        <v>1035</v>
      </c>
      <c r="C851" s="2">
        <v>182</v>
      </c>
      <c r="D851" t="s">
        <v>68</v>
      </c>
      <c r="E851" t="s">
        <v>585</v>
      </c>
      <c r="F851" t="s">
        <v>580</v>
      </c>
      <c r="G851" s="5" t="s">
        <v>2385</v>
      </c>
      <c r="H851" t="s">
        <v>2439</v>
      </c>
      <c r="I851" s="6">
        <f t="shared" si="13"/>
        <v>10</v>
      </c>
      <c r="J851" s="2">
        <v>5000</v>
      </c>
      <c r="K851" s="2">
        <v>6.58</v>
      </c>
      <c r="L851" s="4">
        <v>34999</v>
      </c>
      <c r="M851" s="4">
        <v>17999</v>
      </c>
      <c r="N851" s="4">
        <v>1699</v>
      </c>
      <c r="O851" s="4">
        <v>239</v>
      </c>
      <c r="P851" s="4">
        <v>899</v>
      </c>
      <c r="Q851" t="s">
        <v>2368</v>
      </c>
      <c r="R851">
        <v>2021</v>
      </c>
    </row>
    <row r="852" spans="1:18" x14ac:dyDescent="0.25">
      <c r="A852" t="s">
        <v>890</v>
      </c>
      <c r="B852" t="s">
        <v>1039</v>
      </c>
      <c r="C852" s="2">
        <v>182</v>
      </c>
      <c r="D852" t="s">
        <v>162</v>
      </c>
      <c r="E852" t="s">
        <v>585</v>
      </c>
      <c r="F852" t="s">
        <v>580</v>
      </c>
      <c r="G852" s="5" t="s">
        <v>2385</v>
      </c>
      <c r="H852" t="s">
        <v>2439</v>
      </c>
      <c r="I852" s="6">
        <f t="shared" si="13"/>
        <v>10</v>
      </c>
      <c r="J852" s="2">
        <v>5000</v>
      </c>
      <c r="K852" s="2">
        <v>6.58</v>
      </c>
      <c r="L852" s="4">
        <v>29999</v>
      </c>
      <c r="M852" s="4">
        <v>14999</v>
      </c>
      <c r="N852" s="4">
        <v>1299</v>
      </c>
      <c r="O852" s="4">
        <v>179</v>
      </c>
      <c r="P852" s="4">
        <v>799</v>
      </c>
      <c r="Q852" t="s">
        <v>2368</v>
      </c>
      <c r="R852">
        <v>2021</v>
      </c>
    </row>
    <row r="853" spans="1:18" x14ac:dyDescent="0.25">
      <c r="A853" t="s">
        <v>890</v>
      </c>
      <c r="B853" t="s">
        <v>1048</v>
      </c>
      <c r="C853" s="2">
        <v>179</v>
      </c>
      <c r="D853" t="s">
        <v>68</v>
      </c>
      <c r="E853" t="s">
        <v>585</v>
      </c>
      <c r="F853" t="s">
        <v>580</v>
      </c>
      <c r="G853" s="5" t="s">
        <v>2373</v>
      </c>
      <c r="H853" t="s">
        <v>2439</v>
      </c>
      <c r="I853" s="6">
        <f t="shared" si="13"/>
        <v>18</v>
      </c>
      <c r="J853" s="2">
        <v>5000</v>
      </c>
      <c r="K853" s="2">
        <v>6.58</v>
      </c>
      <c r="L853" s="4">
        <v>54999</v>
      </c>
      <c r="M853" s="4">
        <v>21999</v>
      </c>
      <c r="N853" s="4">
        <v>2199</v>
      </c>
      <c r="O853" s="4">
        <v>349</v>
      </c>
      <c r="P853" s="4">
        <v>1299</v>
      </c>
      <c r="Q853" t="s">
        <v>2368</v>
      </c>
      <c r="R853">
        <v>2021</v>
      </c>
    </row>
    <row r="854" spans="1:18" x14ac:dyDescent="0.25">
      <c r="A854" t="s">
        <v>890</v>
      </c>
      <c r="B854" t="s">
        <v>1050</v>
      </c>
      <c r="C854" s="2">
        <v>179</v>
      </c>
      <c r="D854" t="s">
        <v>68</v>
      </c>
      <c r="E854" t="s">
        <v>585</v>
      </c>
      <c r="F854" t="s">
        <v>580</v>
      </c>
      <c r="G854" s="5" t="s">
        <v>2373</v>
      </c>
      <c r="H854" t="s">
        <v>2439</v>
      </c>
      <c r="I854" s="6">
        <f t="shared" si="13"/>
        <v>18</v>
      </c>
      <c r="J854" s="2">
        <v>5000</v>
      </c>
      <c r="K854" s="2">
        <v>6.58</v>
      </c>
      <c r="L854" s="4">
        <v>59999</v>
      </c>
      <c r="M854" s="4">
        <v>25999</v>
      </c>
      <c r="N854" s="4">
        <v>2499</v>
      </c>
      <c r="O854" s="4">
        <v>399</v>
      </c>
      <c r="P854" s="4">
        <v>1499</v>
      </c>
      <c r="Q854" t="s">
        <v>2368</v>
      </c>
      <c r="R854">
        <v>2021</v>
      </c>
    </row>
    <row r="855" spans="1:18" x14ac:dyDescent="0.25">
      <c r="A855" t="s">
        <v>890</v>
      </c>
      <c r="B855" t="s">
        <v>1051</v>
      </c>
      <c r="C855" s="2">
        <v>190</v>
      </c>
      <c r="D855" t="s">
        <v>18</v>
      </c>
      <c r="E855" t="s">
        <v>585</v>
      </c>
      <c r="F855" t="s">
        <v>907</v>
      </c>
      <c r="G855" s="5" t="s">
        <v>2385</v>
      </c>
      <c r="H855" t="s">
        <v>2439</v>
      </c>
      <c r="I855" s="6">
        <f t="shared" si="13"/>
        <v>10</v>
      </c>
      <c r="J855" s="2">
        <v>5000</v>
      </c>
      <c r="K855" s="2">
        <v>6.58</v>
      </c>
      <c r="L855" s="4">
        <v>34999</v>
      </c>
      <c r="M855" s="4">
        <v>16999</v>
      </c>
      <c r="N855" s="4">
        <v>1699</v>
      </c>
      <c r="O855" s="4">
        <v>229</v>
      </c>
      <c r="P855" s="4">
        <v>899</v>
      </c>
      <c r="Q855" t="s">
        <v>2368</v>
      </c>
      <c r="R855">
        <v>2021</v>
      </c>
    </row>
    <row r="856" spans="1:18" x14ac:dyDescent="0.25">
      <c r="A856" t="s">
        <v>890</v>
      </c>
      <c r="B856" t="s">
        <v>1052</v>
      </c>
      <c r="C856" s="2">
        <v>190</v>
      </c>
      <c r="D856" t="s">
        <v>18</v>
      </c>
      <c r="E856" t="s">
        <v>585</v>
      </c>
      <c r="F856" t="s">
        <v>907</v>
      </c>
      <c r="G856" s="5" t="s">
        <v>2385</v>
      </c>
      <c r="H856" t="s">
        <v>2439</v>
      </c>
      <c r="I856" s="6">
        <f t="shared" si="13"/>
        <v>10</v>
      </c>
      <c r="J856" s="2">
        <v>5000</v>
      </c>
      <c r="K856" s="2">
        <v>6.58</v>
      </c>
      <c r="L856" s="4">
        <v>29999</v>
      </c>
      <c r="M856" s="4">
        <v>13999</v>
      </c>
      <c r="N856" s="4">
        <v>1299</v>
      </c>
      <c r="O856" s="4">
        <v>179</v>
      </c>
      <c r="P856" s="4">
        <v>799</v>
      </c>
      <c r="Q856" t="s">
        <v>2368</v>
      </c>
      <c r="R856">
        <v>2021</v>
      </c>
    </row>
    <row r="857" spans="1:18" x14ac:dyDescent="0.25">
      <c r="A857" t="s">
        <v>890</v>
      </c>
      <c r="B857" t="s">
        <v>1053</v>
      </c>
      <c r="C857" s="2">
        <v>185</v>
      </c>
      <c r="D857" t="s">
        <v>18</v>
      </c>
      <c r="E857" t="s">
        <v>461</v>
      </c>
      <c r="F857" t="s">
        <v>20</v>
      </c>
      <c r="G857" s="5" t="s">
        <v>2427</v>
      </c>
      <c r="H857" t="s">
        <v>2439</v>
      </c>
      <c r="I857" s="6">
        <f t="shared" si="13"/>
        <v>25</v>
      </c>
      <c r="J857" s="2">
        <v>3700</v>
      </c>
      <c r="K857" s="2">
        <v>6.39</v>
      </c>
      <c r="L857" s="4">
        <v>44999</v>
      </c>
      <c r="M857" s="4">
        <v>25999</v>
      </c>
      <c r="N857" s="4">
        <v>2499</v>
      </c>
      <c r="O857" s="4">
        <v>399</v>
      </c>
      <c r="P857" s="4">
        <v>1499</v>
      </c>
      <c r="Q857" t="s">
        <v>2368</v>
      </c>
      <c r="R857">
        <v>2019</v>
      </c>
    </row>
    <row r="858" spans="1:18" x14ac:dyDescent="0.25">
      <c r="A858" t="s">
        <v>890</v>
      </c>
      <c r="B858" t="s">
        <v>1054</v>
      </c>
      <c r="C858" s="2">
        <v>185</v>
      </c>
      <c r="D858" t="s">
        <v>18</v>
      </c>
      <c r="E858" t="s">
        <v>461</v>
      </c>
      <c r="F858" t="s">
        <v>20</v>
      </c>
      <c r="G858" s="5" t="s">
        <v>2427</v>
      </c>
      <c r="H858" t="s">
        <v>2439</v>
      </c>
      <c r="I858" s="6">
        <f t="shared" si="13"/>
        <v>25</v>
      </c>
      <c r="J858" s="2">
        <v>3700</v>
      </c>
      <c r="K858" s="2">
        <v>6.39</v>
      </c>
      <c r="L858" s="4">
        <v>49999</v>
      </c>
      <c r="M858" s="4">
        <v>29999</v>
      </c>
      <c r="N858" s="4">
        <v>2799</v>
      </c>
      <c r="O858" s="4">
        <v>449</v>
      </c>
      <c r="P858" s="4">
        <v>1699</v>
      </c>
      <c r="Q858" t="s">
        <v>2368</v>
      </c>
      <c r="R858">
        <v>2019</v>
      </c>
    </row>
    <row r="859" spans="1:18" x14ac:dyDescent="0.25">
      <c r="A859" t="s">
        <v>890</v>
      </c>
      <c r="B859" t="s">
        <v>1091</v>
      </c>
      <c r="C859" s="2">
        <v>182</v>
      </c>
      <c r="D859" t="s">
        <v>162</v>
      </c>
      <c r="E859" t="s">
        <v>307</v>
      </c>
      <c r="F859" t="s">
        <v>475</v>
      </c>
      <c r="G859" s="5" t="s">
        <v>2421</v>
      </c>
      <c r="H859" t="s">
        <v>2439</v>
      </c>
      <c r="I859" s="6">
        <f t="shared" si="13"/>
        <v>5</v>
      </c>
      <c r="J859" s="2">
        <v>5000</v>
      </c>
      <c r="K859" s="2">
        <v>6.51</v>
      </c>
      <c r="L859" s="4">
        <v>29999</v>
      </c>
      <c r="M859" s="4">
        <v>12999</v>
      </c>
      <c r="N859" s="4">
        <v>1299</v>
      </c>
      <c r="O859" s="4">
        <v>199</v>
      </c>
      <c r="P859" s="4">
        <v>699</v>
      </c>
      <c r="Q859" t="s">
        <v>2368</v>
      </c>
      <c r="R859">
        <v>2021</v>
      </c>
    </row>
    <row r="860" spans="1:18" x14ac:dyDescent="0.25">
      <c r="A860" t="s">
        <v>890</v>
      </c>
      <c r="B860" t="s">
        <v>1092</v>
      </c>
      <c r="C860" s="2">
        <v>182</v>
      </c>
      <c r="D860" t="s">
        <v>162</v>
      </c>
      <c r="E860" t="s">
        <v>307</v>
      </c>
      <c r="F860" t="s">
        <v>475</v>
      </c>
      <c r="G860" s="5" t="s">
        <v>2421</v>
      </c>
      <c r="H860" t="s">
        <v>2439</v>
      </c>
      <c r="I860" s="6">
        <f t="shared" si="13"/>
        <v>5</v>
      </c>
      <c r="J860" s="2">
        <v>5000</v>
      </c>
      <c r="K860" s="2">
        <v>6.51</v>
      </c>
      <c r="L860" s="4">
        <v>26999</v>
      </c>
      <c r="M860" s="4">
        <v>9999</v>
      </c>
      <c r="N860" s="4">
        <v>1099</v>
      </c>
      <c r="O860" s="4">
        <v>179</v>
      </c>
      <c r="P860" s="4">
        <v>599</v>
      </c>
      <c r="Q860" t="s">
        <v>2368</v>
      </c>
      <c r="R860">
        <v>2021</v>
      </c>
    </row>
    <row r="861" spans="1:18" x14ac:dyDescent="0.25">
      <c r="A861" t="s">
        <v>890</v>
      </c>
      <c r="B861" t="s">
        <v>891</v>
      </c>
      <c r="C861" s="2">
        <v>223</v>
      </c>
      <c r="D861" t="s">
        <v>375</v>
      </c>
      <c r="E861" t="s">
        <v>461</v>
      </c>
      <c r="F861" t="s">
        <v>580</v>
      </c>
      <c r="G861" s="5" t="s">
        <v>893</v>
      </c>
      <c r="H861" t="s">
        <v>2437</v>
      </c>
      <c r="I861" s="6">
        <f t="shared" si="13"/>
        <v>100</v>
      </c>
      <c r="J861" s="2">
        <v>6000</v>
      </c>
      <c r="K861" s="2">
        <v>6.78</v>
      </c>
      <c r="L861" s="4">
        <v>199999</v>
      </c>
      <c r="M861" s="4">
        <v>119999</v>
      </c>
      <c r="N861" s="4">
        <v>6999</v>
      </c>
      <c r="O861" s="4">
        <v>999</v>
      </c>
      <c r="P861" s="4">
        <v>3699</v>
      </c>
      <c r="Q861" t="s">
        <v>2368</v>
      </c>
      <c r="R861">
        <v>2024</v>
      </c>
    </row>
    <row r="862" spans="1:18" x14ac:dyDescent="0.25">
      <c r="A862" t="s">
        <v>890</v>
      </c>
      <c r="B862" t="s">
        <v>894</v>
      </c>
      <c r="C862" s="2">
        <v>223</v>
      </c>
      <c r="D862" t="s">
        <v>375</v>
      </c>
      <c r="E862" t="s">
        <v>461</v>
      </c>
      <c r="F862" t="s">
        <v>580</v>
      </c>
      <c r="G862" s="5" t="s">
        <v>893</v>
      </c>
      <c r="H862" t="s">
        <v>2437</v>
      </c>
      <c r="I862" s="6">
        <f t="shared" si="13"/>
        <v>100</v>
      </c>
      <c r="J862" s="2">
        <v>6000</v>
      </c>
      <c r="K862" s="2">
        <v>6.78</v>
      </c>
      <c r="L862" s="4">
        <v>219999</v>
      </c>
      <c r="M862" s="4">
        <v>129999</v>
      </c>
      <c r="N862" s="4">
        <v>7499</v>
      </c>
      <c r="O862" s="4">
        <v>1099</v>
      </c>
      <c r="P862" s="4">
        <v>3999</v>
      </c>
      <c r="Q862" t="s">
        <v>2368</v>
      </c>
      <c r="R862">
        <v>2024</v>
      </c>
    </row>
    <row r="863" spans="1:18" x14ac:dyDescent="0.25">
      <c r="A863" t="s">
        <v>890</v>
      </c>
      <c r="B863" t="s">
        <v>896</v>
      </c>
      <c r="C863" s="2">
        <v>223</v>
      </c>
      <c r="D863" t="s">
        <v>759</v>
      </c>
      <c r="E863" t="s">
        <v>461</v>
      </c>
      <c r="F863" t="s">
        <v>897</v>
      </c>
      <c r="G863" s="5" t="s">
        <v>893</v>
      </c>
      <c r="H863" t="s">
        <v>2437</v>
      </c>
      <c r="I863" s="6">
        <f t="shared" si="13"/>
        <v>100</v>
      </c>
      <c r="J863" s="2">
        <v>6000</v>
      </c>
      <c r="K863" s="2">
        <v>6.78</v>
      </c>
      <c r="L863" s="4">
        <v>229999</v>
      </c>
      <c r="M863" s="4">
        <v>139999</v>
      </c>
      <c r="N863" s="4">
        <v>7999</v>
      </c>
      <c r="O863" s="4">
        <v>1199</v>
      </c>
      <c r="P863" s="4">
        <v>4399</v>
      </c>
      <c r="Q863" t="s">
        <v>2368</v>
      </c>
      <c r="R863">
        <v>2024</v>
      </c>
    </row>
    <row r="864" spans="1:18" x14ac:dyDescent="0.25">
      <c r="A864" t="s">
        <v>890</v>
      </c>
      <c r="B864" t="s">
        <v>899</v>
      </c>
      <c r="C864" s="2">
        <v>223</v>
      </c>
      <c r="D864" t="s">
        <v>759</v>
      </c>
      <c r="E864" t="s">
        <v>461</v>
      </c>
      <c r="F864" t="s">
        <v>897</v>
      </c>
      <c r="G864" s="5" t="s">
        <v>893</v>
      </c>
      <c r="H864" t="s">
        <v>2437</v>
      </c>
      <c r="I864" s="6">
        <f t="shared" si="13"/>
        <v>100</v>
      </c>
      <c r="J864" s="2">
        <v>6000</v>
      </c>
      <c r="K864" s="2">
        <v>6.78</v>
      </c>
      <c r="L864" s="4">
        <v>249999</v>
      </c>
      <c r="M864" s="4">
        <v>149999</v>
      </c>
      <c r="N864" s="4">
        <v>8499</v>
      </c>
      <c r="O864" s="4">
        <v>1299</v>
      </c>
      <c r="P864" s="4">
        <v>4699</v>
      </c>
      <c r="Q864" t="s">
        <v>2368</v>
      </c>
      <c r="R864">
        <v>2024</v>
      </c>
    </row>
    <row r="865" spans="1:18" x14ac:dyDescent="0.25">
      <c r="A865" t="s">
        <v>890</v>
      </c>
      <c r="B865" t="s">
        <v>902</v>
      </c>
      <c r="C865" s="2">
        <v>187</v>
      </c>
      <c r="D865" t="s">
        <v>759</v>
      </c>
      <c r="E865" t="s">
        <v>461</v>
      </c>
      <c r="F865" t="s">
        <v>580</v>
      </c>
      <c r="G865" s="5" t="s">
        <v>893</v>
      </c>
      <c r="H865" t="s">
        <v>2437</v>
      </c>
      <c r="I865" s="6">
        <f t="shared" si="13"/>
        <v>100</v>
      </c>
      <c r="J865" s="2">
        <v>5700</v>
      </c>
      <c r="K865" s="2">
        <v>6.31</v>
      </c>
      <c r="L865" s="4">
        <v>189999</v>
      </c>
      <c r="M865" s="4">
        <v>109999</v>
      </c>
      <c r="N865" s="4">
        <v>6499</v>
      </c>
      <c r="O865" s="4">
        <v>949</v>
      </c>
      <c r="P865" s="4">
        <v>3499</v>
      </c>
      <c r="Q865" t="s">
        <v>2368</v>
      </c>
      <c r="R865">
        <v>2024</v>
      </c>
    </row>
    <row r="866" spans="1:18" x14ac:dyDescent="0.25">
      <c r="A866" t="s">
        <v>890</v>
      </c>
      <c r="B866" t="s">
        <v>913</v>
      </c>
      <c r="C866" s="2">
        <v>180</v>
      </c>
      <c r="D866" t="s">
        <v>68</v>
      </c>
      <c r="E866" t="s">
        <v>585</v>
      </c>
      <c r="F866" t="s">
        <v>580</v>
      </c>
      <c r="G866" s="5" t="s">
        <v>804</v>
      </c>
      <c r="H866" t="s">
        <v>2437</v>
      </c>
      <c r="I866" s="6">
        <f t="shared" si="13"/>
        <v>82</v>
      </c>
      <c r="J866" s="2">
        <v>5000</v>
      </c>
      <c r="K866" s="2">
        <v>6.67</v>
      </c>
      <c r="L866" s="4">
        <v>59999</v>
      </c>
      <c r="M866" s="4">
        <v>34999</v>
      </c>
      <c r="N866" s="4">
        <v>2299</v>
      </c>
      <c r="O866" s="4">
        <v>349</v>
      </c>
      <c r="P866" s="4">
        <v>1299</v>
      </c>
      <c r="Q866" t="s">
        <v>2368</v>
      </c>
      <c r="R866">
        <v>2024</v>
      </c>
    </row>
    <row r="867" spans="1:18" x14ac:dyDescent="0.25">
      <c r="A867" t="s">
        <v>890</v>
      </c>
      <c r="B867" t="s">
        <v>918</v>
      </c>
      <c r="C867" s="2">
        <v>189</v>
      </c>
      <c r="D867" t="s">
        <v>375</v>
      </c>
      <c r="E867" t="s">
        <v>461</v>
      </c>
      <c r="F867" t="s">
        <v>753</v>
      </c>
      <c r="G867" s="5" t="s">
        <v>401</v>
      </c>
      <c r="H867" t="s">
        <v>2437</v>
      </c>
      <c r="I867" s="6">
        <f t="shared" si="13"/>
        <v>95</v>
      </c>
      <c r="J867" s="2">
        <v>4700</v>
      </c>
      <c r="K867" s="2">
        <v>6.56</v>
      </c>
      <c r="L867" s="4">
        <v>99999</v>
      </c>
      <c r="M867" s="4">
        <v>59999</v>
      </c>
      <c r="N867" s="4">
        <v>3999</v>
      </c>
      <c r="O867" s="4">
        <v>599</v>
      </c>
      <c r="P867" s="4">
        <v>2199</v>
      </c>
      <c r="Q867" t="s">
        <v>2368</v>
      </c>
      <c r="R867">
        <v>2024</v>
      </c>
    </row>
    <row r="868" spans="1:18" x14ac:dyDescent="0.25">
      <c r="A868" t="s">
        <v>890</v>
      </c>
      <c r="B868" t="s">
        <v>922</v>
      </c>
      <c r="C868" s="2">
        <v>210</v>
      </c>
      <c r="D868" t="s">
        <v>759</v>
      </c>
      <c r="E868" t="s">
        <v>585</v>
      </c>
      <c r="F868" t="s">
        <v>580</v>
      </c>
      <c r="G868" s="5" t="s">
        <v>737</v>
      </c>
      <c r="H868" t="s">
        <v>2437</v>
      </c>
      <c r="I868" s="6">
        <f t="shared" si="13"/>
        <v>100</v>
      </c>
      <c r="J868" s="2">
        <v>5000</v>
      </c>
      <c r="K868" s="2">
        <v>6.78</v>
      </c>
      <c r="L868" s="4">
        <v>109999</v>
      </c>
      <c r="M868" s="4">
        <v>64999</v>
      </c>
      <c r="N868" s="4">
        <v>4499</v>
      </c>
      <c r="O868" s="4">
        <v>699</v>
      </c>
      <c r="P868" s="4">
        <v>2599</v>
      </c>
      <c r="Q868" t="s">
        <v>2368</v>
      </c>
      <c r="R868">
        <v>2024</v>
      </c>
    </row>
    <row r="869" spans="1:18" x14ac:dyDescent="0.25">
      <c r="A869" t="s">
        <v>890</v>
      </c>
      <c r="B869" t="s">
        <v>1040</v>
      </c>
      <c r="C869" s="2">
        <v>190</v>
      </c>
      <c r="D869" t="s">
        <v>375</v>
      </c>
      <c r="E869" t="s">
        <v>461</v>
      </c>
      <c r="F869" t="s">
        <v>20</v>
      </c>
      <c r="G869" s="5" t="s">
        <v>804</v>
      </c>
      <c r="H869" t="s">
        <v>2437</v>
      </c>
      <c r="I869" s="6">
        <f t="shared" si="13"/>
        <v>82</v>
      </c>
      <c r="J869" s="2">
        <v>4200</v>
      </c>
      <c r="K869" s="2">
        <v>6.56</v>
      </c>
      <c r="L869" s="4">
        <v>109999</v>
      </c>
      <c r="M869" s="4">
        <v>44999</v>
      </c>
      <c r="N869" s="4">
        <v>3999</v>
      </c>
      <c r="O869" s="4">
        <v>899</v>
      </c>
      <c r="P869" s="4">
        <v>1999</v>
      </c>
      <c r="Q869" t="s">
        <v>2368</v>
      </c>
      <c r="R869">
        <v>2021</v>
      </c>
    </row>
    <row r="870" spans="1:18" x14ac:dyDescent="0.25">
      <c r="A870" t="s">
        <v>890</v>
      </c>
      <c r="B870" t="s">
        <v>1043</v>
      </c>
      <c r="C870" s="2">
        <v>190</v>
      </c>
      <c r="D870" t="s">
        <v>375</v>
      </c>
      <c r="E870" t="s">
        <v>461</v>
      </c>
      <c r="F870" t="s">
        <v>20</v>
      </c>
      <c r="G870" s="5" t="s">
        <v>804</v>
      </c>
      <c r="H870" t="s">
        <v>2437</v>
      </c>
      <c r="I870" s="6">
        <f t="shared" si="13"/>
        <v>82</v>
      </c>
      <c r="J870" s="2">
        <v>4200</v>
      </c>
      <c r="K870" s="2">
        <v>6.56</v>
      </c>
      <c r="L870" s="4">
        <v>119999</v>
      </c>
      <c r="M870" s="4">
        <v>49999</v>
      </c>
      <c r="N870" s="4">
        <v>4199</v>
      </c>
      <c r="O870" s="4">
        <v>999</v>
      </c>
      <c r="P870" s="4">
        <v>2099</v>
      </c>
      <c r="Q870" t="s">
        <v>2368</v>
      </c>
      <c r="R870">
        <v>2021</v>
      </c>
    </row>
    <row r="871" spans="1:18" x14ac:dyDescent="0.25">
      <c r="A871" t="s">
        <v>890</v>
      </c>
      <c r="B871" t="s">
        <v>1061</v>
      </c>
      <c r="C871" s="2">
        <v>199</v>
      </c>
      <c r="D871" t="s">
        <v>68</v>
      </c>
      <c r="E871" t="s">
        <v>461</v>
      </c>
      <c r="F871" t="s">
        <v>907</v>
      </c>
      <c r="G871" s="5" t="s">
        <v>834</v>
      </c>
      <c r="H871" t="s">
        <v>2437</v>
      </c>
      <c r="I871" s="6">
        <f t="shared" si="13"/>
        <v>75</v>
      </c>
      <c r="J871" s="2">
        <v>4200</v>
      </c>
      <c r="K871" s="2">
        <v>6.44</v>
      </c>
      <c r="L871" s="4">
        <v>109999</v>
      </c>
      <c r="M871" s="4">
        <v>47999</v>
      </c>
      <c r="N871" s="4">
        <v>4599</v>
      </c>
      <c r="O871" s="4">
        <v>899</v>
      </c>
      <c r="P871" s="4">
        <v>2299</v>
      </c>
      <c r="Q871" t="s">
        <v>2368</v>
      </c>
      <c r="R871">
        <v>2019</v>
      </c>
    </row>
    <row r="872" spans="1:18" x14ac:dyDescent="0.25">
      <c r="A872" t="s">
        <v>890</v>
      </c>
      <c r="B872" t="s">
        <v>1065</v>
      </c>
      <c r="C872" s="2">
        <v>199</v>
      </c>
      <c r="D872" t="s">
        <v>68</v>
      </c>
      <c r="E872" t="s">
        <v>461</v>
      </c>
      <c r="F872" t="s">
        <v>907</v>
      </c>
      <c r="G872" s="5" t="s">
        <v>834</v>
      </c>
      <c r="H872" t="s">
        <v>2437</v>
      </c>
      <c r="I872" s="6">
        <f t="shared" si="13"/>
        <v>75</v>
      </c>
      <c r="J872" s="2">
        <v>4200</v>
      </c>
      <c r="K872" s="2">
        <v>6.44</v>
      </c>
      <c r="L872" s="4">
        <v>119999</v>
      </c>
      <c r="M872" s="4">
        <v>54999</v>
      </c>
      <c r="N872" s="4">
        <v>5199</v>
      </c>
      <c r="O872" s="4">
        <v>949</v>
      </c>
      <c r="P872" s="4">
        <v>2499</v>
      </c>
      <c r="Q872" t="s">
        <v>2368</v>
      </c>
      <c r="R872">
        <v>2019</v>
      </c>
    </row>
    <row r="873" spans="1:18" x14ac:dyDescent="0.25">
      <c r="A873" t="s">
        <v>890</v>
      </c>
      <c r="B873" t="s">
        <v>1077</v>
      </c>
      <c r="C873" s="2">
        <v>221</v>
      </c>
      <c r="D873" t="s">
        <v>375</v>
      </c>
      <c r="E873" t="s">
        <v>461</v>
      </c>
      <c r="F873" t="s">
        <v>580</v>
      </c>
      <c r="G873" s="5" t="s">
        <v>1203</v>
      </c>
      <c r="H873" t="s">
        <v>2437</v>
      </c>
      <c r="I873" s="6">
        <f t="shared" si="13"/>
        <v>95</v>
      </c>
      <c r="J873" s="2">
        <v>4870</v>
      </c>
      <c r="K873" s="2">
        <v>6.78</v>
      </c>
      <c r="L873" s="4">
        <v>199999</v>
      </c>
      <c r="M873" s="4">
        <v>69999</v>
      </c>
      <c r="N873" s="4">
        <v>6999</v>
      </c>
      <c r="O873" s="4">
        <v>1099</v>
      </c>
      <c r="P873" s="4">
        <v>3999</v>
      </c>
      <c r="Q873" t="s">
        <v>2368</v>
      </c>
      <c r="R873">
        <v>2022</v>
      </c>
    </row>
    <row r="874" spans="1:18" x14ac:dyDescent="0.25">
      <c r="A874" t="s">
        <v>890</v>
      </c>
      <c r="B874" t="s">
        <v>1080</v>
      </c>
      <c r="C874" s="2">
        <v>221</v>
      </c>
      <c r="D874" t="s">
        <v>375</v>
      </c>
      <c r="E874" t="s">
        <v>461</v>
      </c>
      <c r="F874" t="s">
        <v>580</v>
      </c>
      <c r="G874" s="5" t="s">
        <v>1203</v>
      </c>
      <c r="H874" t="s">
        <v>2437</v>
      </c>
      <c r="I874" s="6">
        <f t="shared" si="13"/>
        <v>95</v>
      </c>
      <c r="J874" s="2">
        <v>4870</v>
      </c>
      <c r="K874" s="2">
        <v>6.78</v>
      </c>
      <c r="L874" s="4">
        <v>229999</v>
      </c>
      <c r="M874" s="4">
        <v>79999</v>
      </c>
      <c r="N874" s="4">
        <v>7499</v>
      </c>
      <c r="O874" s="4">
        <v>1199</v>
      </c>
      <c r="P874" s="4">
        <v>4499</v>
      </c>
      <c r="Q874" t="s">
        <v>2368</v>
      </c>
      <c r="R874">
        <v>2022</v>
      </c>
    </row>
    <row r="875" spans="1:18" x14ac:dyDescent="0.25">
      <c r="A875" t="s">
        <v>890</v>
      </c>
      <c r="B875" t="s">
        <v>1089</v>
      </c>
      <c r="C875" s="2">
        <v>206</v>
      </c>
      <c r="D875" t="s">
        <v>375</v>
      </c>
      <c r="E875" t="s">
        <v>461</v>
      </c>
      <c r="F875" t="s">
        <v>580</v>
      </c>
      <c r="G875" s="5" t="s">
        <v>2379</v>
      </c>
      <c r="H875" t="s">
        <v>2437</v>
      </c>
      <c r="I875" s="6">
        <f t="shared" si="13"/>
        <v>90</v>
      </c>
      <c r="J875" s="2">
        <v>4700</v>
      </c>
      <c r="K875" s="2">
        <v>6.78</v>
      </c>
      <c r="L875" s="4">
        <v>179999</v>
      </c>
      <c r="M875" s="4">
        <v>59999</v>
      </c>
      <c r="N875" s="4">
        <v>5999</v>
      </c>
      <c r="O875" s="4">
        <v>899</v>
      </c>
      <c r="P875" s="4">
        <v>3499</v>
      </c>
      <c r="Q875" t="s">
        <v>2368</v>
      </c>
      <c r="R875">
        <v>2022</v>
      </c>
    </row>
    <row r="876" spans="1:18" x14ac:dyDescent="0.25">
      <c r="A876" t="s">
        <v>890</v>
      </c>
      <c r="B876" t="s">
        <v>1090</v>
      </c>
      <c r="C876" s="2">
        <v>206</v>
      </c>
      <c r="D876" t="s">
        <v>375</v>
      </c>
      <c r="E876" t="s">
        <v>461</v>
      </c>
      <c r="F876" t="s">
        <v>580</v>
      </c>
      <c r="G876" s="5" t="s">
        <v>2379</v>
      </c>
      <c r="H876" t="s">
        <v>2437</v>
      </c>
      <c r="I876" s="6">
        <f t="shared" si="13"/>
        <v>90</v>
      </c>
      <c r="J876" s="2">
        <v>4700</v>
      </c>
      <c r="K876" s="2">
        <v>6.78</v>
      </c>
      <c r="L876" s="4">
        <v>199999</v>
      </c>
      <c r="M876" s="4">
        <v>69999</v>
      </c>
      <c r="N876" s="4">
        <v>6499</v>
      </c>
      <c r="O876" s="4">
        <v>999</v>
      </c>
      <c r="P876" s="4">
        <v>3999</v>
      </c>
      <c r="Q876" t="s">
        <v>2368</v>
      </c>
      <c r="R876">
        <v>2022</v>
      </c>
    </row>
    <row r="877" spans="1:18" x14ac:dyDescent="0.25">
      <c r="A877" t="s">
        <v>890</v>
      </c>
      <c r="B877" t="s">
        <v>1094</v>
      </c>
      <c r="C877" s="2">
        <v>498</v>
      </c>
      <c r="D877" t="s">
        <v>18</v>
      </c>
      <c r="E877" t="s">
        <v>307</v>
      </c>
      <c r="F877" t="s">
        <v>475</v>
      </c>
      <c r="G877" s="5" t="s">
        <v>804</v>
      </c>
      <c r="H877" t="s">
        <v>2437</v>
      </c>
      <c r="I877" s="6">
        <f t="shared" si="13"/>
        <v>82</v>
      </c>
      <c r="J877" s="2">
        <v>8040</v>
      </c>
      <c r="K877" s="2">
        <v>11</v>
      </c>
      <c r="L877" s="4">
        <v>64999</v>
      </c>
      <c r="M877" s="4">
        <v>34999</v>
      </c>
      <c r="N877" s="4">
        <v>2499</v>
      </c>
      <c r="O877" s="4">
        <v>329</v>
      </c>
      <c r="P877" s="4">
        <v>1199</v>
      </c>
      <c r="Q877" t="s">
        <v>2369</v>
      </c>
      <c r="R877">
        <v>2022</v>
      </c>
    </row>
    <row r="878" spans="1:18" x14ac:dyDescent="0.25">
      <c r="A878" t="s">
        <v>890</v>
      </c>
      <c r="B878" t="s">
        <v>1098</v>
      </c>
      <c r="C878" s="2">
        <v>510</v>
      </c>
      <c r="D878" t="s">
        <v>18</v>
      </c>
      <c r="E878" t="s">
        <v>307</v>
      </c>
      <c r="F878" t="s">
        <v>475</v>
      </c>
      <c r="G878" s="5" t="s">
        <v>804</v>
      </c>
      <c r="H878" t="s">
        <v>2437</v>
      </c>
      <c r="I878" s="6">
        <f t="shared" si="13"/>
        <v>82</v>
      </c>
      <c r="J878" s="2">
        <v>8040</v>
      </c>
      <c r="K878" s="2">
        <v>10.4</v>
      </c>
      <c r="L878" s="4">
        <v>58999</v>
      </c>
      <c r="M878" s="4">
        <v>31999</v>
      </c>
      <c r="N878" s="4">
        <v>2199</v>
      </c>
      <c r="O878" s="4">
        <v>279</v>
      </c>
      <c r="P878" s="4">
        <v>999</v>
      </c>
      <c r="Q878" t="s">
        <v>2369</v>
      </c>
      <c r="R878">
        <v>2023</v>
      </c>
    </row>
    <row r="879" spans="1:18" x14ac:dyDescent="0.25">
      <c r="A879" t="s">
        <v>890</v>
      </c>
      <c r="B879" t="s">
        <v>1107</v>
      </c>
      <c r="C879" s="2">
        <v>550</v>
      </c>
      <c r="D879" t="s">
        <v>68</v>
      </c>
      <c r="E879" t="s">
        <v>307</v>
      </c>
      <c r="F879" t="s">
        <v>580</v>
      </c>
      <c r="G879" s="5" t="s">
        <v>639</v>
      </c>
      <c r="H879" t="s">
        <v>2437</v>
      </c>
      <c r="I879" s="6">
        <f t="shared" si="13"/>
        <v>85</v>
      </c>
      <c r="J879" s="2">
        <v>8040</v>
      </c>
      <c r="K879" s="2">
        <v>12.3</v>
      </c>
      <c r="L879" s="4">
        <v>84999</v>
      </c>
      <c r="M879" s="4">
        <v>45999</v>
      </c>
      <c r="N879" s="4">
        <v>3599</v>
      </c>
      <c r="O879" s="4">
        <v>449</v>
      </c>
      <c r="P879" s="4">
        <v>1599</v>
      </c>
      <c r="Q879" t="s">
        <v>2369</v>
      </c>
      <c r="R879">
        <v>2023</v>
      </c>
    </row>
    <row r="880" spans="1:18" x14ac:dyDescent="0.25">
      <c r="A880" t="s">
        <v>890</v>
      </c>
      <c r="B880" t="s">
        <v>1110</v>
      </c>
      <c r="C880" s="2">
        <v>560</v>
      </c>
      <c r="D880" t="s">
        <v>68</v>
      </c>
      <c r="E880" t="s">
        <v>307</v>
      </c>
      <c r="F880" t="s">
        <v>580</v>
      </c>
      <c r="G880" s="5" t="s">
        <v>2379</v>
      </c>
      <c r="H880" t="s">
        <v>2437</v>
      </c>
      <c r="I880" s="6">
        <f t="shared" si="13"/>
        <v>90</v>
      </c>
      <c r="J880" s="2">
        <v>8040</v>
      </c>
      <c r="K880" s="2">
        <v>12.9</v>
      </c>
      <c r="L880" s="4">
        <v>94999</v>
      </c>
      <c r="M880" s="4">
        <v>49999</v>
      </c>
      <c r="N880" s="4">
        <v>4299</v>
      </c>
      <c r="O880" s="4">
        <v>499</v>
      </c>
      <c r="P880" s="4">
        <v>1799</v>
      </c>
      <c r="Q880" t="s">
        <v>2369</v>
      </c>
      <c r="R880">
        <v>2024</v>
      </c>
    </row>
    <row r="881" spans="1:18" x14ac:dyDescent="0.25">
      <c r="A881" t="s">
        <v>890</v>
      </c>
      <c r="B881" t="s">
        <v>905</v>
      </c>
      <c r="C881" s="2">
        <v>179</v>
      </c>
      <c r="D881" t="s">
        <v>68</v>
      </c>
      <c r="E881" t="s">
        <v>906</v>
      </c>
      <c r="F881" t="s">
        <v>907</v>
      </c>
      <c r="G881" s="5" t="s">
        <v>708</v>
      </c>
      <c r="H881" t="s">
        <v>2438</v>
      </c>
      <c r="I881" s="6">
        <f t="shared" si="13"/>
        <v>60</v>
      </c>
      <c r="J881" s="2">
        <v>4100</v>
      </c>
      <c r="K881" s="2">
        <v>6.44</v>
      </c>
      <c r="L881" s="4">
        <v>79999</v>
      </c>
      <c r="M881" s="4">
        <v>44999</v>
      </c>
      <c r="N881" s="4">
        <v>2999</v>
      </c>
      <c r="O881" s="4">
        <v>449</v>
      </c>
      <c r="P881" s="4">
        <v>1649</v>
      </c>
      <c r="Q881" t="s">
        <v>2368</v>
      </c>
      <c r="R881">
        <v>2024</v>
      </c>
    </row>
    <row r="882" spans="1:18" x14ac:dyDescent="0.25">
      <c r="A882" t="s">
        <v>890</v>
      </c>
      <c r="B882" t="s">
        <v>910</v>
      </c>
      <c r="C882" s="2">
        <v>190</v>
      </c>
      <c r="D882" t="s">
        <v>375</v>
      </c>
      <c r="E882" t="s">
        <v>585</v>
      </c>
      <c r="F882" t="s">
        <v>907</v>
      </c>
      <c r="G882" s="5" t="s">
        <v>911</v>
      </c>
      <c r="H882" t="s">
        <v>2438</v>
      </c>
      <c r="I882" s="6">
        <f t="shared" si="13"/>
        <v>38</v>
      </c>
      <c r="J882" s="2">
        <v>5000</v>
      </c>
      <c r="K882" s="2">
        <v>6.58</v>
      </c>
      <c r="L882" s="4">
        <v>69999</v>
      </c>
      <c r="M882" s="4">
        <v>39999</v>
      </c>
      <c r="N882" s="4">
        <v>2499</v>
      </c>
      <c r="O882" s="4">
        <v>399</v>
      </c>
      <c r="P882" s="4">
        <v>1499</v>
      </c>
      <c r="Q882" t="s">
        <v>2368</v>
      </c>
      <c r="R882">
        <v>2024</v>
      </c>
    </row>
    <row r="883" spans="1:18" x14ac:dyDescent="0.25">
      <c r="A883" t="s">
        <v>890</v>
      </c>
      <c r="B883" t="s">
        <v>914</v>
      </c>
      <c r="C883" s="2">
        <v>181</v>
      </c>
      <c r="D883" t="s">
        <v>68</v>
      </c>
      <c r="E883" t="s">
        <v>585</v>
      </c>
      <c r="F883" t="s">
        <v>907</v>
      </c>
      <c r="G883" s="5" t="s">
        <v>915</v>
      </c>
      <c r="H883" t="s">
        <v>2438</v>
      </c>
      <c r="I883" s="6">
        <f t="shared" si="13"/>
        <v>28</v>
      </c>
      <c r="J883" s="2">
        <v>4500</v>
      </c>
      <c r="K883" s="2">
        <v>6.38</v>
      </c>
      <c r="L883" s="4">
        <v>54999</v>
      </c>
      <c r="M883" s="4">
        <v>29999</v>
      </c>
      <c r="N883" s="4">
        <v>1999</v>
      </c>
      <c r="O883" s="4">
        <v>299</v>
      </c>
      <c r="P883" s="4">
        <v>1099</v>
      </c>
      <c r="Q883" t="s">
        <v>2368</v>
      </c>
      <c r="R883">
        <v>2024</v>
      </c>
    </row>
    <row r="884" spans="1:18" x14ac:dyDescent="0.25">
      <c r="A884" t="s">
        <v>890</v>
      </c>
      <c r="B884" t="s">
        <v>920</v>
      </c>
      <c r="C884" s="2">
        <v>192</v>
      </c>
      <c r="D884" t="s">
        <v>375</v>
      </c>
      <c r="E884" t="s">
        <v>461</v>
      </c>
      <c r="F884" t="s">
        <v>907</v>
      </c>
      <c r="G884" s="5" t="s">
        <v>921</v>
      </c>
      <c r="H884" t="s">
        <v>2438</v>
      </c>
      <c r="I884" s="6">
        <f t="shared" si="13"/>
        <v>35</v>
      </c>
      <c r="J884" s="2">
        <v>4500</v>
      </c>
      <c r="K884" s="2">
        <v>6.44</v>
      </c>
      <c r="L884" s="4">
        <v>89999</v>
      </c>
      <c r="M884" s="4">
        <v>49999</v>
      </c>
      <c r="N884" s="4">
        <v>3499</v>
      </c>
      <c r="O884" s="4">
        <v>549</v>
      </c>
      <c r="P884" s="4">
        <v>1999</v>
      </c>
      <c r="Q884" t="s">
        <v>2368</v>
      </c>
      <c r="R884">
        <v>2024</v>
      </c>
    </row>
    <row r="885" spans="1:18" x14ac:dyDescent="0.25">
      <c r="A885" t="s">
        <v>890</v>
      </c>
      <c r="B885" t="s">
        <v>1044</v>
      </c>
      <c r="C885" s="2">
        <v>173</v>
      </c>
      <c r="D885" t="s">
        <v>68</v>
      </c>
      <c r="E885" t="s">
        <v>906</v>
      </c>
      <c r="F885" t="s">
        <v>907</v>
      </c>
      <c r="G885" s="5" t="s">
        <v>821</v>
      </c>
      <c r="H885" t="s">
        <v>2438</v>
      </c>
      <c r="I885" s="6">
        <f t="shared" si="13"/>
        <v>52</v>
      </c>
      <c r="J885" s="2">
        <v>4000</v>
      </c>
      <c r="K885" s="2">
        <v>6.44</v>
      </c>
      <c r="L885" s="4">
        <v>49999</v>
      </c>
      <c r="M885" s="4">
        <v>25999</v>
      </c>
      <c r="N885" s="4">
        <v>2699</v>
      </c>
      <c r="O885" s="4">
        <v>499</v>
      </c>
      <c r="P885" s="4">
        <v>1499</v>
      </c>
      <c r="Q885" t="s">
        <v>2368</v>
      </c>
      <c r="R885">
        <v>2020</v>
      </c>
    </row>
    <row r="886" spans="1:18" x14ac:dyDescent="0.25">
      <c r="A886" t="s">
        <v>890</v>
      </c>
      <c r="B886" t="s">
        <v>1047</v>
      </c>
      <c r="C886" s="2">
        <v>173</v>
      </c>
      <c r="D886" t="s">
        <v>68</v>
      </c>
      <c r="E886" t="s">
        <v>906</v>
      </c>
      <c r="F886" t="s">
        <v>907</v>
      </c>
      <c r="G886" s="5" t="s">
        <v>821</v>
      </c>
      <c r="H886" t="s">
        <v>2438</v>
      </c>
      <c r="I886" s="6">
        <f t="shared" si="13"/>
        <v>52</v>
      </c>
      <c r="J886" s="2">
        <v>4000</v>
      </c>
      <c r="K886" s="2">
        <v>6.44</v>
      </c>
      <c r="L886" s="4">
        <v>54999</v>
      </c>
      <c r="M886" s="4">
        <v>29999</v>
      </c>
      <c r="N886" s="4">
        <v>2999</v>
      </c>
      <c r="O886" s="4">
        <v>549</v>
      </c>
      <c r="P886" s="4">
        <v>1699</v>
      </c>
      <c r="Q886" t="s">
        <v>2368</v>
      </c>
      <c r="R886">
        <v>2020</v>
      </c>
    </row>
    <row r="887" spans="1:18" x14ac:dyDescent="0.25">
      <c r="A887" t="s">
        <v>890</v>
      </c>
      <c r="B887" t="s">
        <v>1055</v>
      </c>
      <c r="C887" s="2">
        <v>185</v>
      </c>
      <c r="D887" t="s">
        <v>68</v>
      </c>
      <c r="E887" t="s">
        <v>461</v>
      </c>
      <c r="F887" t="s">
        <v>580</v>
      </c>
      <c r="G887" s="5" t="s">
        <v>911</v>
      </c>
      <c r="H887" t="s">
        <v>2438</v>
      </c>
      <c r="I887" s="6">
        <f t="shared" si="13"/>
        <v>38</v>
      </c>
      <c r="J887" s="2">
        <v>4450</v>
      </c>
      <c r="K887" s="2">
        <v>6.56</v>
      </c>
      <c r="L887" s="4">
        <v>99999</v>
      </c>
      <c r="M887" s="4">
        <v>39999</v>
      </c>
      <c r="N887" s="4">
        <v>4299</v>
      </c>
      <c r="O887" s="4">
        <v>749</v>
      </c>
      <c r="P887" s="4">
        <v>2099</v>
      </c>
      <c r="Q887" t="s">
        <v>2368</v>
      </c>
      <c r="R887">
        <v>2021</v>
      </c>
    </row>
    <row r="888" spans="1:18" x14ac:dyDescent="0.25">
      <c r="A888" t="s">
        <v>890</v>
      </c>
      <c r="B888" t="s">
        <v>1057</v>
      </c>
      <c r="C888" s="2">
        <v>185</v>
      </c>
      <c r="D888" t="s">
        <v>68</v>
      </c>
      <c r="E888" t="s">
        <v>461</v>
      </c>
      <c r="F888" t="s">
        <v>580</v>
      </c>
      <c r="G888" s="5" t="s">
        <v>911</v>
      </c>
      <c r="H888" t="s">
        <v>2438</v>
      </c>
      <c r="I888" s="6">
        <f t="shared" si="13"/>
        <v>38</v>
      </c>
      <c r="J888" s="2">
        <v>4450</v>
      </c>
      <c r="K888" s="2">
        <v>6.56</v>
      </c>
      <c r="L888" s="4">
        <v>109999</v>
      </c>
      <c r="M888" s="4">
        <v>44999</v>
      </c>
      <c r="N888" s="4">
        <v>4699</v>
      </c>
      <c r="O888" s="4">
        <v>799</v>
      </c>
      <c r="P888" s="4">
        <v>2299</v>
      </c>
      <c r="Q888" t="s">
        <v>2368</v>
      </c>
      <c r="R888">
        <v>2021</v>
      </c>
    </row>
    <row r="889" spans="1:18" x14ac:dyDescent="0.25">
      <c r="A889" t="s">
        <v>890</v>
      </c>
      <c r="B889" t="s">
        <v>1058</v>
      </c>
      <c r="C889" s="2">
        <v>181</v>
      </c>
      <c r="D889" t="s">
        <v>18</v>
      </c>
      <c r="E889" t="s">
        <v>585</v>
      </c>
      <c r="F889" t="s">
        <v>580</v>
      </c>
      <c r="G889" s="5" t="s">
        <v>680</v>
      </c>
      <c r="H889" t="s">
        <v>2438</v>
      </c>
      <c r="I889" s="6">
        <f t="shared" si="13"/>
        <v>40</v>
      </c>
      <c r="J889" s="2">
        <v>5000</v>
      </c>
      <c r="K889" s="2">
        <v>6.58</v>
      </c>
      <c r="L889" s="4">
        <v>39999</v>
      </c>
      <c r="M889" s="4">
        <v>17999</v>
      </c>
      <c r="N889" s="4">
        <v>1799</v>
      </c>
      <c r="O889" s="4">
        <v>269</v>
      </c>
      <c r="P889" s="4">
        <v>999</v>
      </c>
      <c r="Q889" t="s">
        <v>2368</v>
      </c>
      <c r="R889">
        <v>2022</v>
      </c>
    </row>
    <row r="890" spans="1:18" x14ac:dyDescent="0.25">
      <c r="A890" t="s">
        <v>890</v>
      </c>
      <c r="B890" t="s">
        <v>1060</v>
      </c>
      <c r="C890" s="2">
        <v>181</v>
      </c>
      <c r="D890" t="s">
        <v>68</v>
      </c>
      <c r="E890" t="s">
        <v>585</v>
      </c>
      <c r="F890" t="s">
        <v>580</v>
      </c>
      <c r="G890" s="5" t="s">
        <v>680</v>
      </c>
      <c r="H890" t="s">
        <v>2438</v>
      </c>
      <c r="I890" s="6">
        <f t="shared" si="13"/>
        <v>40</v>
      </c>
      <c r="J890" s="2">
        <v>5000</v>
      </c>
      <c r="K890" s="2">
        <v>6.58</v>
      </c>
      <c r="L890" s="4">
        <v>44999</v>
      </c>
      <c r="M890" s="4">
        <v>21999</v>
      </c>
      <c r="N890" s="4">
        <v>1999</v>
      </c>
      <c r="O890" s="4">
        <v>319</v>
      </c>
      <c r="P890" s="4">
        <v>1099</v>
      </c>
      <c r="Q890" t="s">
        <v>2368</v>
      </c>
      <c r="R890">
        <v>2022</v>
      </c>
    </row>
    <row r="891" spans="1:18" x14ac:dyDescent="0.25">
      <c r="A891" t="s">
        <v>890</v>
      </c>
      <c r="B891" t="s">
        <v>1066</v>
      </c>
      <c r="C891" s="2">
        <v>182</v>
      </c>
      <c r="D891" t="s">
        <v>68</v>
      </c>
      <c r="E891" t="s">
        <v>580</v>
      </c>
      <c r="F891" t="s">
        <v>580</v>
      </c>
      <c r="G891" s="5" t="s">
        <v>2392</v>
      </c>
      <c r="H891" t="s">
        <v>2438</v>
      </c>
      <c r="I891" s="6">
        <f t="shared" si="13"/>
        <v>70</v>
      </c>
      <c r="J891" s="2">
        <v>4600</v>
      </c>
      <c r="K891" s="2">
        <v>6.78</v>
      </c>
      <c r="L891" s="4">
        <v>79999</v>
      </c>
      <c r="M891" s="4">
        <v>29999</v>
      </c>
      <c r="N891" s="4">
        <v>2999</v>
      </c>
      <c r="O891" s="4">
        <v>599</v>
      </c>
      <c r="P891" s="4">
        <v>1699</v>
      </c>
      <c r="Q891" t="s">
        <v>2368</v>
      </c>
      <c r="R891">
        <v>2023</v>
      </c>
    </row>
    <row r="892" spans="1:18" x14ac:dyDescent="0.25">
      <c r="A892" t="s">
        <v>890</v>
      </c>
      <c r="B892" t="s">
        <v>1069</v>
      </c>
      <c r="C892" s="2">
        <v>182</v>
      </c>
      <c r="D892" t="s">
        <v>68</v>
      </c>
      <c r="E892" t="s">
        <v>580</v>
      </c>
      <c r="F892" t="s">
        <v>580</v>
      </c>
      <c r="G892" s="5" t="s">
        <v>2392</v>
      </c>
      <c r="H892" t="s">
        <v>2438</v>
      </c>
      <c r="I892" s="6">
        <f t="shared" si="13"/>
        <v>70</v>
      </c>
      <c r="J892" s="2">
        <v>4600</v>
      </c>
      <c r="K892" s="2">
        <v>6.78</v>
      </c>
      <c r="L892" s="4">
        <v>84999</v>
      </c>
      <c r="M892" s="4">
        <v>32999</v>
      </c>
      <c r="N892" s="4">
        <v>3199</v>
      </c>
      <c r="O892" s="4">
        <v>649</v>
      </c>
      <c r="P892" s="4">
        <v>1899</v>
      </c>
      <c r="Q892" t="s">
        <v>2368</v>
      </c>
      <c r="R892">
        <v>2023</v>
      </c>
    </row>
    <row r="893" spans="1:18" x14ac:dyDescent="0.25">
      <c r="A893" t="s">
        <v>890</v>
      </c>
      <c r="B893" t="s">
        <v>1071</v>
      </c>
      <c r="C893" s="2">
        <v>182</v>
      </c>
      <c r="D893" t="s">
        <v>68</v>
      </c>
      <c r="E893" t="s">
        <v>580</v>
      </c>
      <c r="F893" t="s">
        <v>580</v>
      </c>
      <c r="G893" s="5" t="s">
        <v>2392</v>
      </c>
      <c r="H893" t="s">
        <v>2438</v>
      </c>
      <c r="I893" s="6">
        <f t="shared" si="13"/>
        <v>70</v>
      </c>
      <c r="J893" s="2">
        <v>4600</v>
      </c>
      <c r="K893" s="2">
        <v>6.78</v>
      </c>
      <c r="L893" s="4">
        <v>89999</v>
      </c>
      <c r="M893" s="4">
        <v>34999</v>
      </c>
      <c r="N893" s="4">
        <v>3299</v>
      </c>
      <c r="O893" s="4">
        <v>699</v>
      </c>
      <c r="P893" s="4">
        <v>1899</v>
      </c>
      <c r="Q893" t="s">
        <v>2368</v>
      </c>
      <c r="R893">
        <v>2023</v>
      </c>
    </row>
    <row r="894" spans="1:18" x14ac:dyDescent="0.25">
      <c r="A894" t="s">
        <v>890</v>
      </c>
      <c r="B894" t="s">
        <v>1072</v>
      </c>
      <c r="C894" s="2">
        <v>182</v>
      </c>
      <c r="D894" t="s">
        <v>68</v>
      </c>
      <c r="E894" t="s">
        <v>580</v>
      </c>
      <c r="F894" t="s">
        <v>580</v>
      </c>
      <c r="G894" s="5" t="s">
        <v>2392</v>
      </c>
      <c r="H894" t="s">
        <v>2438</v>
      </c>
      <c r="I894" s="6">
        <f t="shared" si="13"/>
        <v>70</v>
      </c>
      <c r="J894" s="2">
        <v>4600</v>
      </c>
      <c r="K894" s="2">
        <v>6.78</v>
      </c>
      <c r="L894" s="4">
        <v>94999</v>
      </c>
      <c r="M894" s="4">
        <v>37999</v>
      </c>
      <c r="N894" s="4">
        <v>3499</v>
      </c>
      <c r="O894" s="4">
        <v>749</v>
      </c>
      <c r="P894" s="4">
        <v>2099</v>
      </c>
      <c r="Q894" t="s">
        <v>2368</v>
      </c>
      <c r="R894">
        <v>2023</v>
      </c>
    </row>
    <row r="895" spans="1:18" x14ac:dyDescent="0.25">
      <c r="A895" t="s">
        <v>890</v>
      </c>
      <c r="B895" t="s">
        <v>1073</v>
      </c>
      <c r="C895" s="2">
        <v>190</v>
      </c>
      <c r="D895" t="s">
        <v>68</v>
      </c>
      <c r="E895" t="s">
        <v>461</v>
      </c>
      <c r="F895" t="s">
        <v>907</v>
      </c>
      <c r="G895" s="5" t="s">
        <v>1233</v>
      </c>
      <c r="H895" t="s">
        <v>2438</v>
      </c>
      <c r="I895" s="6">
        <f t="shared" si="13"/>
        <v>40</v>
      </c>
      <c r="J895" s="2">
        <v>4830</v>
      </c>
      <c r="K895" s="2">
        <v>6.56</v>
      </c>
      <c r="L895" s="4">
        <v>79999</v>
      </c>
      <c r="M895" s="4">
        <v>25999</v>
      </c>
      <c r="N895" s="4">
        <v>2799</v>
      </c>
      <c r="O895" s="4">
        <v>599</v>
      </c>
      <c r="P895" s="4">
        <v>1599</v>
      </c>
      <c r="Q895" t="s">
        <v>2368</v>
      </c>
      <c r="R895">
        <v>2022</v>
      </c>
    </row>
    <row r="896" spans="1:18" x14ac:dyDescent="0.25">
      <c r="A896" t="s">
        <v>890</v>
      </c>
      <c r="B896" t="s">
        <v>1075</v>
      </c>
      <c r="C896" s="2">
        <v>190</v>
      </c>
      <c r="D896" t="s">
        <v>68</v>
      </c>
      <c r="E896" t="s">
        <v>461</v>
      </c>
      <c r="F896" t="s">
        <v>907</v>
      </c>
      <c r="G896" s="5" t="s">
        <v>1233</v>
      </c>
      <c r="H896" t="s">
        <v>2438</v>
      </c>
      <c r="I896" s="6">
        <f t="shared" si="13"/>
        <v>40</v>
      </c>
      <c r="J896" s="2">
        <v>4830</v>
      </c>
      <c r="K896" s="2">
        <v>6.56</v>
      </c>
      <c r="L896" s="4">
        <v>85999</v>
      </c>
      <c r="M896" s="4">
        <v>29999</v>
      </c>
      <c r="N896" s="4">
        <v>2999</v>
      </c>
      <c r="O896" s="4">
        <v>649</v>
      </c>
      <c r="P896" s="4">
        <v>1799</v>
      </c>
      <c r="Q896" t="s">
        <v>2368</v>
      </c>
      <c r="R896">
        <v>2022</v>
      </c>
    </row>
    <row r="897" spans="1:18" x14ac:dyDescent="0.25">
      <c r="A897" t="s">
        <v>890</v>
      </c>
      <c r="B897" t="s">
        <v>1081</v>
      </c>
      <c r="C897" s="2">
        <v>190</v>
      </c>
      <c r="D897" t="s">
        <v>68</v>
      </c>
      <c r="E897" t="s">
        <v>585</v>
      </c>
      <c r="F897" t="s">
        <v>907</v>
      </c>
      <c r="G897" s="5" t="s">
        <v>915</v>
      </c>
      <c r="H897" t="s">
        <v>2438</v>
      </c>
      <c r="I897" s="6">
        <f t="shared" si="13"/>
        <v>28</v>
      </c>
      <c r="J897" s="2">
        <v>4500</v>
      </c>
      <c r="K897" s="2">
        <v>6.44</v>
      </c>
      <c r="L897" s="4">
        <v>59999</v>
      </c>
      <c r="M897" s="4">
        <v>19999</v>
      </c>
      <c r="N897" s="4">
        <v>1999</v>
      </c>
      <c r="O897" s="4">
        <v>399</v>
      </c>
      <c r="P897" s="4">
        <v>1199</v>
      </c>
      <c r="Q897" t="s">
        <v>2368</v>
      </c>
      <c r="R897">
        <v>2023</v>
      </c>
    </row>
    <row r="898" spans="1:18" x14ac:dyDescent="0.25">
      <c r="A898" t="s">
        <v>890</v>
      </c>
      <c r="B898" t="s">
        <v>1082</v>
      </c>
      <c r="C898" s="2">
        <v>190</v>
      </c>
      <c r="D898" t="s">
        <v>68</v>
      </c>
      <c r="E898" t="s">
        <v>585</v>
      </c>
      <c r="F898" t="s">
        <v>907</v>
      </c>
      <c r="G898" s="5" t="s">
        <v>915</v>
      </c>
      <c r="H898" t="s">
        <v>2438</v>
      </c>
      <c r="I898" s="6">
        <f t="shared" ref="I898:I931" si="14">_xlfn.XLOOKUP(G898, $T$2:$T$183,$U$2:$U$183,"Unknown",0)</f>
        <v>28</v>
      </c>
      <c r="J898" s="2">
        <v>4500</v>
      </c>
      <c r="K898" s="2">
        <v>6.44</v>
      </c>
      <c r="L898" s="4">
        <v>64999</v>
      </c>
      <c r="M898" s="4">
        <v>22999</v>
      </c>
      <c r="N898" s="4">
        <v>2199</v>
      </c>
      <c r="O898" s="4">
        <v>449</v>
      </c>
      <c r="P898" s="4">
        <v>1399</v>
      </c>
      <c r="Q898" t="s">
        <v>2368</v>
      </c>
      <c r="R898">
        <v>2023</v>
      </c>
    </row>
    <row r="899" spans="1:18" x14ac:dyDescent="0.25">
      <c r="A899" t="s">
        <v>890</v>
      </c>
      <c r="B899" t="s">
        <v>1083</v>
      </c>
      <c r="C899" s="2">
        <v>190</v>
      </c>
      <c r="D899" t="s">
        <v>68</v>
      </c>
      <c r="E899" t="s">
        <v>585</v>
      </c>
      <c r="F899" t="s">
        <v>907</v>
      </c>
      <c r="G899" s="5" t="s">
        <v>680</v>
      </c>
      <c r="H899" t="s">
        <v>2438</v>
      </c>
      <c r="I899" s="6">
        <f t="shared" si="14"/>
        <v>40</v>
      </c>
      <c r="J899" s="2">
        <v>4500</v>
      </c>
      <c r="K899" s="2">
        <v>6.44</v>
      </c>
      <c r="L899" s="4">
        <v>49999</v>
      </c>
      <c r="M899" s="4">
        <v>15999</v>
      </c>
      <c r="N899" s="4">
        <v>1699</v>
      </c>
      <c r="O899" s="4">
        <v>299</v>
      </c>
      <c r="P899" s="4">
        <v>999</v>
      </c>
      <c r="Q899" t="s">
        <v>2368</v>
      </c>
      <c r="R899">
        <v>2023</v>
      </c>
    </row>
    <row r="900" spans="1:18" x14ac:dyDescent="0.25">
      <c r="A900" t="s">
        <v>890</v>
      </c>
      <c r="B900" t="s">
        <v>1084</v>
      </c>
      <c r="C900" s="2">
        <v>190</v>
      </c>
      <c r="D900" t="s">
        <v>68</v>
      </c>
      <c r="E900" t="s">
        <v>585</v>
      </c>
      <c r="F900" t="s">
        <v>907</v>
      </c>
      <c r="G900" s="5" t="s">
        <v>680</v>
      </c>
      <c r="H900" t="s">
        <v>2438</v>
      </c>
      <c r="I900" s="6">
        <f t="shared" si="14"/>
        <v>40</v>
      </c>
      <c r="J900" s="2">
        <v>4500</v>
      </c>
      <c r="K900" s="2">
        <v>6.44</v>
      </c>
      <c r="L900" s="4">
        <v>54999</v>
      </c>
      <c r="M900" s="4">
        <v>18999</v>
      </c>
      <c r="N900" s="4">
        <v>1799</v>
      </c>
      <c r="O900" s="4">
        <v>349</v>
      </c>
      <c r="P900" s="4">
        <v>1099</v>
      </c>
      <c r="Q900" t="s">
        <v>2368</v>
      </c>
      <c r="R900">
        <v>2023</v>
      </c>
    </row>
    <row r="901" spans="1:18" x14ac:dyDescent="0.25">
      <c r="A901" t="s">
        <v>890</v>
      </c>
      <c r="B901" t="s">
        <v>1085</v>
      </c>
      <c r="C901" s="2">
        <v>179</v>
      </c>
      <c r="D901" t="s">
        <v>68</v>
      </c>
      <c r="E901" t="s">
        <v>580</v>
      </c>
      <c r="F901" t="s">
        <v>907</v>
      </c>
      <c r="G901" s="5" t="s">
        <v>2431</v>
      </c>
      <c r="H901" t="s">
        <v>2438</v>
      </c>
      <c r="I901" s="6">
        <f t="shared" si="14"/>
        <v>30</v>
      </c>
      <c r="J901" s="2">
        <v>4200</v>
      </c>
      <c r="K901" s="2">
        <v>6.44</v>
      </c>
      <c r="L901" s="4">
        <v>69999</v>
      </c>
      <c r="M901" s="4">
        <v>27999</v>
      </c>
      <c r="N901" s="4">
        <v>2799</v>
      </c>
      <c r="O901" s="4">
        <v>499</v>
      </c>
      <c r="P901" s="4">
        <v>1499</v>
      </c>
      <c r="Q901" t="s">
        <v>2368</v>
      </c>
      <c r="R901">
        <v>2022</v>
      </c>
    </row>
    <row r="902" spans="1:18" x14ac:dyDescent="0.25">
      <c r="A902" t="s">
        <v>890</v>
      </c>
      <c r="B902" t="s">
        <v>1087</v>
      </c>
      <c r="C902" s="2">
        <v>179</v>
      </c>
      <c r="D902" t="s">
        <v>68</v>
      </c>
      <c r="E902" t="s">
        <v>580</v>
      </c>
      <c r="F902" t="s">
        <v>907</v>
      </c>
      <c r="G902" s="5" t="s">
        <v>2431</v>
      </c>
      <c r="H902" t="s">
        <v>2438</v>
      </c>
      <c r="I902" s="6">
        <f t="shared" si="14"/>
        <v>30</v>
      </c>
      <c r="J902" s="2">
        <v>4200</v>
      </c>
      <c r="K902" s="2">
        <v>6.44</v>
      </c>
      <c r="L902" s="4">
        <v>74999</v>
      </c>
      <c r="M902" s="4">
        <v>32999</v>
      </c>
      <c r="N902" s="4">
        <v>3199</v>
      </c>
      <c r="O902" s="4">
        <v>549</v>
      </c>
      <c r="P902" s="4">
        <v>1699</v>
      </c>
      <c r="Q902" t="s">
        <v>2368</v>
      </c>
      <c r="R902">
        <v>2022</v>
      </c>
    </row>
    <row r="903" spans="1:18" x14ac:dyDescent="0.25">
      <c r="A903" t="s">
        <v>890</v>
      </c>
      <c r="B903" t="s">
        <v>1096</v>
      </c>
      <c r="C903" s="2">
        <v>535</v>
      </c>
      <c r="D903" t="s">
        <v>68</v>
      </c>
      <c r="E903" t="s">
        <v>307</v>
      </c>
      <c r="F903" t="s">
        <v>580</v>
      </c>
      <c r="G903" s="5" t="s">
        <v>911</v>
      </c>
      <c r="H903" t="s">
        <v>2438</v>
      </c>
      <c r="I903" s="6">
        <f t="shared" si="14"/>
        <v>38</v>
      </c>
      <c r="J903" s="2">
        <v>8040</v>
      </c>
      <c r="K903" s="2">
        <v>11</v>
      </c>
      <c r="L903" s="4">
        <v>74999</v>
      </c>
      <c r="M903" s="4">
        <v>39999</v>
      </c>
      <c r="N903" s="4">
        <v>3199</v>
      </c>
      <c r="O903" s="4">
        <v>399</v>
      </c>
      <c r="P903" s="4">
        <v>1399</v>
      </c>
      <c r="Q903" t="s">
        <v>2369</v>
      </c>
      <c r="R903">
        <v>2023</v>
      </c>
    </row>
    <row r="904" spans="1:18" x14ac:dyDescent="0.25">
      <c r="A904" t="s">
        <v>890</v>
      </c>
      <c r="B904" t="s">
        <v>1104</v>
      </c>
      <c r="C904" s="2">
        <v>500</v>
      </c>
      <c r="D904" t="s">
        <v>18</v>
      </c>
      <c r="E904" t="s">
        <v>307</v>
      </c>
      <c r="F904" t="s">
        <v>475</v>
      </c>
      <c r="G904" s="5" t="s">
        <v>826</v>
      </c>
      <c r="H904" t="s">
        <v>2438</v>
      </c>
      <c r="I904" s="6">
        <f t="shared" si="14"/>
        <v>50</v>
      </c>
      <c r="J904" s="2">
        <v>8040</v>
      </c>
      <c r="K904" s="2">
        <v>11</v>
      </c>
      <c r="L904" s="4">
        <v>62999</v>
      </c>
      <c r="M904" s="4">
        <v>34999</v>
      </c>
      <c r="N904" s="4">
        <v>2399</v>
      </c>
      <c r="O904" s="4">
        <v>349</v>
      </c>
      <c r="P904" s="4">
        <v>1199</v>
      </c>
      <c r="Q904" t="s">
        <v>2369</v>
      </c>
      <c r="R904">
        <v>2023</v>
      </c>
    </row>
    <row r="905" spans="1:18" x14ac:dyDescent="0.25">
      <c r="A905" t="s">
        <v>1549</v>
      </c>
      <c r="B905" t="s">
        <v>1609</v>
      </c>
      <c r="C905" s="2">
        <v>195</v>
      </c>
      <c r="D905" t="s">
        <v>162</v>
      </c>
      <c r="E905" t="s">
        <v>307</v>
      </c>
      <c r="F905" t="s">
        <v>1610</v>
      </c>
      <c r="G905" s="5" t="s">
        <v>2373</v>
      </c>
      <c r="H905" t="s">
        <v>2439</v>
      </c>
      <c r="I905" s="6">
        <f t="shared" si="14"/>
        <v>18</v>
      </c>
      <c r="J905" s="2">
        <v>5000</v>
      </c>
      <c r="K905" s="2">
        <v>6.5</v>
      </c>
      <c r="L905" s="4">
        <v>39999</v>
      </c>
      <c r="M905" s="4">
        <v>14999</v>
      </c>
      <c r="N905" s="4">
        <v>1299</v>
      </c>
      <c r="O905" s="4">
        <v>199</v>
      </c>
      <c r="P905" s="4">
        <v>799</v>
      </c>
      <c r="Q905" t="s">
        <v>2368</v>
      </c>
      <c r="R905">
        <v>2024</v>
      </c>
    </row>
    <row r="906" spans="1:18" x14ac:dyDescent="0.25">
      <c r="A906" t="s">
        <v>1549</v>
      </c>
      <c r="B906" t="s">
        <v>1612</v>
      </c>
      <c r="C906" s="2">
        <v>195</v>
      </c>
      <c r="D906" t="s">
        <v>18</v>
      </c>
      <c r="E906" t="s">
        <v>307</v>
      </c>
      <c r="F906" t="s">
        <v>1610</v>
      </c>
      <c r="G906" s="5" t="s">
        <v>2373</v>
      </c>
      <c r="H906" t="s">
        <v>2439</v>
      </c>
      <c r="I906" s="6">
        <f t="shared" si="14"/>
        <v>18</v>
      </c>
      <c r="J906" s="2">
        <v>5000</v>
      </c>
      <c r="K906" s="2">
        <v>6.5</v>
      </c>
      <c r="L906" s="4">
        <v>44999</v>
      </c>
      <c r="M906" s="4">
        <v>16999</v>
      </c>
      <c r="N906" s="4">
        <v>1499</v>
      </c>
      <c r="O906" s="4">
        <v>229</v>
      </c>
      <c r="P906" s="4">
        <v>899</v>
      </c>
      <c r="Q906" t="s">
        <v>2368</v>
      </c>
      <c r="R906">
        <v>2024</v>
      </c>
    </row>
    <row r="907" spans="1:18" x14ac:dyDescent="0.25">
      <c r="A907" t="s">
        <v>1549</v>
      </c>
      <c r="B907" t="s">
        <v>1550</v>
      </c>
      <c r="C907" s="2">
        <v>210</v>
      </c>
      <c r="D907" t="s">
        <v>375</v>
      </c>
      <c r="E907" t="s">
        <v>461</v>
      </c>
      <c r="F907" t="s">
        <v>1551</v>
      </c>
      <c r="G907" s="5" t="s">
        <v>1552</v>
      </c>
      <c r="H907" t="s">
        <v>2437</v>
      </c>
      <c r="I907" s="6">
        <f t="shared" si="14"/>
        <v>100</v>
      </c>
      <c r="J907" s="2">
        <v>6100</v>
      </c>
      <c r="K907" s="2">
        <v>6.73</v>
      </c>
      <c r="L907" s="4">
        <v>199999</v>
      </c>
      <c r="M907" s="4">
        <v>89999</v>
      </c>
      <c r="N907" s="4">
        <v>5299</v>
      </c>
      <c r="O907" s="4">
        <v>799</v>
      </c>
      <c r="P907" s="4">
        <v>3299</v>
      </c>
      <c r="Q907" t="s">
        <v>2368</v>
      </c>
      <c r="R907">
        <v>2024</v>
      </c>
    </row>
    <row r="908" spans="1:18" x14ac:dyDescent="0.25">
      <c r="A908" t="s">
        <v>1549</v>
      </c>
      <c r="B908" t="s">
        <v>1555</v>
      </c>
      <c r="C908" s="2">
        <v>210</v>
      </c>
      <c r="D908" t="s">
        <v>759</v>
      </c>
      <c r="E908" t="s">
        <v>461</v>
      </c>
      <c r="F908" t="s">
        <v>1551</v>
      </c>
      <c r="G908" s="5" t="s">
        <v>1552</v>
      </c>
      <c r="H908" t="s">
        <v>2437</v>
      </c>
      <c r="I908" s="6">
        <f t="shared" si="14"/>
        <v>100</v>
      </c>
      <c r="J908" s="2">
        <v>6100</v>
      </c>
      <c r="K908" s="2">
        <v>6.73</v>
      </c>
      <c r="L908" s="4">
        <v>219999</v>
      </c>
      <c r="M908" s="4">
        <v>99999</v>
      </c>
      <c r="N908" s="4">
        <v>5799</v>
      </c>
      <c r="O908" s="4">
        <v>899</v>
      </c>
      <c r="P908" s="4">
        <v>3699</v>
      </c>
      <c r="Q908" t="s">
        <v>2368</v>
      </c>
      <c r="R908">
        <v>2024</v>
      </c>
    </row>
    <row r="909" spans="1:18" x14ac:dyDescent="0.25">
      <c r="A909" t="s">
        <v>1549</v>
      </c>
      <c r="B909" t="s">
        <v>1556</v>
      </c>
      <c r="C909" s="2">
        <v>210</v>
      </c>
      <c r="D909" t="s">
        <v>759</v>
      </c>
      <c r="E909" t="s">
        <v>461</v>
      </c>
      <c r="F909" t="s">
        <v>1551</v>
      </c>
      <c r="G909" s="5" t="s">
        <v>1552</v>
      </c>
      <c r="H909" t="s">
        <v>2437</v>
      </c>
      <c r="I909" s="6">
        <f t="shared" si="14"/>
        <v>100</v>
      </c>
      <c r="J909" s="2">
        <v>6100</v>
      </c>
      <c r="K909" s="2">
        <v>6.73</v>
      </c>
      <c r="L909" s="4">
        <v>239999</v>
      </c>
      <c r="M909" s="4">
        <v>109999</v>
      </c>
      <c r="N909" s="4">
        <v>6499</v>
      </c>
      <c r="O909" s="4">
        <v>999</v>
      </c>
      <c r="P909" s="4">
        <v>4099</v>
      </c>
      <c r="Q909" t="s">
        <v>2368</v>
      </c>
      <c r="R909">
        <v>2024</v>
      </c>
    </row>
    <row r="910" spans="1:18" x14ac:dyDescent="0.25">
      <c r="A910" t="s">
        <v>1549</v>
      </c>
      <c r="B910" t="s">
        <v>1557</v>
      </c>
      <c r="C910" s="2">
        <v>190</v>
      </c>
      <c r="D910" t="s">
        <v>375</v>
      </c>
      <c r="E910" t="s">
        <v>461</v>
      </c>
      <c r="F910" t="s">
        <v>1558</v>
      </c>
      <c r="G910" s="5" t="s">
        <v>1552</v>
      </c>
      <c r="H910" t="s">
        <v>2437</v>
      </c>
      <c r="I910" s="6">
        <f t="shared" si="14"/>
        <v>100</v>
      </c>
      <c r="J910" s="2">
        <v>5400</v>
      </c>
      <c r="K910" s="2">
        <v>6.36</v>
      </c>
      <c r="L910" s="4">
        <v>179999</v>
      </c>
      <c r="M910" s="4">
        <v>79999</v>
      </c>
      <c r="N910" s="4">
        <v>4299</v>
      </c>
      <c r="O910" s="4">
        <v>699</v>
      </c>
      <c r="P910" s="4">
        <v>2899</v>
      </c>
      <c r="Q910" t="s">
        <v>2368</v>
      </c>
      <c r="R910">
        <v>2024</v>
      </c>
    </row>
    <row r="911" spans="1:18" x14ac:dyDescent="0.25">
      <c r="A911" t="s">
        <v>1549</v>
      </c>
      <c r="B911" t="s">
        <v>1561</v>
      </c>
      <c r="C911" s="2">
        <v>190</v>
      </c>
      <c r="D911" t="s">
        <v>759</v>
      </c>
      <c r="E911" t="s">
        <v>461</v>
      </c>
      <c r="F911" t="s">
        <v>1558</v>
      </c>
      <c r="G911" s="5" t="s">
        <v>1552</v>
      </c>
      <c r="H911" t="s">
        <v>2437</v>
      </c>
      <c r="I911" s="6">
        <f t="shared" si="14"/>
        <v>100</v>
      </c>
      <c r="J911" s="2">
        <v>5400</v>
      </c>
      <c r="K911" s="2">
        <v>6.36</v>
      </c>
      <c r="L911" s="4">
        <v>199999</v>
      </c>
      <c r="M911" s="4">
        <v>89999</v>
      </c>
      <c r="N911" s="4">
        <v>4799</v>
      </c>
      <c r="O911" s="4">
        <v>799</v>
      </c>
      <c r="P911" s="4">
        <v>3299</v>
      </c>
      <c r="Q911" t="s">
        <v>2368</v>
      </c>
      <c r="R911">
        <v>2024</v>
      </c>
    </row>
    <row r="912" spans="1:18" x14ac:dyDescent="0.25">
      <c r="A912" t="s">
        <v>1549</v>
      </c>
      <c r="B912" t="s">
        <v>1563</v>
      </c>
      <c r="C912" s="2">
        <v>209</v>
      </c>
      <c r="D912" t="s">
        <v>375</v>
      </c>
      <c r="E912" t="s">
        <v>461</v>
      </c>
      <c r="F912" t="s">
        <v>1551</v>
      </c>
      <c r="G912" s="5" t="s">
        <v>1565</v>
      </c>
      <c r="H912" t="s">
        <v>2437</v>
      </c>
      <c r="I912" s="6">
        <f t="shared" si="14"/>
        <v>102</v>
      </c>
      <c r="J912" s="2">
        <v>5000</v>
      </c>
      <c r="K912" s="2">
        <v>6.67</v>
      </c>
      <c r="L912" s="4">
        <v>169999</v>
      </c>
      <c r="M912" s="4">
        <v>74999</v>
      </c>
      <c r="N912" s="4">
        <v>3999</v>
      </c>
      <c r="O912" s="4">
        <v>634.99</v>
      </c>
      <c r="P912" s="4">
        <v>2699</v>
      </c>
      <c r="Q912" t="s">
        <v>2368</v>
      </c>
      <c r="R912">
        <v>2024</v>
      </c>
    </row>
    <row r="913" spans="1:18" x14ac:dyDescent="0.25">
      <c r="A913" t="s">
        <v>1549</v>
      </c>
      <c r="B913" t="s">
        <v>1567</v>
      </c>
      <c r="C913" s="2">
        <v>209</v>
      </c>
      <c r="D913" t="s">
        <v>375</v>
      </c>
      <c r="E913" t="s">
        <v>461</v>
      </c>
      <c r="F913" t="s">
        <v>1551</v>
      </c>
      <c r="G913" s="5" t="s">
        <v>1565</v>
      </c>
      <c r="H913" t="s">
        <v>2437</v>
      </c>
      <c r="I913" s="6">
        <f t="shared" si="14"/>
        <v>102</v>
      </c>
      <c r="J913" s="2">
        <v>5000</v>
      </c>
      <c r="K913" s="2">
        <v>6.67</v>
      </c>
      <c r="L913" s="4">
        <v>189999</v>
      </c>
      <c r="M913" s="4">
        <v>84999</v>
      </c>
      <c r="N913" s="4">
        <v>4299</v>
      </c>
      <c r="O913" s="4">
        <v>790.77</v>
      </c>
      <c r="P913" s="4">
        <v>2999</v>
      </c>
      <c r="Q913" t="s">
        <v>2368</v>
      </c>
      <c r="R913">
        <v>2024</v>
      </c>
    </row>
    <row r="914" spans="1:18" x14ac:dyDescent="0.25">
      <c r="A914" t="s">
        <v>1549</v>
      </c>
      <c r="B914" t="s">
        <v>1569</v>
      </c>
      <c r="C914" s="2">
        <v>209</v>
      </c>
      <c r="D914" t="s">
        <v>375</v>
      </c>
      <c r="E914" t="s">
        <v>461</v>
      </c>
      <c r="F914" t="s">
        <v>1551</v>
      </c>
      <c r="G914" s="5" t="s">
        <v>1565</v>
      </c>
      <c r="H914" t="s">
        <v>2437</v>
      </c>
      <c r="I914" s="6">
        <f t="shared" si="14"/>
        <v>102</v>
      </c>
      <c r="J914" s="2">
        <v>5000</v>
      </c>
      <c r="K914" s="2">
        <v>6.67</v>
      </c>
      <c r="L914" s="4">
        <v>209999</v>
      </c>
      <c r="M914" s="4">
        <v>94999</v>
      </c>
      <c r="N914" s="4">
        <v>4799</v>
      </c>
      <c r="O914" s="4">
        <v>899</v>
      </c>
      <c r="P914" s="4">
        <v>3299</v>
      </c>
      <c r="Q914" t="s">
        <v>2368</v>
      </c>
      <c r="R914">
        <v>2024</v>
      </c>
    </row>
    <row r="915" spans="1:18" x14ac:dyDescent="0.25">
      <c r="A915" t="s">
        <v>1549</v>
      </c>
      <c r="B915" t="s">
        <v>1574</v>
      </c>
      <c r="C915" s="2">
        <v>206</v>
      </c>
      <c r="D915" t="s">
        <v>375</v>
      </c>
      <c r="E915" t="s">
        <v>461</v>
      </c>
      <c r="F915" t="s">
        <v>1551</v>
      </c>
      <c r="G915" s="5" t="s">
        <v>737</v>
      </c>
      <c r="H915" t="s">
        <v>2437</v>
      </c>
      <c r="I915" s="6">
        <f t="shared" si="14"/>
        <v>100</v>
      </c>
      <c r="J915" s="2">
        <v>5000</v>
      </c>
      <c r="K915" s="2">
        <v>6.73</v>
      </c>
      <c r="L915" s="4">
        <v>189999</v>
      </c>
      <c r="M915" s="4">
        <v>84999</v>
      </c>
      <c r="N915" s="4">
        <v>4799</v>
      </c>
      <c r="O915" s="4">
        <v>799</v>
      </c>
      <c r="P915" s="4">
        <v>3299</v>
      </c>
      <c r="Q915" t="s">
        <v>2368</v>
      </c>
      <c r="R915">
        <v>2023</v>
      </c>
    </row>
    <row r="916" spans="1:18" x14ac:dyDescent="0.25">
      <c r="A916" t="s">
        <v>1549</v>
      </c>
      <c r="B916" t="s">
        <v>1575</v>
      </c>
      <c r="C916" s="2">
        <v>206</v>
      </c>
      <c r="D916" t="s">
        <v>375</v>
      </c>
      <c r="E916" t="s">
        <v>461</v>
      </c>
      <c r="F916" t="s">
        <v>1551</v>
      </c>
      <c r="G916" s="5" t="s">
        <v>737</v>
      </c>
      <c r="H916" t="s">
        <v>2437</v>
      </c>
      <c r="I916" s="6">
        <f t="shared" si="14"/>
        <v>100</v>
      </c>
      <c r="J916" s="2">
        <v>5000</v>
      </c>
      <c r="K916" s="2">
        <v>6.73</v>
      </c>
      <c r="L916" s="4">
        <v>209999</v>
      </c>
      <c r="M916" s="4">
        <v>94999</v>
      </c>
      <c r="N916" s="4">
        <v>5299</v>
      </c>
      <c r="O916" s="4">
        <v>899</v>
      </c>
      <c r="P916" s="4">
        <v>3699</v>
      </c>
      <c r="Q916" t="s">
        <v>2368</v>
      </c>
      <c r="R916">
        <v>2023</v>
      </c>
    </row>
    <row r="917" spans="1:18" x14ac:dyDescent="0.25">
      <c r="A917" t="s">
        <v>1549</v>
      </c>
      <c r="B917" t="s">
        <v>1576</v>
      </c>
      <c r="C917" s="2">
        <v>189</v>
      </c>
      <c r="D917" t="s">
        <v>375</v>
      </c>
      <c r="E917" t="s">
        <v>461</v>
      </c>
      <c r="F917" t="s">
        <v>1558</v>
      </c>
      <c r="G917" s="5" t="s">
        <v>737</v>
      </c>
      <c r="H917" t="s">
        <v>2437</v>
      </c>
      <c r="I917" s="6">
        <f t="shared" si="14"/>
        <v>100</v>
      </c>
      <c r="J917" s="2">
        <v>4610</v>
      </c>
      <c r="K917" s="2">
        <v>6.36</v>
      </c>
      <c r="L917" s="4">
        <v>169999</v>
      </c>
      <c r="M917" s="4">
        <v>74999</v>
      </c>
      <c r="N917" s="4">
        <v>3999</v>
      </c>
      <c r="O917" s="4">
        <v>699</v>
      </c>
      <c r="P917" s="4">
        <v>2899</v>
      </c>
      <c r="Q917" t="s">
        <v>2368</v>
      </c>
      <c r="R917">
        <v>2023</v>
      </c>
    </row>
    <row r="918" spans="1:18" x14ac:dyDescent="0.25">
      <c r="A918" t="s">
        <v>1549</v>
      </c>
      <c r="B918" t="s">
        <v>1578</v>
      </c>
      <c r="C918" s="2">
        <v>189</v>
      </c>
      <c r="D918" t="s">
        <v>375</v>
      </c>
      <c r="E918" t="s">
        <v>461</v>
      </c>
      <c r="F918" t="s">
        <v>1558</v>
      </c>
      <c r="G918" s="5" t="s">
        <v>737</v>
      </c>
      <c r="H918" t="s">
        <v>2437</v>
      </c>
      <c r="I918" s="6">
        <f t="shared" si="14"/>
        <v>100</v>
      </c>
      <c r="J918" s="2">
        <v>4610</v>
      </c>
      <c r="K918" s="2">
        <v>6.36</v>
      </c>
      <c r="L918" s="4">
        <v>189999</v>
      </c>
      <c r="M918" s="4">
        <v>84999</v>
      </c>
      <c r="N918" s="4">
        <v>4499</v>
      </c>
      <c r="O918" s="4">
        <v>799</v>
      </c>
      <c r="P918" s="4">
        <v>3299</v>
      </c>
      <c r="Q918" t="s">
        <v>2368</v>
      </c>
      <c r="R918">
        <v>2023</v>
      </c>
    </row>
    <row r="919" spans="1:18" x14ac:dyDescent="0.25">
      <c r="A919" t="s">
        <v>1549</v>
      </c>
      <c r="B919" t="s">
        <v>1571</v>
      </c>
      <c r="C919" s="2">
        <v>195</v>
      </c>
      <c r="D919" t="s">
        <v>375</v>
      </c>
      <c r="E919" t="s">
        <v>461</v>
      </c>
      <c r="F919" t="s">
        <v>1558</v>
      </c>
      <c r="G919" s="5" t="s">
        <v>1572</v>
      </c>
      <c r="H919" t="s">
        <v>2438</v>
      </c>
      <c r="I919" s="6">
        <f t="shared" si="14"/>
        <v>77</v>
      </c>
      <c r="J919" s="2">
        <v>5000</v>
      </c>
      <c r="K919" s="2">
        <v>6.67</v>
      </c>
      <c r="L919" s="4">
        <v>149999</v>
      </c>
      <c r="M919" s="4">
        <v>69999</v>
      </c>
      <c r="N919" s="4">
        <v>3499</v>
      </c>
      <c r="O919" s="4">
        <v>599</v>
      </c>
      <c r="P919" s="4">
        <v>2499</v>
      </c>
      <c r="Q919" t="s">
        <v>2368</v>
      </c>
      <c r="R919">
        <v>2024</v>
      </c>
    </row>
    <row r="920" spans="1:18" x14ac:dyDescent="0.25">
      <c r="A920" t="s">
        <v>1549</v>
      </c>
      <c r="B920" t="s">
        <v>1573</v>
      </c>
      <c r="C920" s="2">
        <v>195</v>
      </c>
      <c r="D920" t="s">
        <v>375</v>
      </c>
      <c r="E920" t="s">
        <v>461</v>
      </c>
      <c r="F920" t="s">
        <v>1558</v>
      </c>
      <c r="G920" s="5" t="s">
        <v>1572</v>
      </c>
      <c r="H920" t="s">
        <v>2438</v>
      </c>
      <c r="I920" s="6">
        <f t="shared" si="14"/>
        <v>77</v>
      </c>
      <c r="J920" s="2">
        <v>5000</v>
      </c>
      <c r="K920" s="2">
        <v>6.67</v>
      </c>
      <c r="L920" s="4">
        <v>169999</v>
      </c>
      <c r="M920" s="4">
        <v>79999</v>
      </c>
      <c r="N920" s="4">
        <v>3799</v>
      </c>
      <c r="O920" s="4">
        <v>699</v>
      </c>
      <c r="P920" s="4">
        <v>2799</v>
      </c>
      <c r="Q920" t="s">
        <v>2368</v>
      </c>
      <c r="R920">
        <v>2024</v>
      </c>
    </row>
    <row r="921" spans="1:18" x14ac:dyDescent="0.25">
      <c r="A921" t="s">
        <v>1549</v>
      </c>
      <c r="B921" t="s">
        <v>1579</v>
      </c>
      <c r="C921" s="2">
        <v>205</v>
      </c>
      <c r="D921" t="s">
        <v>68</v>
      </c>
      <c r="E921" t="s">
        <v>585</v>
      </c>
      <c r="F921" t="s">
        <v>1580</v>
      </c>
      <c r="G921" s="5" t="s">
        <v>1581</v>
      </c>
      <c r="H921" t="s">
        <v>2438</v>
      </c>
      <c r="I921" s="6">
        <f t="shared" si="14"/>
        <v>58</v>
      </c>
      <c r="J921" s="2">
        <v>5110</v>
      </c>
      <c r="K921" s="2">
        <v>6.67</v>
      </c>
      <c r="L921" s="4">
        <v>89999</v>
      </c>
      <c r="M921" s="4">
        <v>29999</v>
      </c>
      <c r="N921" s="4">
        <v>2499</v>
      </c>
      <c r="O921" s="4">
        <v>374.9</v>
      </c>
      <c r="P921" s="4">
        <v>1499</v>
      </c>
      <c r="Q921" t="s">
        <v>2368</v>
      </c>
      <c r="R921">
        <v>2024</v>
      </c>
    </row>
    <row r="922" spans="1:18" x14ac:dyDescent="0.25">
      <c r="A922" t="s">
        <v>1549</v>
      </c>
      <c r="B922" t="s">
        <v>1584</v>
      </c>
      <c r="C922" s="2">
        <v>205</v>
      </c>
      <c r="D922" t="s">
        <v>375</v>
      </c>
      <c r="E922" t="s">
        <v>585</v>
      </c>
      <c r="F922" t="s">
        <v>1580</v>
      </c>
      <c r="G922" s="5" t="s">
        <v>1581</v>
      </c>
      <c r="H922" t="s">
        <v>2438</v>
      </c>
      <c r="I922" s="6">
        <f t="shared" si="14"/>
        <v>58</v>
      </c>
      <c r="J922" s="2">
        <v>5110</v>
      </c>
      <c r="K922" s="2">
        <v>6.67</v>
      </c>
      <c r="L922" s="4">
        <v>99999</v>
      </c>
      <c r="M922" s="4">
        <v>32999</v>
      </c>
      <c r="N922" s="4">
        <v>2799</v>
      </c>
      <c r="O922" s="4">
        <v>399</v>
      </c>
      <c r="P922" s="4">
        <v>1599</v>
      </c>
      <c r="Q922" t="s">
        <v>2368</v>
      </c>
      <c r="R922">
        <v>2024</v>
      </c>
    </row>
    <row r="923" spans="1:18" x14ac:dyDescent="0.25">
      <c r="A923" t="s">
        <v>1549</v>
      </c>
      <c r="B923" t="s">
        <v>1586</v>
      </c>
      <c r="C923" s="2">
        <v>205</v>
      </c>
      <c r="D923" t="s">
        <v>759</v>
      </c>
      <c r="E923" t="s">
        <v>585</v>
      </c>
      <c r="F923" t="s">
        <v>1580</v>
      </c>
      <c r="G923" s="5" t="s">
        <v>1581</v>
      </c>
      <c r="H923" t="s">
        <v>2438</v>
      </c>
      <c r="I923" s="6">
        <f t="shared" si="14"/>
        <v>58</v>
      </c>
      <c r="J923" s="2">
        <v>5110</v>
      </c>
      <c r="K923" s="2">
        <v>6.67</v>
      </c>
      <c r="L923" s="4">
        <v>109999</v>
      </c>
      <c r="M923" s="4">
        <v>35999</v>
      </c>
      <c r="N923" s="4">
        <v>3099</v>
      </c>
      <c r="O923" s="4">
        <v>429</v>
      </c>
      <c r="P923" s="4">
        <v>1699</v>
      </c>
      <c r="Q923" t="s">
        <v>2368</v>
      </c>
      <c r="R923">
        <v>2024</v>
      </c>
    </row>
    <row r="924" spans="1:18" x14ac:dyDescent="0.25">
      <c r="A924" t="s">
        <v>1549</v>
      </c>
      <c r="B924" t="s">
        <v>1589</v>
      </c>
      <c r="C924" s="2">
        <v>195</v>
      </c>
      <c r="D924" t="s">
        <v>68</v>
      </c>
      <c r="E924" t="s">
        <v>585</v>
      </c>
      <c r="F924" t="s">
        <v>1590</v>
      </c>
      <c r="G924" s="5" t="s">
        <v>2432</v>
      </c>
      <c r="H924" t="s">
        <v>2438</v>
      </c>
      <c r="I924" s="6">
        <f t="shared" si="14"/>
        <v>57</v>
      </c>
      <c r="J924" s="2">
        <v>5500</v>
      </c>
      <c r="K924" s="2">
        <v>6.67</v>
      </c>
      <c r="L924" s="4">
        <v>79999</v>
      </c>
      <c r="M924" s="4">
        <v>27999</v>
      </c>
      <c r="N924" s="4">
        <v>2199</v>
      </c>
      <c r="O924" s="4">
        <v>349</v>
      </c>
      <c r="P924" s="4">
        <v>1399</v>
      </c>
      <c r="Q924" t="s">
        <v>2368</v>
      </c>
      <c r="R924">
        <v>2024</v>
      </c>
    </row>
    <row r="925" spans="1:18" x14ac:dyDescent="0.25">
      <c r="A925" t="s">
        <v>1549</v>
      </c>
      <c r="B925" t="s">
        <v>1593</v>
      </c>
      <c r="C925" s="2">
        <v>195</v>
      </c>
      <c r="D925" t="s">
        <v>375</v>
      </c>
      <c r="E925" t="s">
        <v>585</v>
      </c>
      <c r="F925" t="s">
        <v>1590</v>
      </c>
      <c r="G925" s="5" t="s">
        <v>2432</v>
      </c>
      <c r="H925" t="s">
        <v>2438</v>
      </c>
      <c r="I925" s="6">
        <f t="shared" si="14"/>
        <v>57</v>
      </c>
      <c r="J925" s="2">
        <v>5500</v>
      </c>
      <c r="K925" s="2">
        <v>6.67</v>
      </c>
      <c r="L925" s="4">
        <v>89999</v>
      </c>
      <c r="M925" s="4">
        <v>30999</v>
      </c>
      <c r="N925" s="4">
        <v>2499</v>
      </c>
      <c r="O925" s="4">
        <v>379</v>
      </c>
      <c r="P925" s="4">
        <v>1499</v>
      </c>
      <c r="Q925" t="s">
        <v>2368</v>
      </c>
      <c r="R925">
        <v>2024</v>
      </c>
    </row>
    <row r="926" spans="1:18" x14ac:dyDescent="0.25">
      <c r="A926" t="s">
        <v>1549</v>
      </c>
      <c r="B926" t="s">
        <v>1595</v>
      </c>
      <c r="C926" s="2">
        <v>190</v>
      </c>
      <c r="D926" t="s">
        <v>18</v>
      </c>
      <c r="E926" t="s">
        <v>585</v>
      </c>
      <c r="F926" t="s">
        <v>1590</v>
      </c>
      <c r="G926" s="5" t="s">
        <v>2296</v>
      </c>
      <c r="H926" t="s">
        <v>2438</v>
      </c>
      <c r="I926" s="6">
        <f t="shared" si="14"/>
        <v>48</v>
      </c>
      <c r="J926" s="2">
        <v>5000</v>
      </c>
      <c r="K926" s="2">
        <v>6.67</v>
      </c>
      <c r="L926" s="4">
        <v>69999</v>
      </c>
      <c r="M926" s="4">
        <v>24999</v>
      </c>
      <c r="N926" s="4">
        <v>1999</v>
      </c>
      <c r="O926" s="4">
        <v>299</v>
      </c>
      <c r="P926" s="4">
        <v>1199</v>
      </c>
      <c r="Q926" t="s">
        <v>2368</v>
      </c>
      <c r="R926">
        <v>2024</v>
      </c>
    </row>
    <row r="927" spans="1:18" x14ac:dyDescent="0.25">
      <c r="A927" t="s">
        <v>1549</v>
      </c>
      <c r="B927" t="s">
        <v>1598</v>
      </c>
      <c r="C927" s="2">
        <v>190</v>
      </c>
      <c r="D927" t="s">
        <v>68</v>
      </c>
      <c r="E927" t="s">
        <v>585</v>
      </c>
      <c r="F927" t="s">
        <v>1590</v>
      </c>
      <c r="G927" s="5" t="s">
        <v>2296</v>
      </c>
      <c r="H927" t="s">
        <v>2438</v>
      </c>
      <c r="I927" s="6">
        <f t="shared" si="14"/>
        <v>48</v>
      </c>
      <c r="J927" s="2">
        <v>5000</v>
      </c>
      <c r="K927" s="2">
        <v>6.67</v>
      </c>
      <c r="L927" s="4">
        <v>79999</v>
      </c>
      <c r="M927" s="4">
        <v>27999</v>
      </c>
      <c r="N927" s="4">
        <v>2299</v>
      </c>
      <c r="O927" s="4">
        <v>329</v>
      </c>
      <c r="P927" s="4">
        <v>1299</v>
      </c>
      <c r="Q927" t="s">
        <v>2368</v>
      </c>
      <c r="R927">
        <v>2024</v>
      </c>
    </row>
    <row r="928" spans="1:18" x14ac:dyDescent="0.25">
      <c r="A928" t="s">
        <v>1549</v>
      </c>
      <c r="B928" t="s">
        <v>1600</v>
      </c>
      <c r="C928" s="2">
        <v>185</v>
      </c>
      <c r="D928" t="s">
        <v>18</v>
      </c>
      <c r="E928" t="s">
        <v>585</v>
      </c>
      <c r="F928" t="s">
        <v>1601</v>
      </c>
      <c r="G928" s="5" t="s">
        <v>2433</v>
      </c>
      <c r="H928" t="s">
        <v>2438</v>
      </c>
      <c r="I928" s="6">
        <f t="shared" si="14"/>
        <v>47</v>
      </c>
      <c r="J928" s="2">
        <v>5000</v>
      </c>
      <c r="K928" s="2">
        <v>6.67</v>
      </c>
      <c r="L928" s="4">
        <v>59999</v>
      </c>
      <c r="M928" s="4">
        <v>21999</v>
      </c>
      <c r="N928" s="4">
        <v>1799</v>
      </c>
      <c r="O928" s="4">
        <v>279</v>
      </c>
      <c r="P928" s="4">
        <v>1099</v>
      </c>
      <c r="Q928" t="s">
        <v>2368</v>
      </c>
      <c r="R928">
        <v>2024</v>
      </c>
    </row>
    <row r="929" spans="1:18" x14ac:dyDescent="0.25">
      <c r="A929" t="s">
        <v>1549</v>
      </c>
      <c r="B929" t="s">
        <v>1604</v>
      </c>
      <c r="C929" s="2">
        <v>185</v>
      </c>
      <c r="D929" t="s">
        <v>68</v>
      </c>
      <c r="E929" t="s">
        <v>585</v>
      </c>
      <c r="F929" t="s">
        <v>1601</v>
      </c>
      <c r="G929" s="5" t="s">
        <v>2433</v>
      </c>
      <c r="H929" t="s">
        <v>2438</v>
      </c>
      <c r="I929" s="6">
        <f t="shared" si="14"/>
        <v>47</v>
      </c>
      <c r="J929" s="2">
        <v>5000</v>
      </c>
      <c r="K929" s="2">
        <v>6.67</v>
      </c>
      <c r="L929" s="4">
        <v>69999</v>
      </c>
      <c r="M929" s="4">
        <v>24999</v>
      </c>
      <c r="N929" s="4">
        <v>2099</v>
      </c>
      <c r="O929" s="4">
        <v>309</v>
      </c>
      <c r="P929" s="4">
        <v>1199</v>
      </c>
      <c r="Q929" t="s">
        <v>2368</v>
      </c>
      <c r="R929">
        <v>2024</v>
      </c>
    </row>
    <row r="930" spans="1:18" x14ac:dyDescent="0.25">
      <c r="A930" t="s">
        <v>1549</v>
      </c>
      <c r="B930" t="s">
        <v>1606</v>
      </c>
      <c r="C930" s="2">
        <v>180</v>
      </c>
      <c r="D930" t="s">
        <v>162</v>
      </c>
      <c r="E930" t="s">
        <v>585</v>
      </c>
      <c r="F930" t="s">
        <v>1601</v>
      </c>
      <c r="G930" s="5" t="s">
        <v>2387</v>
      </c>
      <c r="H930" t="s">
        <v>2438</v>
      </c>
      <c r="I930" s="6">
        <f t="shared" si="14"/>
        <v>32</v>
      </c>
      <c r="J930" s="2">
        <v>5000</v>
      </c>
      <c r="K930" s="2">
        <v>6.67</v>
      </c>
      <c r="L930" s="4">
        <v>49999</v>
      </c>
      <c r="M930" s="4">
        <v>18999</v>
      </c>
      <c r="N930" s="4">
        <v>1599</v>
      </c>
      <c r="O930" s="4">
        <v>249</v>
      </c>
      <c r="P930" s="4">
        <v>999</v>
      </c>
      <c r="Q930" t="s">
        <v>2368</v>
      </c>
      <c r="R930">
        <v>2024</v>
      </c>
    </row>
    <row r="931" spans="1:18" x14ac:dyDescent="0.25">
      <c r="A931" t="s">
        <v>1549</v>
      </c>
      <c r="B931" t="s">
        <v>1608</v>
      </c>
      <c r="C931" s="2">
        <v>180</v>
      </c>
      <c r="D931" t="s">
        <v>18</v>
      </c>
      <c r="E931" t="s">
        <v>585</v>
      </c>
      <c r="F931" t="s">
        <v>1601</v>
      </c>
      <c r="G931" s="5" t="s">
        <v>2387</v>
      </c>
      <c r="H931" t="s">
        <v>2438</v>
      </c>
      <c r="I931" s="6">
        <f t="shared" si="14"/>
        <v>32</v>
      </c>
      <c r="J931" s="2">
        <v>5000</v>
      </c>
      <c r="K931" s="2">
        <v>6.67</v>
      </c>
      <c r="L931" s="4">
        <v>59999</v>
      </c>
      <c r="M931" s="4">
        <v>21999</v>
      </c>
      <c r="N931" s="4">
        <v>1899</v>
      </c>
      <c r="O931" s="4">
        <v>279</v>
      </c>
      <c r="P931" s="4">
        <v>1099</v>
      </c>
      <c r="Q931" t="s">
        <v>2368</v>
      </c>
      <c r="R931">
        <v>2024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62CF-351A-40B4-9236-A61986387A3B}">
  <sheetPr codeName="Sheet1">
    <tabColor rgb="FF92D050"/>
  </sheetPr>
  <dimension ref="A1:O931"/>
  <sheetViews>
    <sheetView topLeftCell="A819" zoomScaleNormal="100" workbookViewId="0">
      <selection activeCell="B837" sqref="B837"/>
    </sheetView>
  </sheetViews>
  <sheetFormatPr defaultRowHeight="15" x14ac:dyDescent="0.25"/>
  <cols>
    <col min="1" max="1" width="17.42578125" bestFit="1" customWidth="1"/>
    <col min="2" max="2" width="38.85546875" bestFit="1" customWidth="1"/>
    <col min="3" max="3" width="16.85546875" bestFit="1" customWidth="1"/>
    <col min="4" max="4" width="10.5703125" bestFit="1" customWidth="1"/>
    <col min="5" max="5" width="33.42578125" bestFit="1" customWidth="1"/>
    <col min="6" max="6" width="57.42578125" bestFit="1" customWidth="1"/>
    <col min="7" max="7" width="33.140625" bestFit="1" customWidth="1"/>
    <col min="8" max="8" width="17.7109375" bestFit="1" customWidth="1"/>
    <col min="9" max="9" width="38.5703125" bestFit="1" customWidth="1"/>
    <col min="10" max="10" width="26.28515625" bestFit="1" customWidth="1"/>
    <col min="11" max="11" width="23.140625" bestFit="1" customWidth="1"/>
    <col min="12" max="12" width="23.85546875" bestFit="1" customWidth="1"/>
    <col min="13" max="13" width="22.42578125" bestFit="1" customWidth="1"/>
    <col min="14" max="14" width="24" bestFit="1" customWidth="1"/>
    <col min="15" max="15" width="16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2024</v>
      </c>
    </row>
    <row r="3" spans="1:15" x14ac:dyDescent="0.25">
      <c r="A3" t="s">
        <v>15</v>
      </c>
      <c r="B3" t="s">
        <v>29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>
        <v>2024</v>
      </c>
    </row>
    <row r="4" spans="1:15" x14ac:dyDescent="0.25">
      <c r="A4" t="s">
        <v>15</v>
      </c>
      <c r="B4" t="s">
        <v>35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>
        <v>2024</v>
      </c>
    </row>
    <row r="5" spans="1:15" x14ac:dyDescent="0.25">
      <c r="A5" t="s">
        <v>15</v>
      </c>
      <c r="B5" t="s">
        <v>41</v>
      </c>
      <c r="C5" t="s">
        <v>42</v>
      </c>
      <c r="D5" t="s">
        <v>18</v>
      </c>
      <c r="E5" t="s">
        <v>19</v>
      </c>
      <c r="F5" t="s">
        <v>20</v>
      </c>
      <c r="G5" t="s">
        <v>21</v>
      </c>
      <c r="H5" t="s">
        <v>43</v>
      </c>
      <c r="I5" t="s">
        <v>44</v>
      </c>
      <c r="J5" t="s">
        <v>45</v>
      </c>
      <c r="K5" t="s">
        <v>37</v>
      </c>
      <c r="L5" t="s">
        <v>46</v>
      </c>
      <c r="M5" t="s">
        <v>39</v>
      </c>
      <c r="N5" t="s">
        <v>40</v>
      </c>
      <c r="O5">
        <v>2024</v>
      </c>
    </row>
    <row r="6" spans="1:15" x14ac:dyDescent="0.25">
      <c r="A6" t="s">
        <v>15</v>
      </c>
      <c r="B6" t="s">
        <v>47</v>
      </c>
      <c r="C6" t="s">
        <v>42</v>
      </c>
      <c r="D6" t="s">
        <v>18</v>
      </c>
      <c r="E6" t="s">
        <v>19</v>
      </c>
      <c r="F6" t="s">
        <v>20</v>
      </c>
      <c r="G6" t="s">
        <v>21</v>
      </c>
      <c r="H6" t="s">
        <v>43</v>
      </c>
      <c r="I6" t="s">
        <v>44</v>
      </c>
      <c r="J6" t="s">
        <v>48</v>
      </c>
      <c r="K6" t="s">
        <v>49</v>
      </c>
      <c r="L6" t="s">
        <v>38</v>
      </c>
      <c r="M6" t="s">
        <v>50</v>
      </c>
      <c r="N6" t="s">
        <v>51</v>
      </c>
      <c r="O6">
        <v>2024</v>
      </c>
    </row>
    <row r="7" spans="1:15" x14ac:dyDescent="0.25">
      <c r="A7" t="s">
        <v>15</v>
      </c>
      <c r="B7" t="s">
        <v>52</v>
      </c>
      <c r="C7" t="s">
        <v>42</v>
      </c>
      <c r="D7" t="s">
        <v>18</v>
      </c>
      <c r="E7" t="s">
        <v>19</v>
      </c>
      <c r="F7" t="s">
        <v>20</v>
      </c>
      <c r="G7" t="s">
        <v>21</v>
      </c>
      <c r="H7" t="s">
        <v>43</v>
      </c>
      <c r="I7" t="s">
        <v>44</v>
      </c>
      <c r="J7" t="s">
        <v>53</v>
      </c>
      <c r="K7" t="s">
        <v>54</v>
      </c>
      <c r="L7" t="s">
        <v>55</v>
      </c>
      <c r="M7" t="s">
        <v>56</v>
      </c>
      <c r="N7" t="s">
        <v>57</v>
      </c>
      <c r="O7">
        <v>2024</v>
      </c>
    </row>
    <row r="8" spans="1:15" x14ac:dyDescent="0.25">
      <c r="A8" t="s">
        <v>15</v>
      </c>
      <c r="B8" t="s">
        <v>58</v>
      </c>
      <c r="C8" t="s">
        <v>59</v>
      </c>
      <c r="D8" t="s">
        <v>18</v>
      </c>
      <c r="E8" t="s">
        <v>60</v>
      </c>
      <c r="F8" t="s">
        <v>61</v>
      </c>
      <c r="G8" t="s">
        <v>62</v>
      </c>
      <c r="H8" t="s">
        <v>63</v>
      </c>
      <c r="I8" t="s">
        <v>23</v>
      </c>
      <c r="J8" t="s">
        <v>64</v>
      </c>
      <c r="K8" t="s">
        <v>65</v>
      </c>
      <c r="L8" t="s">
        <v>55</v>
      </c>
      <c r="M8" t="s">
        <v>56</v>
      </c>
      <c r="N8" t="s">
        <v>66</v>
      </c>
      <c r="O8">
        <v>2024</v>
      </c>
    </row>
    <row r="9" spans="1:15" x14ac:dyDescent="0.25">
      <c r="A9" t="s">
        <v>15</v>
      </c>
      <c r="B9" t="s">
        <v>67</v>
      </c>
      <c r="C9" t="s">
        <v>59</v>
      </c>
      <c r="D9" t="s">
        <v>68</v>
      </c>
      <c r="E9" t="s">
        <v>60</v>
      </c>
      <c r="F9" t="s">
        <v>61</v>
      </c>
      <c r="G9" t="s">
        <v>62</v>
      </c>
      <c r="H9" t="s">
        <v>63</v>
      </c>
      <c r="I9" t="s">
        <v>23</v>
      </c>
      <c r="J9" t="s">
        <v>69</v>
      </c>
      <c r="K9" t="s">
        <v>54</v>
      </c>
      <c r="L9" t="s">
        <v>70</v>
      </c>
      <c r="M9" t="s">
        <v>71</v>
      </c>
      <c r="N9" t="s">
        <v>72</v>
      </c>
      <c r="O9">
        <v>2024</v>
      </c>
    </row>
    <row r="10" spans="1:15" x14ac:dyDescent="0.25">
      <c r="A10" t="s">
        <v>15</v>
      </c>
      <c r="B10" t="s">
        <v>73</v>
      </c>
      <c r="C10" t="s">
        <v>59</v>
      </c>
      <c r="D10" t="s">
        <v>68</v>
      </c>
      <c r="E10" t="s">
        <v>60</v>
      </c>
      <c r="F10" t="s">
        <v>61</v>
      </c>
      <c r="G10" t="s">
        <v>62</v>
      </c>
      <c r="H10" t="s">
        <v>63</v>
      </c>
      <c r="I10" t="s">
        <v>23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O10">
        <v>2024</v>
      </c>
    </row>
    <row r="11" spans="1:15" x14ac:dyDescent="0.25">
      <c r="A11" t="s">
        <v>15</v>
      </c>
      <c r="B11" t="s">
        <v>79</v>
      </c>
      <c r="C11" t="s">
        <v>80</v>
      </c>
      <c r="D11" t="s">
        <v>18</v>
      </c>
      <c r="E11" t="s">
        <v>60</v>
      </c>
      <c r="F11" t="s">
        <v>81</v>
      </c>
      <c r="G11" t="s">
        <v>62</v>
      </c>
      <c r="H11" t="s">
        <v>82</v>
      </c>
      <c r="I11" t="s">
        <v>44</v>
      </c>
      <c r="J11" t="s">
        <v>74</v>
      </c>
      <c r="K11" t="s">
        <v>83</v>
      </c>
      <c r="L11" t="s">
        <v>76</v>
      </c>
      <c r="M11" t="s">
        <v>77</v>
      </c>
      <c r="N11" t="s">
        <v>84</v>
      </c>
      <c r="O11">
        <v>2024</v>
      </c>
    </row>
    <row r="12" spans="1:15" x14ac:dyDescent="0.25">
      <c r="A12" t="s">
        <v>15</v>
      </c>
      <c r="B12" t="s">
        <v>85</v>
      </c>
      <c r="C12" t="s">
        <v>80</v>
      </c>
      <c r="D12" t="s">
        <v>68</v>
      </c>
      <c r="E12" t="s">
        <v>60</v>
      </c>
      <c r="F12" t="s">
        <v>81</v>
      </c>
      <c r="G12" t="s">
        <v>62</v>
      </c>
      <c r="H12" t="s">
        <v>82</v>
      </c>
      <c r="I12" t="s">
        <v>44</v>
      </c>
      <c r="J12" t="s">
        <v>86</v>
      </c>
      <c r="K12" t="s">
        <v>75</v>
      </c>
      <c r="L12" t="s">
        <v>87</v>
      </c>
      <c r="M12" t="s">
        <v>88</v>
      </c>
      <c r="N12" t="s">
        <v>89</v>
      </c>
      <c r="O12">
        <v>2024</v>
      </c>
    </row>
    <row r="13" spans="1:15" x14ac:dyDescent="0.25">
      <c r="A13" t="s">
        <v>15</v>
      </c>
      <c r="B13" t="s">
        <v>90</v>
      </c>
      <c r="C13" t="s">
        <v>80</v>
      </c>
      <c r="D13" t="s">
        <v>68</v>
      </c>
      <c r="E13" t="s">
        <v>60</v>
      </c>
      <c r="F13" t="s">
        <v>81</v>
      </c>
      <c r="G13" t="s">
        <v>62</v>
      </c>
      <c r="H13" t="s">
        <v>82</v>
      </c>
      <c r="I13" t="s">
        <v>44</v>
      </c>
      <c r="J13" t="s">
        <v>91</v>
      </c>
      <c r="K13" t="s">
        <v>92</v>
      </c>
      <c r="L13" t="s">
        <v>93</v>
      </c>
      <c r="M13" t="s">
        <v>94</v>
      </c>
      <c r="N13" t="s">
        <v>95</v>
      </c>
      <c r="O13">
        <v>2024</v>
      </c>
    </row>
    <row r="14" spans="1:15" x14ac:dyDescent="0.25">
      <c r="A14" t="s">
        <v>15</v>
      </c>
      <c r="B14" t="s">
        <v>96</v>
      </c>
      <c r="C14" t="s">
        <v>97</v>
      </c>
      <c r="D14" t="s">
        <v>18</v>
      </c>
      <c r="E14" t="s">
        <v>19</v>
      </c>
      <c r="F14" t="s">
        <v>20</v>
      </c>
      <c r="G14" t="s">
        <v>98</v>
      </c>
      <c r="H14" t="s">
        <v>99</v>
      </c>
      <c r="I14" t="s">
        <v>23</v>
      </c>
      <c r="J14" t="s">
        <v>100</v>
      </c>
      <c r="K14" t="s">
        <v>101</v>
      </c>
      <c r="L14" t="s">
        <v>102</v>
      </c>
      <c r="M14" t="s">
        <v>27</v>
      </c>
      <c r="N14" t="s">
        <v>103</v>
      </c>
      <c r="O14">
        <v>2023</v>
      </c>
    </row>
    <row r="15" spans="1:15" x14ac:dyDescent="0.25">
      <c r="A15" t="s">
        <v>15</v>
      </c>
      <c r="B15" t="s">
        <v>104</v>
      </c>
      <c r="C15" t="s">
        <v>97</v>
      </c>
      <c r="D15" t="s">
        <v>18</v>
      </c>
      <c r="E15" t="s">
        <v>19</v>
      </c>
      <c r="F15" t="s">
        <v>20</v>
      </c>
      <c r="G15" t="s">
        <v>98</v>
      </c>
      <c r="H15" t="s">
        <v>99</v>
      </c>
      <c r="I15" t="s">
        <v>23</v>
      </c>
      <c r="J15" t="s">
        <v>105</v>
      </c>
      <c r="K15" t="s">
        <v>25</v>
      </c>
      <c r="L15" t="s">
        <v>106</v>
      </c>
      <c r="M15" t="s">
        <v>33</v>
      </c>
      <c r="N15" t="s">
        <v>34</v>
      </c>
      <c r="O15">
        <v>2023</v>
      </c>
    </row>
    <row r="16" spans="1:15" x14ac:dyDescent="0.25">
      <c r="A16" t="s">
        <v>15</v>
      </c>
      <c r="B16" t="s">
        <v>107</v>
      </c>
      <c r="C16" t="s">
        <v>97</v>
      </c>
      <c r="D16" t="s">
        <v>18</v>
      </c>
      <c r="E16" t="s">
        <v>19</v>
      </c>
      <c r="F16" t="s">
        <v>20</v>
      </c>
      <c r="G16" t="s">
        <v>98</v>
      </c>
      <c r="H16" t="s">
        <v>99</v>
      </c>
      <c r="I16" t="s">
        <v>23</v>
      </c>
      <c r="J16" t="s">
        <v>24</v>
      </c>
      <c r="K16" t="s">
        <v>37</v>
      </c>
      <c r="L16" t="s">
        <v>108</v>
      </c>
      <c r="M16" t="s">
        <v>50</v>
      </c>
      <c r="N16" t="s">
        <v>40</v>
      </c>
      <c r="O16">
        <v>2023</v>
      </c>
    </row>
    <row r="17" spans="1:15" x14ac:dyDescent="0.25">
      <c r="A17" t="s">
        <v>15</v>
      </c>
      <c r="B17" t="s">
        <v>109</v>
      </c>
      <c r="C17" t="s">
        <v>42</v>
      </c>
      <c r="D17" t="s">
        <v>18</v>
      </c>
      <c r="E17" t="s">
        <v>19</v>
      </c>
      <c r="F17" t="s">
        <v>20</v>
      </c>
      <c r="G17" t="s">
        <v>98</v>
      </c>
      <c r="H17" t="s">
        <v>110</v>
      </c>
      <c r="I17" t="s">
        <v>44</v>
      </c>
      <c r="J17" t="s">
        <v>30</v>
      </c>
      <c r="K17" t="s">
        <v>31</v>
      </c>
      <c r="L17" t="s">
        <v>111</v>
      </c>
      <c r="M17" t="s">
        <v>39</v>
      </c>
      <c r="N17" t="s">
        <v>40</v>
      </c>
      <c r="O17">
        <v>2023</v>
      </c>
    </row>
    <row r="18" spans="1:15" x14ac:dyDescent="0.25">
      <c r="A18" t="s">
        <v>15</v>
      </c>
      <c r="B18" t="s">
        <v>112</v>
      </c>
      <c r="C18" t="s">
        <v>42</v>
      </c>
      <c r="D18" t="s">
        <v>18</v>
      </c>
      <c r="E18" t="s">
        <v>19</v>
      </c>
      <c r="F18" t="s">
        <v>20</v>
      </c>
      <c r="G18" t="s">
        <v>98</v>
      </c>
      <c r="H18" t="s">
        <v>110</v>
      </c>
      <c r="I18" t="s">
        <v>44</v>
      </c>
      <c r="J18" t="s">
        <v>36</v>
      </c>
      <c r="K18" t="s">
        <v>49</v>
      </c>
      <c r="L18" t="s">
        <v>46</v>
      </c>
      <c r="M18" t="s">
        <v>56</v>
      </c>
      <c r="N18" t="s">
        <v>51</v>
      </c>
      <c r="O18">
        <v>2023</v>
      </c>
    </row>
    <row r="19" spans="1:15" x14ac:dyDescent="0.25">
      <c r="A19" t="s">
        <v>15</v>
      </c>
      <c r="B19" t="s">
        <v>113</v>
      </c>
      <c r="C19" t="s">
        <v>42</v>
      </c>
      <c r="D19" t="s">
        <v>18</v>
      </c>
      <c r="E19" t="s">
        <v>19</v>
      </c>
      <c r="F19" t="s">
        <v>20</v>
      </c>
      <c r="G19" t="s">
        <v>98</v>
      </c>
      <c r="H19" t="s">
        <v>110</v>
      </c>
      <c r="I19" t="s">
        <v>44</v>
      </c>
      <c r="J19" t="s">
        <v>114</v>
      </c>
      <c r="K19" t="s">
        <v>54</v>
      </c>
      <c r="L19" t="s">
        <v>115</v>
      </c>
      <c r="M19" t="s">
        <v>71</v>
      </c>
      <c r="N19" t="s">
        <v>57</v>
      </c>
      <c r="O19">
        <v>2023</v>
      </c>
    </row>
    <row r="20" spans="1:15" x14ac:dyDescent="0.25">
      <c r="A20" t="s">
        <v>15</v>
      </c>
      <c r="B20" t="s">
        <v>116</v>
      </c>
      <c r="C20" t="s">
        <v>59</v>
      </c>
      <c r="D20" t="s">
        <v>18</v>
      </c>
      <c r="E20" t="s">
        <v>60</v>
      </c>
      <c r="F20" t="s">
        <v>81</v>
      </c>
      <c r="G20" t="s">
        <v>98</v>
      </c>
      <c r="H20" t="s">
        <v>63</v>
      </c>
      <c r="I20" t="s">
        <v>23</v>
      </c>
      <c r="J20" t="s">
        <v>53</v>
      </c>
      <c r="K20" t="s">
        <v>65</v>
      </c>
      <c r="L20" t="s">
        <v>55</v>
      </c>
      <c r="M20" t="s">
        <v>77</v>
      </c>
      <c r="N20" t="s">
        <v>57</v>
      </c>
      <c r="O20">
        <v>2023</v>
      </c>
    </row>
    <row r="21" spans="1:15" x14ac:dyDescent="0.25">
      <c r="A21" t="s">
        <v>15</v>
      </c>
      <c r="B21" t="s">
        <v>117</v>
      </c>
      <c r="C21" t="s">
        <v>59</v>
      </c>
      <c r="D21" t="s">
        <v>68</v>
      </c>
      <c r="E21" t="s">
        <v>60</v>
      </c>
      <c r="F21" t="s">
        <v>81</v>
      </c>
      <c r="G21" t="s">
        <v>98</v>
      </c>
      <c r="H21" t="s">
        <v>63</v>
      </c>
      <c r="I21" t="s">
        <v>23</v>
      </c>
      <c r="J21" t="s">
        <v>64</v>
      </c>
      <c r="K21" t="s">
        <v>83</v>
      </c>
      <c r="L21" t="s">
        <v>118</v>
      </c>
      <c r="M21" t="s">
        <v>88</v>
      </c>
      <c r="N21" t="s">
        <v>84</v>
      </c>
      <c r="O21">
        <v>2023</v>
      </c>
    </row>
    <row r="22" spans="1:15" x14ac:dyDescent="0.25">
      <c r="A22" t="s">
        <v>15</v>
      </c>
      <c r="B22" t="s">
        <v>119</v>
      </c>
      <c r="C22" t="s">
        <v>59</v>
      </c>
      <c r="D22" t="s">
        <v>68</v>
      </c>
      <c r="E22" t="s">
        <v>60</v>
      </c>
      <c r="F22" t="s">
        <v>81</v>
      </c>
      <c r="G22" t="s">
        <v>98</v>
      </c>
      <c r="H22" t="s">
        <v>63</v>
      </c>
      <c r="I22" t="s">
        <v>23</v>
      </c>
      <c r="J22" t="s">
        <v>120</v>
      </c>
      <c r="K22" t="s">
        <v>121</v>
      </c>
      <c r="L22" t="s">
        <v>87</v>
      </c>
      <c r="M22" t="s">
        <v>94</v>
      </c>
      <c r="N22" t="s">
        <v>95</v>
      </c>
      <c r="O22">
        <v>2023</v>
      </c>
    </row>
    <row r="23" spans="1:15" x14ac:dyDescent="0.25">
      <c r="A23" t="s">
        <v>15</v>
      </c>
      <c r="B23" t="s">
        <v>122</v>
      </c>
      <c r="C23" t="s">
        <v>80</v>
      </c>
      <c r="D23" t="s">
        <v>18</v>
      </c>
      <c r="E23" t="s">
        <v>60</v>
      </c>
      <c r="F23" t="s">
        <v>81</v>
      </c>
      <c r="G23" t="s">
        <v>98</v>
      </c>
      <c r="H23" t="s">
        <v>82</v>
      </c>
      <c r="I23" t="s">
        <v>44</v>
      </c>
      <c r="J23" t="s">
        <v>74</v>
      </c>
      <c r="K23" t="s">
        <v>75</v>
      </c>
      <c r="L23" t="s">
        <v>123</v>
      </c>
      <c r="M23" t="s">
        <v>88</v>
      </c>
      <c r="N23" t="s">
        <v>78</v>
      </c>
      <c r="O23">
        <v>2023</v>
      </c>
    </row>
    <row r="24" spans="1:15" x14ac:dyDescent="0.25">
      <c r="A24" t="s">
        <v>15</v>
      </c>
      <c r="B24" t="s">
        <v>124</v>
      </c>
      <c r="C24" t="s">
        <v>80</v>
      </c>
      <c r="D24" t="s">
        <v>68</v>
      </c>
      <c r="E24" t="s">
        <v>60</v>
      </c>
      <c r="F24" t="s">
        <v>81</v>
      </c>
      <c r="G24" t="s">
        <v>98</v>
      </c>
      <c r="H24" t="s">
        <v>82</v>
      </c>
      <c r="I24" t="s">
        <v>44</v>
      </c>
      <c r="J24" t="s">
        <v>86</v>
      </c>
      <c r="K24" t="s">
        <v>92</v>
      </c>
      <c r="L24" t="s">
        <v>93</v>
      </c>
      <c r="M24" t="s">
        <v>94</v>
      </c>
      <c r="N24" t="s">
        <v>95</v>
      </c>
      <c r="O24">
        <v>2023</v>
      </c>
    </row>
    <row r="25" spans="1:15" x14ac:dyDescent="0.25">
      <c r="A25" t="s">
        <v>15</v>
      </c>
      <c r="B25" t="s">
        <v>125</v>
      </c>
      <c r="C25" t="s">
        <v>80</v>
      </c>
      <c r="D25" t="s">
        <v>68</v>
      </c>
      <c r="E25" t="s">
        <v>60</v>
      </c>
      <c r="F25" t="s">
        <v>81</v>
      </c>
      <c r="G25" t="s">
        <v>98</v>
      </c>
      <c r="H25" t="s">
        <v>82</v>
      </c>
      <c r="I25" t="s">
        <v>44</v>
      </c>
      <c r="J25" t="s">
        <v>91</v>
      </c>
      <c r="K25" t="s">
        <v>126</v>
      </c>
      <c r="L25" t="s">
        <v>127</v>
      </c>
      <c r="M25" t="s">
        <v>128</v>
      </c>
      <c r="N25" t="s">
        <v>129</v>
      </c>
      <c r="O25">
        <v>2023</v>
      </c>
    </row>
    <row r="26" spans="1:15" x14ac:dyDescent="0.25">
      <c r="A26" t="s">
        <v>15</v>
      </c>
      <c r="B26" t="s">
        <v>130</v>
      </c>
      <c r="C26" t="s">
        <v>131</v>
      </c>
      <c r="D26" t="s">
        <v>18</v>
      </c>
      <c r="E26" t="s">
        <v>19</v>
      </c>
      <c r="F26" t="s">
        <v>132</v>
      </c>
      <c r="G26" t="s">
        <v>133</v>
      </c>
      <c r="H26" t="s">
        <v>99</v>
      </c>
      <c r="I26" t="s">
        <v>23</v>
      </c>
      <c r="J26" t="s">
        <v>134</v>
      </c>
      <c r="K26" t="s">
        <v>135</v>
      </c>
      <c r="L26" t="s">
        <v>136</v>
      </c>
      <c r="M26" t="s">
        <v>27</v>
      </c>
      <c r="N26" t="s">
        <v>103</v>
      </c>
      <c r="O26">
        <v>2022</v>
      </c>
    </row>
    <row r="27" spans="1:15" x14ac:dyDescent="0.25">
      <c r="A27" t="s">
        <v>15</v>
      </c>
      <c r="B27" t="s">
        <v>137</v>
      </c>
      <c r="C27" t="s">
        <v>131</v>
      </c>
      <c r="D27" t="s">
        <v>18</v>
      </c>
      <c r="E27" t="s">
        <v>19</v>
      </c>
      <c r="F27" t="s">
        <v>132</v>
      </c>
      <c r="G27" t="s">
        <v>133</v>
      </c>
      <c r="H27" t="s">
        <v>99</v>
      </c>
      <c r="I27" t="s">
        <v>23</v>
      </c>
      <c r="J27" t="s">
        <v>138</v>
      </c>
      <c r="K27" t="s">
        <v>101</v>
      </c>
      <c r="L27" t="s">
        <v>106</v>
      </c>
      <c r="M27" t="s">
        <v>33</v>
      </c>
      <c r="N27" t="s">
        <v>34</v>
      </c>
      <c r="O27">
        <v>2022</v>
      </c>
    </row>
    <row r="28" spans="1:15" x14ac:dyDescent="0.25">
      <c r="A28" t="s">
        <v>15</v>
      </c>
      <c r="B28" t="s">
        <v>139</v>
      </c>
      <c r="C28" t="s">
        <v>131</v>
      </c>
      <c r="D28" t="s">
        <v>18</v>
      </c>
      <c r="E28" t="s">
        <v>19</v>
      </c>
      <c r="F28" t="s">
        <v>132</v>
      </c>
      <c r="G28" t="s">
        <v>133</v>
      </c>
      <c r="H28" t="s">
        <v>99</v>
      </c>
      <c r="I28" t="s">
        <v>23</v>
      </c>
      <c r="J28" t="s">
        <v>100</v>
      </c>
      <c r="K28" t="s">
        <v>31</v>
      </c>
      <c r="L28" t="s">
        <v>108</v>
      </c>
      <c r="M28" t="s">
        <v>50</v>
      </c>
      <c r="N28" t="s">
        <v>40</v>
      </c>
      <c r="O28">
        <v>2022</v>
      </c>
    </row>
    <row r="29" spans="1:15" x14ac:dyDescent="0.25">
      <c r="A29" t="s">
        <v>15</v>
      </c>
      <c r="B29" t="s">
        <v>140</v>
      </c>
      <c r="C29" t="s">
        <v>42</v>
      </c>
      <c r="D29" t="s">
        <v>18</v>
      </c>
      <c r="E29" t="s">
        <v>19</v>
      </c>
      <c r="F29" t="s">
        <v>132</v>
      </c>
      <c r="G29" t="s">
        <v>133</v>
      </c>
      <c r="H29" t="s">
        <v>141</v>
      </c>
      <c r="I29" t="s">
        <v>44</v>
      </c>
      <c r="J29" t="s">
        <v>100</v>
      </c>
      <c r="K29" t="s">
        <v>25</v>
      </c>
      <c r="L29" t="s">
        <v>142</v>
      </c>
      <c r="M29" t="s">
        <v>39</v>
      </c>
      <c r="N29" t="s">
        <v>40</v>
      </c>
      <c r="O29">
        <v>2022</v>
      </c>
    </row>
    <row r="30" spans="1:15" x14ac:dyDescent="0.25">
      <c r="A30" t="s">
        <v>15</v>
      </c>
      <c r="B30" t="s">
        <v>143</v>
      </c>
      <c r="C30" t="s">
        <v>42</v>
      </c>
      <c r="D30" t="s">
        <v>18</v>
      </c>
      <c r="E30" t="s">
        <v>19</v>
      </c>
      <c r="F30" t="s">
        <v>132</v>
      </c>
      <c r="G30" t="s">
        <v>133</v>
      </c>
      <c r="H30" t="s">
        <v>141</v>
      </c>
      <c r="I30" t="s">
        <v>44</v>
      </c>
      <c r="J30" t="s">
        <v>105</v>
      </c>
      <c r="K30" t="s">
        <v>31</v>
      </c>
      <c r="L30" t="s">
        <v>144</v>
      </c>
      <c r="M30" t="s">
        <v>56</v>
      </c>
      <c r="N30" t="s">
        <v>51</v>
      </c>
      <c r="O30">
        <v>2022</v>
      </c>
    </row>
    <row r="31" spans="1:15" x14ac:dyDescent="0.25">
      <c r="A31" t="s">
        <v>15</v>
      </c>
      <c r="B31" t="s">
        <v>145</v>
      </c>
      <c r="C31" t="s">
        <v>42</v>
      </c>
      <c r="D31" t="s">
        <v>18</v>
      </c>
      <c r="E31" t="s">
        <v>19</v>
      </c>
      <c r="F31" t="s">
        <v>132</v>
      </c>
      <c r="G31" t="s">
        <v>133</v>
      </c>
      <c r="H31" t="s">
        <v>141</v>
      </c>
      <c r="I31" t="s">
        <v>44</v>
      </c>
      <c r="J31" t="s">
        <v>24</v>
      </c>
      <c r="K31" t="s">
        <v>49</v>
      </c>
      <c r="L31" t="s">
        <v>146</v>
      </c>
      <c r="M31" t="s">
        <v>71</v>
      </c>
      <c r="N31" t="s">
        <v>57</v>
      </c>
      <c r="O31">
        <v>2022</v>
      </c>
    </row>
    <row r="32" spans="1:15" x14ac:dyDescent="0.25">
      <c r="A32" t="s">
        <v>15</v>
      </c>
      <c r="B32" t="s">
        <v>147</v>
      </c>
      <c r="C32" t="s">
        <v>59</v>
      </c>
      <c r="D32" t="s">
        <v>18</v>
      </c>
      <c r="E32" t="s">
        <v>60</v>
      </c>
      <c r="F32" t="s">
        <v>81</v>
      </c>
      <c r="G32" t="s">
        <v>98</v>
      </c>
      <c r="H32" t="s">
        <v>43</v>
      </c>
      <c r="I32" t="s">
        <v>23</v>
      </c>
      <c r="J32" t="s">
        <v>69</v>
      </c>
      <c r="K32" t="s">
        <v>83</v>
      </c>
      <c r="L32" t="s">
        <v>148</v>
      </c>
      <c r="M32" t="s">
        <v>77</v>
      </c>
      <c r="N32" t="s">
        <v>72</v>
      </c>
      <c r="O32">
        <v>2022</v>
      </c>
    </row>
    <row r="33" spans="1:15" x14ac:dyDescent="0.25">
      <c r="A33" t="s">
        <v>15</v>
      </c>
      <c r="B33" t="s">
        <v>149</v>
      </c>
      <c r="C33" t="s">
        <v>59</v>
      </c>
      <c r="D33" t="s">
        <v>68</v>
      </c>
      <c r="E33" t="s">
        <v>60</v>
      </c>
      <c r="F33" t="s">
        <v>81</v>
      </c>
      <c r="G33" t="s">
        <v>98</v>
      </c>
      <c r="H33" t="s">
        <v>43</v>
      </c>
      <c r="I33" t="s">
        <v>23</v>
      </c>
      <c r="J33" t="s">
        <v>120</v>
      </c>
      <c r="K33" t="s">
        <v>121</v>
      </c>
      <c r="L33" t="s">
        <v>76</v>
      </c>
      <c r="M33" t="s">
        <v>88</v>
      </c>
      <c r="N33" t="s">
        <v>78</v>
      </c>
      <c r="O33">
        <v>2022</v>
      </c>
    </row>
    <row r="34" spans="1:15" x14ac:dyDescent="0.25">
      <c r="A34" t="s">
        <v>15</v>
      </c>
      <c r="B34" t="s">
        <v>150</v>
      </c>
      <c r="C34" t="s">
        <v>59</v>
      </c>
      <c r="D34" t="s">
        <v>68</v>
      </c>
      <c r="E34" t="s">
        <v>60</v>
      </c>
      <c r="F34" t="s">
        <v>81</v>
      </c>
      <c r="G34" t="s">
        <v>98</v>
      </c>
      <c r="H34" t="s">
        <v>43</v>
      </c>
      <c r="I34" t="s">
        <v>23</v>
      </c>
      <c r="J34" t="s">
        <v>86</v>
      </c>
      <c r="K34" t="s">
        <v>126</v>
      </c>
      <c r="L34" t="s">
        <v>123</v>
      </c>
      <c r="M34" t="s">
        <v>94</v>
      </c>
      <c r="N34" t="s">
        <v>95</v>
      </c>
      <c r="O34">
        <v>2022</v>
      </c>
    </row>
    <row r="35" spans="1:15" x14ac:dyDescent="0.25">
      <c r="A35" t="s">
        <v>15</v>
      </c>
      <c r="B35" t="s">
        <v>151</v>
      </c>
      <c r="C35" t="s">
        <v>80</v>
      </c>
      <c r="D35" t="s">
        <v>18</v>
      </c>
      <c r="E35" t="s">
        <v>60</v>
      </c>
      <c r="F35" t="s">
        <v>81</v>
      </c>
      <c r="G35" t="s">
        <v>98</v>
      </c>
      <c r="H35" t="s">
        <v>82</v>
      </c>
      <c r="I35" t="s">
        <v>44</v>
      </c>
      <c r="J35" t="s">
        <v>86</v>
      </c>
      <c r="K35" t="s">
        <v>92</v>
      </c>
      <c r="L35" t="s">
        <v>152</v>
      </c>
      <c r="M35" t="s">
        <v>88</v>
      </c>
      <c r="N35" t="s">
        <v>89</v>
      </c>
      <c r="O35">
        <v>2022</v>
      </c>
    </row>
    <row r="36" spans="1:15" x14ac:dyDescent="0.25">
      <c r="A36" t="s">
        <v>15</v>
      </c>
      <c r="B36" t="s">
        <v>153</v>
      </c>
      <c r="C36" t="s">
        <v>80</v>
      </c>
      <c r="D36" t="s">
        <v>68</v>
      </c>
      <c r="E36" t="s">
        <v>60</v>
      </c>
      <c r="F36" t="s">
        <v>81</v>
      </c>
      <c r="G36" t="s">
        <v>98</v>
      </c>
      <c r="H36" t="s">
        <v>82</v>
      </c>
      <c r="I36" t="s">
        <v>44</v>
      </c>
      <c r="J36" t="s">
        <v>91</v>
      </c>
      <c r="K36" t="s">
        <v>126</v>
      </c>
      <c r="L36" t="s">
        <v>154</v>
      </c>
      <c r="M36" t="s">
        <v>94</v>
      </c>
      <c r="N36" t="s">
        <v>95</v>
      </c>
      <c r="O36">
        <v>2022</v>
      </c>
    </row>
    <row r="37" spans="1:15" x14ac:dyDescent="0.25">
      <c r="A37" t="s">
        <v>15</v>
      </c>
      <c r="B37" t="s">
        <v>155</v>
      </c>
      <c r="C37" t="s">
        <v>80</v>
      </c>
      <c r="D37" t="s">
        <v>68</v>
      </c>
      <c r="E37" t="s">
        <v>60</v>
      </c>
      <c r="F37" t="s">
        <v>81</v>
      </c>
      <c r="G37" t="s">
        <v>98</v>
      </c>
      <c r="H37" t="s">
        <v>82</v>
      </c>
      <c r="I37" t="s">
        <v>44</v>
      </c>
      <c r="J37" t="s">
        <v>156</v>
      </c>
      <c r="K37" t="s">
        <v>157</v>
      </c>
      <c r="L37" t="s">
        <v>158</v>
      </c>
      <c r="M37" t="s">
        <v>128</v>
      </c>
      <c r="N37" t="s">
        <v>159</v>
      </c>
      <c r="O37">
        <v>2022</v>
      </c>
    </row>
    <row r="38" spans="1:15" x14ac:dyDescent="0.25">
      <c r="A38" t="s">
        <v>15</v>
      </c>
      <c r="B38" t="s">
        <v>160</v>
      </c>
      <c r="C38" t="s">
        <v>161</v>
      </c>
      <c r="D38" t="s">
        <v>162</v>
      </c>
      <c r="E38" t="s">
        <v>19</v>
      </c>
      <c r="F38" t="s">
        <v>19</v>
      </c>
      <c r="G38" t="s">
        <v>133</v>
      </c>
      <c r="H38" t="s">
        <v>163</v>
      </c>
      <c r="I38" t="s">
        <v>164</v>
      </c>
      <c r="J38" t="s">
        <v>165</v>
      </c>
      <c r="K38" t="s">
        <v>166</v>
      </c>
      <c r="L38" t="s">
        <v>136</v>
      </c>
      <c r="M38" t="s">
        <v>167</v>
      </c>
      <c r="N38" t="s">
        <v>168</v>
      </c>
      <c r="O38">
        <v>2021</v>
      </c>
    </row>
    <row r="39" spans="1:15" x14ac:dyDescent="0.25">
      <c r="A39" t="s">
        <v>15</v>
      </c>
      <c r="B39" t="s">
        <v>169</v>
      </c>
      <c r="C39" t="s">
        <v>161</v>
      </c>
      <c r="D39" t="s">
        <v>162</v>
      </c>
      <c r="E39" t="s">
        <v>19</v>
      </c>
      <c r="F39" t="s">
        <v>19</v>
      </c>
      <c r="G39" t="s">
        <v>133</v>
      </c>
      <c r="H39" t="s">
        <v>163</v>
      </c>
      <c r="I39" t="s">
        <v>164</v>
      </c>
      <c r="J39" t="s">
        <v>134</v>
      </c>
      <c r="K39" t="s">
        <v>170</v>
      </c>
      <c r="L39" t="s">
        <v>106</v>
      </c>
      <c r="M39" t="s">
        <v>27</v>
      </c>
      <c r="N39" t="s">
        <v>34</v>
      </c>
      <c r="O39">
        <v>2021</v>
      </c>
    </row>
    <row r="40" spans="1:15" x14ac:dyDescent="0.25">
      <c r="A40" t="s">
        <v>15</v>
      </c>
      <c r="B40" t="s">
        <v>171</v>
      </c>
      <c r="C40" t="s">
        <v>161</v>
      </c>
      <c r="D40" t="s">
        <v>162</v>
      </c>
      <c r="E40" t="s">
        <v>19</v>
      </c>
      <c r="F40" t="s">
        <v>19</v>
      </c>
      <c r="G40" t="s">
        <v>133</v>
      </c>
      <c r="H40" t="s">
        <v>163</v>
      </c>
      <c r="I40" t="s">
        <v>164</v>
      </c>
      <c r="J40" t="s">
        <v>138</v>
      </c>
      <c r="K40" t="s">
        <v>172</v>
      </c>
      <c r="L40" t="s">
        <v>108</v>
      </c>
      <c r="M40" t="s">
        <v>39</v>
      </c>
      <c r="N40" t="s">
        <v>173</v>
      </c>
      <c r="O40">
        <v>2021</v>
      </c>
    </row>
    <row r="41" spans="1:15" x14ac:dyDescent="0.25">
      <c r="A41" t="s">
        <v>15</v>
      </c>
      <c r="B41" t="s">
        <v>174</v>
      </c>
      <c r="C41" t="s">
        <v>17</v>
      </c>
      <c r="D41" t="s">
        <v>162</v>
      </c>
      <c r="E41" t="s">
        <v>19</v>
      </c>
      <c r="F41" t="s">
        <v>132</v>
      </c>
      <c r="G41" t="s">
        <v>133</v>
      </c>
      <c r="H41" t="s">
        <v>175</v>
      </c>
      <c r="I41" t="s">
        <v>23</v>
      </c>
      <c r="J41" t="s">
        <v>138</v>
      </c>
      <c r="K41" t="s">
        <v>170</v>
      </c>
      <c r="L41" t="s">
        <v>142</v>
      </c>
      <c r="M41" t="s">
        <v>27</v>
      </c>
      <c r="N41" t="s">
        <v>34</v>
      </c>
      <c r="O41">
        <v>2021</v>
      </c>
    </row>
    <row r="42" spans="1:15" x14ac:dyDescent="0.25">
      <c r="A42" t="s">
        <v>15</v>
      </c>
      <c r="B42" t="s">
        <v>176</v>
      </c>
      <c r="C42" t="s">
        <v>17</v>
      </c>
      <c r="D42" t="s">
        <v>162</v>
      </c>
      <c r="E42" t="s">
        <v>19</v>
      </c>
      <c r="F42" t="s">
        <v>132</v>
      </c>
      <c r="G42" t="s">
        <v>133</v>
      </c>
      <c r="H42" t="s">
        <v>175</v>
      </c>
      <c r="I42" t="s">
        <v>23</v>
      </c>
      <c r="J42" t="s">
        <v>100</v>
      </c>
      <c r="K42" t="s">
        <v>172</v>
      </c>
      <c r="L42" t="s">
        <v>144</v>
      </c>
      <c r="M42" t="s">
        <v>39</v>
      </c>
      <c r="N42" t="s">
        <v>40</v>
      </c>
      <c r="O42">
        <v>2021</v>
      </c>
    </row>
    <row r="43" spans="1:15" x14ac:dyDescent="0.25">
      <c r="A43" t="s">
        <v>15</v>
      </c>
      <c r="B43" t="s">
        <v>177</v>
      </c>
      <c r="C43" t="s">
        <v>17</v>
      </c>
      <c r="D43" t="s">
        <v>162</v>
      </c>
      <c r="E43" t="s">
        <v>19</v>
      </c>
      <c r="F43" t="s">
        <v>132</v>
      </c>
      <c r="G43" t="s">
        <v>133</v>
      </c>
      <c r="H43" t="s">
        <v>175</v>
      </c>
      <c r="I43" t="s">
        <v>23</v>
      </c>
      <c r="J43" t="s">
        <v>24</v>
      </c>
      <c r="K43" t="s">
        <v>178</v>
      </c>
      <c r="L43" t="s">
        <v>146</v>
      </c>
      <c r="M43" t="s">
        <v>56</v>
      </c>
      <c r="N43" t="s">
        <v>57</v>
      </c>
      <c r="O43">
        <v>2021</v>
      </c>
    </row>
    <row r="44" spans="1:15" x14ac:dyDescent="0.25">
      <c r="A44" t="s">
        <v>15</v>
      </c>
      <c r="B44" t="s">
        <v>179</v>
      </c>
      <c r="C44" t="s">
        <v>180</v>
      </c>
      <c r="D44" t="s">
        <v>18</v>
      </c>
      <c r="E44" t="s">
        <v>60</v>
      </c>
      <c r="F44" t="s">
        <v>181</v>
      </c>
      <c r="G44" t="s">
        <v>133</v>
      </c>
      <c r="H44" t="s">
        <v>182</v>
      </c>
      <c r="I44" t="s">
        <v>23</v>
      </c>
      <c r="J44" t="s">
        <v>69</v>
      </c>
      <c r="K44" t="s">
        <v>183</v>
      </c>
      <c r="L44" t="s">
        <v>118</v>
      </c>
      <c r="M44" t="s">
        <v>56</v>
      </c>
      <c r="N44" t="s">
        <v>89</v>
      </c>
      <c r="O44">
        <v>2021</v>
      </c>
    </row>
    <row r="45" spans="1:15" x14ac:dyDescent="0.25">
      <c r="A45" t="s">
        <v>15</v>
      </c>
      <c r="B45" t="s">
        <v>184</v>
      </c>
      <c r="C45" t="s">
        <v>180</v>
      </c>
      <c r="D45" t="s">
        <v>18</v>
      </c>
      <c r="E45" t="s">
        <v>60</v>
      </c>
      <c r="F45" t="s">
        <v>181</v>
      </c>
      <c r="G45" t="s">
        <v>133</v>
      </c>
      <c r="H45" t="s">
        <v>182</v>
      </c>
      <c r="I45" t="s">
        <v>23</v>
      </c>
      <c r="J45" t="s">
        <v>74</v>
      </c>
      <c r="K45" t="s">
        <v>185</v>
      </c>
      <c r="L45" t="s">
        <v>186</v>
      </c>
      <c r="M45" t="s">
        <v>77</v>
      </c>
      <c r="N45" t="s">
        <v>95</v>
      </c>
      <c r="O45">
        <v>2021</v>
      </c>
    </row>
    <row r="46" spans="1:15" x14ac:dyDescent="0.25">
      <c r="A46" t="s">
        <v>15</v>
      </c>
      <c r="B46" t="s">
        <v>187</v>
      </c>
      <c r="C46" t="s">
        <v>180</v>
      </c>
      <c r="D46" t="s">
        <v>18</v>
      </c>
      <c r="E46" t="s">
        <v>60</v>
      </c>
      <c r="F46" t="s">
        <v>181</v>
      </c>
      <c r="G46" t="s">
        <v>133</v>
      </c>
      <c r="H46" t="s">
        <v>182</v>
      </c>
      <c r="I46" t="s">
        <v>23</v>
      </c>
      <c r="J46" t="s">
        <v>91</v>
      </c>
      <c r="K46" t="s">
        <v>188</v>
      </c>
      <c r="L46" t="s">
        <v>93</v>
      </c>
      <c r="M46" t="s">
        <v>88</v>
      </c>
      <c r="N46" t="s">
        <v>129</v>
      </c>
      <c r="O46">
        <v>2021</v>
      </c>
    </row>
    <row r="47" spans="1:15" x14ac:dyDescent="0.25">
      <c r="A47" t="s">
        <v>15</v>
      </c>
      <c r="B47" t="s">
        <v>189</v>
      </c>
      <c r="C47" t="s">
        <v>190</v>
      </c>
      <c r="D47" t="s">
        <v>18</v>
      </c>
      <c r="E47" t="s">
        <v>60</v>
      </c>
      <c r="F47" t="s">
        <v>181</v>
      </c>
      <c r="G47" t="s">
        <v>133</v>
      </c>
      <c r="H47" t="s">
        <v>191</v>
      </c>
      <c r="I47" t="s">
        <v>44</v>
      </c>
      <c r="J47" t="s">
        <v>86</v>
      </c>
      <c r="K47" t="s">
        <v>185</v>
      </c>
      <c r="L47" t="s">
        <v>192</v>
      </c>
      <c r="M47" t="s">
        <v>77</v>
      </c>
      <c r="N47" t="s">
        <v>95</v>
      </c>
      <c r="O47">
        <v>2021</v>
      </c>
    </row>
    <row r="48" spans="1:15" x14ac:dyDescent="0.25">
      <c r="A48" t="s">
        <v>15</v>
      </c>
      <c r="B48" t="s">
        <v>193</v>
      </c>
      <c r="C48" t="s">
        <v>190</v>
      </c>
      <c r="D48" t="s">
        <v>18</v>
      </c>
      <c r="E48" t="s">
        <v>60</v>
      </c>
      <c r="F48" t="s">
        <v>181</v>
      </c>
      <c r="G48" t="s">
        <v>133</v>
      </c>
      <c r="H48" t="s">
        <v>191</v>
      </c>
      <c r="I48" t="s">
        <v>44</v>
      </c>
      <c r="J48" t="s">
        <v>194</v>
      </c>
      <c r="K48" t="s">
        <v>188</v>
      </c>
      <c r="L48" t="s">
        <v>195</v>
      </c>
      <c r="M48" t="s">
        <v>88</v>
      </c>
      <c r="N48" t="s">
        <v>129</v>
      </c>
      <c r="O48">
        <v>2021</v>
      </c>
    </row>
    <row r="49" spans="1:15" x14ac:dyDescent="0.25">
      <c r="A49" t="s">
        <v>15</v>
      </c>
      <c r="B49" t="s">
        <v>196</v>
      </c>
      <c r="C49" t="s">
        <v>190</v>
      </c>
      <c r="D49" t="s">
        <v>18</v>
      </c>
      <c r="E49" t="s">
        <v>60</v>
      </c>
      <c r="F49" t="s">
        <v>181</v>
      </c>
      <c r="G49" t="s">
        <v>133</v>
      </c>
      <c r="H49" t="s">
        <v>191</v>
      </c>
      <c r="I49" t="s">
        <v>44</v>
      </c>
      <c r="J49" t="s">
        <v>197</v>
      </c>
      <c r="K49" t="s">
        <v>198</v>
      </c>
      <c r="L49" t="s">
        <v>199</v>
      </c>
      <c r="M49" t="s">
        <v>128</v>
      </c>
      <c r="N49" t="s">
        <v>200</v>
      </c>
      <c r="O49">
        <v>2021</v>
      </c>
    </row>
    <row r="50" spans="1:15" x14ac:dyDescent="0.25">
      <c r="A50" t="s">
        <v>15</v>
      </c>
      <c r="B50" t="s">
        <v>201</v>
      </c>
      <c r="C50" t="s">
        <v>202</v>
      </c>
      <c r="D50" t="s">
        <v>162</v>
      </c>
      <c r="E50" t="s">
        <v>19</v>
      </c>
      <c r="F50" t="s">
        <v>19</v>
      </c>
      <c r="G50" t="s">
        <v>203</v>
      </c>
      <c r="H50" t="s">
        <v>204</v>
      </c>
      <c r="I50" t="s">
        <v>164</v>
      </c>
      <c r="J50" t="s">
        <v>165</v>
      </c>
      <c r="K50" t="s">
        <v>166</v>
      </c>
      <c r="L50" t="s">
        <v>136</v>
      </c>
      <c r="M50" t="s">
        <v>167</v>
      </c>
      <c r="N50" t="s">
        <v>168</v>
      </c>
      <c r="O50">
        <v>2020</v>
      </c>
    </row>
    <row r="51" spans="1:15" x14ac:dyDescent="0.25">
      <c r="A51" t="s">
        <v>15</v>
      </c>
      <c r="B51" t="s">
        <v>205</v>
      </c>
      <c r="C51" t="s">
        <v>202</v>
      </c>
      <c r="D51" t="s">
        <v>162</v>
      </c>
      <c r="E51" t="s">
        <v>19</v>
      </c>
      <c r="F51" t="s">
        <v>19</v>
      </c>
      <c r="G51" t="s">
        <v>203</v>
      </c>
      <c r="H51" t="s">
        <v>204</v>
      </c>
      <c r="I51" t="s">
        <v>164</v>
      </c>
      <c r="J51" t="s">
        <v>134</v>
      </c>
      <c r="K51" t="s">
        <v>170</v>
      </c>
      <c r="L51" t="s">
        <v>106</v>
      </c>
      <c r="M51" t="s">
        <v>27</v>
      </c>
      <c r="N51" t="s">
        <v>34</v>
      </c>
      <c r="O51">
        <v>2020</v>
      </c>
    </row>
    <row r="52" spans="1:15" x14ac:dyDescent="0.25">
      <c r="A52" t="s">
        <v>15</v>
      </c>
      <c r="B52" t="s">
        <v>206</v>
      </c>
      <c r="C52" t="s">
        <v>202</v>
      </c>
      <c r="D52" t="s">
        <v>162</v>
      </c>
      <c r="E52" t="s">
        <v>19</v>
      </c>
      <c r="F52" t="s">
        <v>19</v>
      </c>
      <c r="G52" t="s">
        <v>203</v>
      </c>
      <c r="H52" t="s">
        <v>204</v>
      </c>
      <c r="I52" t="s">
        <v>164</v>
      </c>
      <c r="J52" t="s">
        <v>138</v>
      </c>
      <c r="K52" t="s">
        <v>172</v>
      </c>
      <c r="L52" t="s">
        <v>108</v>
      </c>
      <c r="M52" t="s">
        <v>39</v>
      </c>
      <c r="N52" t="s">
        <v>173</v>
      </c>
      <c r="O52">
        <v>2020</v>
      </c>
    </row>
    <row r="53" spans="1:15" x14ac:dyDescent="0.25">
      <c r="A53" t="s">
        <v>15</v>
      </c>
      <c r="B53" t="s">
        <v>207</v>
      </c>
      <c r="C53" t="s">
        <v>208</v>
      </c>
      <c r="D53" t="s">
        <v>162</v>
      </c>
      <c r="E53" t="s">
        <v>19</v>
      </c>
      <c r="F53" t="s">
        <v>132</v>
      </c>
      <c r="G53" t="s">
        <v>203</v>
      </c>
      <c r="H53" t="s">
        <v>209</v>
      </c>
      <c r="I53" t="s">
        <v>23</v>
      </c>
      <c r="J53" t="s">
        <v>138</v>
      </c>
      <c r="K53" t="s">
        <v>170</v>
      </c>
      <c r="L53" t="s">
        <v>142</v>
      </c>
      <c r="M53" t="s">
        <v>27</v>
      </c>
      <c r="N53" t="s">
        <v>34</v>
      </c>
      <c r="O53">
        <v>2020</v>
      </c>
    </row>
    <row r="54" spans="1:15" x14ac:dyDescent="0.25">
      <c r="A54" t="s">
        <v>15</v>
      </c>
      <c r="B54" t="s">
        <v>210</v>
      </c>
      <c r="C54" t="s">
        <v>208</v>
      </c>
      <c r="D54" t="s">
        <v>162</v>
      </c>
      <c r="E54" t="s">
        <v>19</v>
      </c>
      <c r="F54" t="s">
        <v>132</v>
      </c>
      <c r="G54" t="s">
        <v>203</v>
      </c>
      <c r="H54" t="s">
        <v>209</v>
      </c>
      <c r="I54" t="s">
        <v>23</v>
      </c>
      <c r="J54" t="s">
        <v>100</v>
      </c>
      <c r="K54" t="s">
        <v>172</v>
      </c>
      <c r="L54" t="s">
        <v>144</v>
      </c>
      <c r="M54" t="s">
        <v>39</v>
      </c>
      <c r="N54" t="s">
        <v>40</v>
      </c>
      <c r="O54">
        <v>2020</v>
      </c>
    </row>
    <row r="55" spans="1:15" x14ac:dyDescent="0.25">
      <c r="A55" t="s">
        <v>15</v>
      </c>
      <c r="B55" t="s">
        <v>211</v>
      </c>
      <c r="C55" t="s">
        <v>208</v>
      </c>
      <c r="D55" t="s">
        <v>162</v>
      </c>
      <c r="E55" t="s">
        <v>19</v>
      </c>
      <c r="F55" t="s">
        <v>132</v>
      </c>
      <c r="G55" t="s">
        <v>203</v>
      </c>
      <c r="H55" t="s">
        <v>209</v>
      </c>
      <c r="I55" t="s">
        <v>23</v>
      </c>
      <c r="J55" t="s">
        <v>24</v>
      </c>
      <c r="K55" t="s">
        <v>178</v>
      </c>
      <c r="L55" t="s">
        <v>146</v>
      </c>
      <c r="M55" t="s">
        <v>56</v>
      </c>
      <c r="N55" t="s">
        <v>57</v>
      </c>
      <c r="O55">
        <v>2020</v>
      </c>
    </row>
    <row r="56" spans="1:15" x14ac:dyDescent="0.25">
      <c r="A56" t="s">
        <v>15</v>
      </c>
      <c r="B56" t="s">
        <v>212</v>
      </c>
      <c r="C56" t="s">
        <v>213</v>
      </c>
      <c r="D56" t="s">
        <v>18</v>
      </c>
      <c r="E56" t="s">
        <v>60</v>
      </c>
      <c r="F56" t="s">
        <v>181</v>
      </c>
      <c r="G56" t="s">
        <v>203</v>
      </c>
      <c r="H56" t="s">
        <v>209</v>
      </c>
      <c r="I56" t="s">
        <v>23</v>
      </c>
      <c r="J56" t="s">
        <v>74</v>
      </c>
      <c r="K56" t="s">
        <v>183</v>
      </c>
      <c r="L56" t="s">
        <v>118</v>
      </c>
      <c r="M56" t="s">
        <v>56</v>
      </c>
      <c r="N56" t="s">
        <v>89</v>
      </c>
      <c r="O56">
        <v>2020</v>
      </c>
    </row>
    <row r="57" spans="1:15" x14ac:dyDescent="0.25">
      <c r="A57" t="s">
        <v>15</v>
      </c>
      <c r="B57" t="s">
        <v>214</v>
      </c>
      <c r="C57" t="s">
        <v>213</v>
      </c>
      <c r="D57" t="s">
        <v>18</v>
      </c>
      <c r="E57" t="s">
        <v>60</v>
      </c>
      <c r="F57" t="s">
        <v>181</v>
      </c>
      <c r="G57" t="s">
        <v>203</v>
      </c>
      <c r="H57" t="s">
        <v>209</v>
      </c>
      <c r="I57" t="s">
        <v>23</v>
      </c>
      <c r="J57" t="s">
        <v>215</v>
      </c>
      <c r="K57" t="s">
        <v>185</v>
      </c>
      <c r="L57" t="s">
        <v>186</v>
      </c>
      <c r="M57" t="s">
        <v>77</v>
      </c>
      <c r="N57" t="s">
        <v>95</v>
      </c>
      <c r="O57">
        <v>2020</v>
      </c>
    </row>
    <row r="58" spans="1:15" x14ac:dyDescent="0.25">
      <c r="A58" t="s">
        <v>15</v>
      </c>
      <c r="B58" t="s">
        <v>216</v>
      </c>
      <c r="C58" t="s">
        <v>213</v>
      </c>
      <c r="D58" t="s">
        <v>18</v>
      </c>
      <c r="E58" t="s">
        <v>60</v>
      </c>
      <c r="F58" t="s">
        <v>181</v>
      </c>
      <c r="G58" t="s">
        <v>203</v>
      </c>
      <c r="H58" t="s">
        <v>209</v>
      </c>
      <c r="I58" t="s">
        <v>23</v>
      </c>
      <c r="J58" t="s">
        <v>194</v>
      </c>
      <c r="K58" t="s">
        <v>188</v>
      </c>
      <c r="L58" t="s">
        <v>93</v>
      </c>
      <c r="M58" t="s">
        <v>88</v>
      </c>
      <c r="N58" t="s">
        <v>129</v>
      </c>
      <c r="O58">
        <v>2020</v>
      </c>
    </row>
    <row r="59" spans="1:15" x14ac:dyDescent="0.25">
      <c r="A59" t="s">
        <v>15</v>
      </c>
      <c r="B59" t="s">
        <v>217</v>
      </c>
      <c r="C59" t="s">
        <v>218</v>
      </c>
      <c r="D59" t="s">
        <v>18</v>
      </c>
      <c r="E59" t="s">
        <v>60</v>
      </c>
      <c r="F59" t="s">
        <v>181</v>
      </c>
      <c r="G59" t="s">
        <v>203</v>
      </c>
      <c r="H59" t="s">
        <v>219</v>
      </c>
      <c r="I59" t="s">
        <v>44</v>
      </c>
      <c r="J59" t="s">
        <v>91</v>
      </c>
      <c r="K59" t="s">
        <v>185</v>
      </c>
      <c r="L59" t="s">
        <v>220</v>
      </c>
      <c r="M59" t="s">
        <v>77</v>
      </c>
      <c r="N59" t="s">
        <v>95</v>
      </c>
      <c r="O59">
        <v>2020</v>
      </c>
    </row>
    <row r="60" spans="1:15" x14ac:dyDescent="0.25">
      <c r="A60" t="s">
        <v>15</v>
      </c>
      <c r="B60" t="s">
        <v>221</v>
      </c>
      <c r="C60" t="s">
        <v>218</v>
      </c>
      <c r="D60" t="s">
        <v>18</v>
      </c>
      <c r="E60" t="s">
        <v>60</v>
      </c>
      <c r="F60" t="s">
        <v>181</v>
      </c>
      <c r="G60" t="s">
        <v>203</v>
      </c>
      <c r="H60" t="s">
        <v>219</v>
      </c>
      <c r="I60" t="s">
        <v>44</v>
      </c>
      <c r="J60" t="s">
        <v>156</v>
      </c>
      <c r="K60" t="s">
        <v>188</v>
      </c>
      <c r="L60" t="s">
        <v>195</v>
      </c>
      <c r="M60" t="s">
        <v>88</v>
      </c>
      <c r="N60" t="s">
        <v>129</v>
      </c>
      <c r="O60">
        <v>2020</v>
      </c>
    </row>
    <row r="61" spans="1:15" x14ac:dyDescent="0.25">
      <c r="A61" t="s">
        <v>15</v>
      </c>
      <c r="B61" t="s">
        <v>222</v>
      </c>
      <c r="C61" t="s">
        <v>218</v>
      </c>
      <c r="D61" t="s">
        <v>18</v>
      </c>
      <c r="E61" t="s">
        <v>60</v>
      </c>
      <c r="F61" t="s">
        <v>181</v>
      </c>
      <c r="G61" t="s">
        <v>203</v>
      </c>
      <c r="H61" t="s">
        <v>219</v>
      </c>
      <c r="I61" t="s">
        <v>44</v>
      </c>
      <c r="J61" t="s">
        <v>197</v>
      </c>
      <c r="K61" t="s">
        <v>198</v>
      </c>
      <c r="L61" t="s">
        <v>199</v>
      </c>
      <c r="M61" t="s">
        <v>128</v>
      </c>
      <c r="N61" t="s">
        <v>200</v>
      </c>
      <c r="O61">
        <v>2020</v>
      </c>
    </row>
    <row r="62" spans="1:15" x14ac:dyDescent="0.25">
      <c r="A62" t="s">
        <v>15</v>
      </c>
      <c r="B62" t="s">
        <v>223</v>
      </c>
      <c r="C62" t="s">
        <v>224</v>
      </c>
      <c r="D62" t="s">
        <v>162</v>
      </c>
      <c r="E62" t="s">
        <v>19</v>
      </c>
      <c r="F62" t="s">
        <v>132</v>
      </c>
      <c r="G62" t="s">
        <v>225</v>
      </c>
      <c r="H62" t="s">
        <v>226</v>
      </c>
      <c r="I62" t="s">
        <v>23</v>
      </c>
      <c r="J62" t="s">
        <v>227</v>
      </c>
      <c r="K62" t="s">
        <v>228</v>
      </c>
      <c r="L62" t="s">
        <v>142</v>
      </c>
      <c r="M62" t="s">
        <v>167</v>
      </c>
      <c r="N62" t="s">
        <v>229</v>
      </c>
      <c r="O62">
        <v>2019</v>
      </c>
    </row>
    <row r="63" spans="1:15" x14ac:dyDescent="0.25">
      <c r="A63" t="s">
        <v>15</v>
      </c>
      <c r="B63" t="s">
        <v>230</v>
      </c>
      <c r="C63" t="s">
        <v>224</v>
      </c>
      <c r="D63" t="s">
        <v>162</v>
      </c>
      <c r="E63" t="s">
        <v>19</v>
      </c>
      <c r="F63" t="s">
        <v>132</v>
      </c>
      <c r="G63" t="s">
        <v>225</v>
      </c>
      <c r="H63" t="s">
        <v>226</v>
      </c>
      <c r="I63" t="s">
        <v>23</v>
      </c>
      <c r="J63" t="s">
        <v>231</v>
      </c>
      <c r="K63" t="s">
        <v>170</v>
      </c>
      <c r="L63" t="s">
        <v>144</v>
      </c>
      <c r="M63" t="s">
        <v>27</v>
      </c>
      <c r="N63" t="s">
        <v>34</v>
      </c>
      <c r="O63">
        <v>2019</v>
      </c>
    </row>
    <row r="64" spans="1:15" x14ac:dyDescent="0.25">
      <c r="A64" t="s">
        <v>15</v>
      </c>
      <c r="B64" t="s">
        <v>232</v>
      </c>
      <c r="C64" t="s">
        <v>224</v>
      </c>
      <c r="D64" t="s">
        <v>162</v>
      </c>
      <c r="E64" t="s">
        <v>19</v>
      </c>
      <c r="F64" t="s">
        <v>132</v>
      </c>
      <c r="G64" t="s">
        <v>225</v>
      </c>
      <c r="H64" t="s">
        <v>226</v>
      </c>
      <c r="I64" t="s">
        <v>23</v>
      </c>
      <c r="J64" t="s">
        <v>233</v>
      </c>
      <c r="K64" t="s">
        <v>172</v>
      </c>
      <c r="L64" t="s">
        <v>146</v>
      </c>
      <c r="M64" t="s">
        <v>39</v>
      </c>
      <c r="N64" t="s">
        <v>173</v>
      </c>
      <c r="O64">
        <v>2019</v>
      </c>
    </row>
    <row r="65" spans="1:15" x14ac:dyDescent="0.25">
      <c r="A65" t="s">
        <v>15</v>
      </c>
      <c r="B65" t="s">
        <v>234</v>
      </c>
      <c r="C65" t="s">
        <v>235</v>
      </c>
      <c r="D65" t="s">
        <v>162</v>
      </c>
      <c r="E65" t="s">
        <v>60</v>
      </c>
      <c r="F65" t="s">
        <v>181</v>
      </c>
      <c r="G65" t="s">
        <v>225</v>
      </c>
      <c r="H65" t="s">
        <v>236</v>
      </c>
      <c r="I65" t="s">
        <v>237</v>
      </c>
      <c r="J65" t="s">
        <v>238</v>
      </c>
      <c r="K65" t="s">
        <v>239</v>
      </c>
      <c r="L65" t="s">
        <v>55</v>
      </c>
      <c r="M65" t="s">
        <v>56</v>
      </c>
      <c r="N65" t="s">
        <v>84</v>
      </c>
      <c r="O65">
        <v>2019</v>
      </c>
    </row>
    <row r="66" spans="1:15" x14ac:dyDescent="0.25">
      <c r="A66" t="s">
        <v>15</v>
      </c>
      <c r="B66" t="s">
        <v>240</v>
      </c>
      <c r="C66" t="s">
        <v>235</v>
      </c>
      <c r="D66" t="s">
        <v>162</v>
      </c>
      <c r="E66" t="s">
        <v>60</v>
      </c>
      <c r="F66" t="s">
        <v>181</v>
      </c>
      <c r="G66" t="s">
        <v>225</v>
      </c>
      <c r="H66" t="s">
        <v>236</v>
      </c>
      <c r="I66" t="s">
        <v>237</v>
      </c>
      <c r="J66" t="s">
        <v>241</v>
      </c>
      <c r="K66" t="s">
        <v>242</v>
      </c>
      <c r="L66" t="s">
        <v>243</v>
      </c>
      <c r="M66" t="s">
        <v>77</v>
      </c>
      <c r="N66" t="s">
        <v>95</v>
      </c>
      <c r="O66">
        <v>2019</v>
      </c>
    </row>
    <row r="67" spans="1:15" x14ac:dyDescent="0.25">
      <c r="A67" t="s">
        <v>15</v>
      </c>
      <c r="B67" t="s">
        <v>244</v>
      </c>
      <c r="C67" t="s">
        <v>235</v>
      </c>
      <c r="D67" t="s">
        <v>162</v>
      </c>
      <c r="E67" t="s">
        <v>60</v>
      </c>
      <c r="F67" t="s">
        <v>181</v>
      </c>
      <c r="G67" t="s">
        <v>225</v>
      </c>
      <c r="H67" t="s">
        <v>236</v>
      </c>
      <c r="I67" t="s">
        <v>237</v>
      </c>
      <c r="J67" t="s">
        <v>48</v>
      </c>
      <c r="K67" t="s">
        <v>183</v>
      </c>
      <c r="L67" t="s">
        <v>123</v>
      </c>
      <c r="M67" t="s">
        <v>88</v>
      </c>
      <c r="N67" t="s">
        <v>200</v>
      </c>
      <c r="O67">
        <v>2019</v>
      </c>
    </row>
    <row r="68" spans="1:15" x14ac:dyDescent="0.25">
      <c r="A68" t="s">
        <v>15</v>
      </c>
      <c r="B68" t="s">
        <v>245</v>
      </c>
      <c r="C68" t="s">
        <v>246</v>
      </c>
      <c r="D68" t="s">
        <v>162</v>
      </c>
      <c r="E68" t="s">
        <v>60</v>
      </c>
      <c r="F68" t="s">
        <v>181</v>
      </c>
      <c r="G68" t="s">
        <v>225</v>
      </c>
      <c r="H68" t="s">
        <v>247</v>
      </c>
      <c r="I68" t="s">
        <v>248</v>
      </c>
      <c r="J68" t="s">
        <v>249</v>
      </c>
      <c r="K68" t="s">
        <v>242</v>
      </c>
      <c r="L68" t="s">
        <v>87</v>
      </c>
      <c r="M68" t="s">
        <v>77</v>
      </c>
      <c r="N68" t="s">
        <v>129</v>
      </c>
      <c r="O68">
        <v>2019</v>
      </c>
    </row>
    <row r="69" spans="1:15" x14ac:dyDescent="0.25">
      <c r="A69" t="s">
        <v>15</v>
      </c>
      <c r="B69" t="s">
        <v>250</v>
      </c>
      <c r="C69" t="s">
        <v>246</v>
      </c>
      <c r="D69" t="s">
        <v>162</v>
      </c>
      <c r="E69" t="s">
        <v>60</v>
      </c>
      <c r="F69" t="s">
        <v>181</v>
      </c>
      <c r="G69" t="s">
        <v>225</v>
      </c>
      <c r="H69" t="s">
        <v>247</v>
      </c>
      <c r="I69" t="s">
        <v>248</v>
      </c>
      <c r="J69" t="s">
        <v>251</v>
      </c>
      <c r="K69" t="s">
        <v>183</v>
      </c>
      <c r="L69" t="s">
        <v>93</v>
      </c>
      <c r="M69" t="s">
        <v>88</v>
      </c>
      <c r="N69" t="s">
        <v>200</v>
      </c>
      <c r="O69">
        <v>2019</v>
      </c>
    </row>
    <row r="70" spans="1:15" x14ac:dyDescent="0.25">
      <c r="A70" t="s">
        <v>15</v>
      </c>
      <c r="B70" t="s">
        <v>252</v>
      </c>
      <c r="C70" t="s">
        <v>246</v>
      </c>
      <c r="D70" t="s">
        <v>162</v>
      </c>
      <c r="E70" t="s">
        <v>60</v>
      </c>
      <c r="F70" t="s">
        <v>181</v>
      </c>
      <c r="G70" t="s">
        <v>225</v>
      </c>
      <c r="H70" t="s">
        <v>247</v>
      </c>
      <c r="I70" t="s">
        <v>248</v>
      </c>
      <c r="J70" t="s">
        <v>253</v>
      </c>
      <c r="K70" t="s">
        <v>185</v>
      </c>
      <c r="L70" t="s">
        <v>195</v>
      </c>
      <c r="M70" t="s">
        <v>128</v>
      </c>
      <c r="N70" t="s">
        <v>254</v>
      </c>
      <c r="O70">
        <v>2019</v>
      </c>
    </row>
    <row r="71" spans="1:15" x14ac:dyDescent="0.25">
      <c r="A71" t="s">
        <v>15</v>
      </c>
      <c r="B71" t="s">
        <v>255</v>
      </c>
      <c r="C71" t="s">
        <v>17</v>
      </c>
      <c r="D71" t="s">
        <v>256</v>
      </c>
      <c r="E71" t="s">
        <v>257</v>
      </c>
      <c r="F71" t="s">
        <v>132</v>
      </c>
      <c r="G71" t="s">
        <v>258</v>
      </c>
      <c r="H71" t="s">
        <v>259</v>
      </c>
      <c r="I71" t="s">
        <v>237</v>
      </c>
      <c r="J71" t="s">
        <v>260</v>
      </c>
      <c r="K71" t="s">
        <v>261</v>
      </c>
      <c r="L71" t="s">
        <v>262</v>
      </c>
      <c r="M71" t="s">
        <v>56</v>
      </c>
      <c r="N71" t="s">
        <v>84</v>
      </c>
      <c r="O71">
        <v>2017</v>
      </c>
    </row>
    <row r="72" spans="1:15" x14ac:dyDescent="0.25">
      <c r="A72" t="s">
        <v>15</v>
      </c>
      <c r="B72" t="s">
        <v>263</v>
      </c>
      <c r="C72" t="s">
        <v>17</v>
      </c>
      <c r="D72" t="s">
        <v>256</v>
      </c>
      <c r="E72" t="s">
        <v>257</v>
      </c>
      <c r="F72" t="s">
        <v>132</v>
      </c>
      <c r="G72" t="s">
        <v>258</v>
      </c>
      <c r="H72" t="s">
        <v>259</v>
      </c>
      <c r="I72" t="s">
        <v>237</v>
      </c>
      <c r="J72" t="s">
        <v>134</v>
      </c>
      <c r="K72" t="s">
        <v>239</v>
      </c>
      <c r="L72" t="s">
        <v>264</v>
      </c>
      <c r="M72" t="s">
        <v>77</v>
      </c>
      <c r="N72" t="s">
        <v>95</v>
      </c>
      <c r="O72">
        <v>2017</v>
      </c>
    </row>
    <row r="73" spans="1:15" x14ac:dyDescent="0.25">
      <c r="A73" t="s">
        <v>15</v>
      </c>
      <c r="B73" t="s">
        <v>265</v>
      </c>
      <c r="C73" t="s">
        <v>266</v>
      </c>
      <c r="D73" t="s">
        <v>162</v>
      </c>
      <c r="E73" t="s">
        <v>257</v>
      </c>
      <c r="F73" t="s">
        <v>132</v>
      </c>
      <c r="G73" t="s">
        <v>267</v>
      </c>
      <c r="H73" t="s">
        <v>268</v>
      </c>
      <c r="I73" t="s">
        <v>237</v>
      </c>
      <c r="J73" t="s">
        <v>238</v>
      </c>
      <c r="K73" t="s">
        <v>239</v>
      </c>
      <c r="L73" t="s">
        <v>269</v>
      </c>
      <c r="M73" t="s">
        <v>56</v>
      </c>
      <c r="N73" t="s">
        <v>78</v>
      </c>
      <c r="O73">
        <v>2018</v>
      </c>
    </row>
    <row r="74" spans="1:15" x14ac:dyDescent="0.25">
      <c r="A74" t="s">
        <v>15</v>
      </c>
      <c r="B74" t="s">
        <v>270</v>
      </c>
      <c r="C74" t="s">
        <v>266</v>
      </c>
      <c r="D74" t="s">
        <v>162</v>
      </c>
      <c r="E74" t="s">
        <v>257</v>
      </c>
      <c r="F74" t="s">
        <v>132</v>
      </c>
      <c r="G74" t="s">
        <v>267</v>
      </c>
      <c r="H74" t="s">
        <v>268</v>
      </c>
      <c r="I74" t="s">
        <v>237</v>
      </c>
      <c r="J74" t="s">
        <v>241</v>
      </c>
      <c r="K74" t="s">
        <v>242</v>
      </c>
      <c r="L74" t="s">
        <v>271</v>
      </c>
      <c r="M74" t="s">
        <v>77</v>
      </c>
      <c r="N74" t="s">
        <v>272</v>
      </c>
      <c r="O74">
        <v>2018</v>
      </c>
    </row>
    <row r="75" spans="1:15" x14ac:dyDescent="0.25">
      <c r="A75" t="s">
        <v>15</v>
      </c>
      <c r="B75" t="s">
        <v>273</v>
      </c>
      <c r="C75" t="s">
        <v>266</v>
      </c>
      <c r="D75" t="s">
        <v>162</v>
      </c>
      <c r="E75" t="s">
        <v>257</v>
      </c>
      <c r="F75" t="s">
        <v>132</v>
      </c>
      <c r="G75" t="s">
        <v>267</v>
      </c>
      <c r="H75" t="s">
        <v>268</v>
      </c>
      <c r="I75" t="s">
        <v>237</v>
      </c>
      <c r="J75" t="s">
        <v>48</v>
      </c>
      <c r="K75" t="s">
        <v>183</v>
      </c>
      <c r="L75" t="s">
        <v>274</v>
      </c>
      <c r="M75" t="s">
        <v>94</v>
      </c>
      <c r="N75" t="s">
        <v>275</v>
      </c>
      <c r="O75">
        <v>2018</v>
      </c>
    </row>
    <row r="76" spans="1:15" x14ac:dyDescent="0.25">
      <c r="A76" t="s">
        <v>15</v>
      </c>
      <c r="B76" t="s">
        <v>276</v>
      </c>
      <c r="C76" t="s">
        <v>277</v>
      </c>
      <c r="D76" t="s">
        <v>162</v>
      </c>
      <c r="E76" t="s">
        <v>257</v>
      </c>
      <c r="F76" t="s">
        <v>132</v>
      </c>
      <c r="G76" t="s">
        <v>267</v>
      </c>
      <c r="H76" t="s">
        <v>278</v>
      </c>
      <c r="I76" t="s">
        <v>248</v>
      </c>
      <c r="J76" t="s">
        <v>45</v>
      </c>
      <c r="K76" t="s">
        <v>242</v>
      </c>
      <c r="L76" t="s">
        <v>279</v>
      </c>
      <c r="M76" t="s">
        <v>77</v>
      </c>
      <c r="N76" t="s">
        <v>129</v>
      </c>
      <c r="O76">
        <v>2018</v>
      </c>
    </row>
    <row r="77" spans="1:15" x14ac:dyDescent="0.25">
      <c r="A77" t="s">
        <v>15</v>
      </c>
      <c r="B77" t="s">
        <v>280</v>
      </c>
      <c r="C77" t="s">
        <v>277</v>
      </c>
      <c r="D77" t="s">
        <v>162</v>
      </c>
      <c r="E77" t="s">
        <v>257</v>
      </c>
      <c r="F77" t="s">
        <v>132</v>
      </c>
      <c r="G77" t="s">
        <v>267</v>
      </c>
      <c r="H77" t="s">
        <v>278</v>
      </c>
      <c r="I77" t="s">
        <v>248</v>
      </c>
      <c r="J77" t="s">
        <v>249</v>
      </c>
      <c r="K77" t="s">
        <v>183</v>
      </c>
      <c r="L77" t="s">
        <v>281</v>
      </c>
      <c r="M77" t="s">
        <v>282</v>
      </c>
      <c r="N77" t="s">
        <v>275</v>
      </c>
      <c r="O77">
        <v>2018</v>
      </c>
    </row>
    <row r="78" spans="1:15" x14ac:dyDescent="0.25">
      <c r="A78" t="s">
        <v>15</v>
      </c>
      <c r="B78" t="s">
        <v>283</v>
      </c>
      <c r="C78" t="s">
        <v>277</v>
      </c>
      <c r="D78" t="s">
        <v>162</v>
      </c>
      <c r="E78" t="s">
        <v>257</v>
      </c>
      <c r="F78" t="s">
        <v>132</v>
      </c>
      <c r="G78" t="s">
        <v>267</v>
      </c>
      <c r="H78" t="s">
        <v>278</v>
      </c>
      <c r="I78" t="s">
        <v>248</v>
      </c>
      <c r="J78" t="s">
        <v>251</v>
      </c>
      <c r="K78" t="s">
        <v>185</v>
      </c>
      <c r="L78" t="s">
        <v>284</v>
      </c>
      <c r="M78" t="s">
        <v>128</v>
      </c>
      <c r="N78" t="s">
        <v>285</v>
      </c>
      <c r="O78">
        <v>2018</v>
      </c>
    </row>
    <row r="79" spans="1:15" x14ac:dyDescent="0.25">
      <c r="A79" t="s">
        <v>15</v>
      </c>
      <c r="B79" t="s">
        <v>286</v>
      </c>
      <c r="C79" t="s">
        <v>224</v>
      </c>
      <c r="D79" t="s">
        <v>256</v>
      </c>
      <c r="E79" t="s">
        <v>257</v>
      </c>
      <c r="F79" t="s">
        <v>132</v>
      </c>
      <c r="G79" t="s">
        <v>267</v>
      </c>
      <c r="H79" t="s">
        <v>287</v>
      </c>
      <c r="I79" t="s">
        <v>23</v>
      </c>
      <c r="J79" t="s">
        <v>288</v>
      </c>
      <c r="K79" t="s">
        <v>228</v>
      </c>
      <c r="L79" t="s">
        <v>146</v>
      </c>
      <c r="M79" t="s">
        <v>289</v>
      </c>
      <c r="N79" t="s">
        <v>103</v>
      </c>
      <c r="O79">
        <v>2018</v>
      </c>
    </row>
    <row r="80" spans="1:15" x14ac:dyDescent="0.25">
      <c r="A80" t="s">
        <v>15</v>
      </c>
      <c r="B80" t="s">
        <v>290</v>
      </c>
      <c r="C80" t="s">
        <v>224</v>
      </c>
      <c r="D80" t="s">
        <v>256</v>
      </c>
      <c r="E80" t="s">
        <v>257</v>
      </c>
      <c r="F80" t="s">
        <v>132</v>
      </c>
      <c r="G80" t="s">
        <v>267</v>
      </c>
      <c r="H80" t="s">
        <v>287</v>
      </c>
      <c r="I80" t="s">
        <v>23</v>
      </c>
      <c r="J80" t="s">
        <v>227</v>
      </c>
      <c r="K80" t="s">
        <v>170</v>
      </c>
      <c r="L80" t="s">
        <v>115</v>
      </c>
      <c r="M80" t="s">
        <v>27</v>
      </c>
      <c r="N80" t="s">
        <v>291</v>
      </c>
      <c r="O80">
        <v>2018</v>
      </c>
    </row>
    <row r="81" spans="1:15" x14ac:dyDescent="0.25">
      <c r="A81" t="s">
        <v>15</v>
      </c>
      <c r="B81" t="s">
        <v>292</v>
      </c>
      <c r="C81" t="s">
        <v>224</v>
      </c>
      <c r="D81" t="s">
        <v>256</v>
      </c>
      <c r="E81" t="s">
        <v>257</v>
      </c>
      <c r="F81" t="s">
        <v>132</v>
      </c>
      <c r="G81" t="s">
        <v>267</v>
      </c>
      <c r="H81" t="s">
        <v>287</v>
      </c>
      <c r="I81" t="s">
        <v>23</v>
      </c>
      <c r="J81" t="s">
        <v>233</v>
      </c>
      <c r="K81" t="s">
        <v>172</v>
      </c>
      <c r="L81" t="s">
        <v>118</v>
      </c>
      <c r="M81" t="s">
        <v>39</v>
      </c>
      <c r="N81" t="s">
        <v>51</v>
      </c>
      <c r="O81">
        <v>2018</v>
      </c>
    </row>
    <row r="82" spans="1:15" x14ac:dyDescent="0.25">
      <c r="A82" t="s">
        <v>15</v>
      </c>
      <c r="B82" t="s">
        <v>293</v>
      </c>
      <c r="C82" t="s">
        <v>294</v>
      </c>
      <c r="D82" t="s">
        <v>162</v>
      </c>
      <c r="E82" t="s">
        <v>19</v>
      </c>
      <c r="F82" t="s">
        <v>19</v>
      </c>
      <c r="G82" t="s">
        <v>203</v>
      </c>
      <c r="H82" t="s">
        <v>295</v>
      </c>
      <c r="I82" t="s">
        <v>296</v>
      </c>
      <c r="J82" t="s">
        <v>297</v>
      </c>
      <c r="K82" t="s">
        <v>298</v>
      </c>
      <c r="L82" t="s">
        <v>299</v>
      </c>
      <c r="M82" t="s">
        <v>300</v>
      </c>
      <c r="N82" t="s">
        <v>301</v>
      </c>
      <c r="O82">
        <v>2020</v>
      </c>
    </row>
    <row r="83" spans="1:15" x14ac:dyDescent="0.25">
      <c r="A83" t="s">
        <v>15</v>
      </c>
      <c r="B83" t="s">
        <v>302</v>
      </c>
      <c r="C83" t="s">
        <v>294</v>
      </c>
      <c r="D83" t="s">
        <v>162</v>
      </c>
      <c r="E83" t="s">
        <v>19</v>
      </c>
      <c r="F83" t="s">
        <v>19</v>
      </c>
      <c r="G83" t="s">
        <v>203</v>
      </c>
      <c r="H83" t="s">
        <v>295</v>
      </c>
      <c r="I83" t="s">
        <v>296</v>
      </c>
      <c r="J83" t="s">
        <v>303</v>
      </c>
      <c r="K83" t="s">
        <v>228</v>
      </c>
      <c r="L83" t="s">
        <v>304</v>
      </c>
      <c r="M83" t="s">
        <v>289</v>
      </c>
      <c r="N83" t="s">
        <v>229</v>
      </c>
      <c r="O83">
        <v>2020</v>
      </c>
    </row>
    <row r="84" spans="1:15" x14ac:dyDescent="0.25">
      <c r="A84" t="s">
        <v>15</v>
      </c>
      <c r="B84" t="s">
        <v>305</v>
      </c>
      <c r="C84" t="s">
        <v>306</v>
      </c>
      <c r="D84" t="s">
        <v>256</v>
      </c>
      <c r="E84" t="s">
        <v>19</v>
      </c>
      <c r="F84" t="s">
        <v>307</v>
      </c>
      <c r="G84" t="s">
        <v>225</v>
      </c>
      <c r="H84" t="s">
        <v>308</v>
      </c>
      <c r="I84" t="s">
        <v>309</v>
      </c>
      <c r="J84" t="s">
        <v>310</v>
      </c>
      <c r="K84" t="s">
        <v>311</v>
      </c>
      <c r="L84" t="s">
        <v>312</v>
      </c>
      <c r="M84" t="s">
        <v>313</v>
      </c>
      <c r="N84" t="s">
        <v>314</v>
      </c>
      <c r="O84">
        <v>2020</v>
      </c>
    </row>
    <row r="85" spans="1:15" x14ac:dyDescent="0.25">
      <c r="A85" t="s">
        <v>15</v>
      </c>
      <c r="B85" t="s">
        <v>315</v>
      </c>
      <c r="C85" t="s">
        <v>306</v>
      </c>
      <c r="D85" t="s">
        <v>256</v>
      </c>
      <c r="E85" t="s">
        <v>19</v>
      </c>
      <c r="F85" t="s">
        <v>307</v>
      </c>
      <c r="G85" t="s">
        <v>225</v>
      </c>
      <c r="H85" t="s">
        <v>308</v>
      </c>
      <c r="I85" t="s">
        <v>309</v>
      </c>
      <c r="J85" t="s">
        <v>316</v>
      </c>
      <c r="K85" t="s">
        <v>317</v>
      </c>
      <c r="L85" t="s">
        <v>318</v>
      </c>
      <c r="M85" t="s">
        <v>319</v>
      </c>
      <c r="N85" t="s">
        <v>320</v>
      </c>
      <c r="O85">
        <v>2020</v>
      </c>
    </row>
    <row r="86" spans="1:15" x14ac:dyDescent="0.25">
      <c r="A86" t="s">
        <v>15</v>
      </c>
      <c r="B86" t="s">
        <v>321</v>
      </c>
      <c r="C86" t="s">
        <v>322</v>
      </c>
      <c r="D86" t="s">
        <v>256</v>
      </c>
      <c r="E86" t="s">
        <v>257</v>
      </c>
      <c r="F86" t="s">
        <v>307</v>
      </c>
      <c r="G86" t="s">
        <v>267</v>
      </c>
      <c r="H86" t="s">
        <v>323</v>
      </c>
      <c r="I86" t="s">
        <v>324</v>
      </c>
      <c r="J86" t="s">
        <v>325</v>
      </c>
      <c r="K86" t="s">
        <v>317</v>
      </c>
      <c r="L86" t="s">
        <v>326</v>
      </c>
      <c r="M86" t="s">
        <v>327</v>
      </c>
      <c r="N86" t="s">
        <v>320</v>
      </c>
      <c r="O86">
        <v>2019</v>
      </c>
    </row>
    <row r="87" spans="1:15" x14ac:dyDescent="0.25">
      <c r="A87" t="s">
        <v>15</v>
      </c>
      <c r="B87" t="s">
        <v>328</v>
      </c>
      <c r="C87" t="s">
        <v>322</v>
      </c>
      <c r="D87" t="s">
        <v>256</v>
      </c>
      <c r="E87" t="s">
        <v>257</v>
      </c>
      <c r="F87" t="s">
        <v>307</v>
      </c>
      <c r="G87" t="s">
        <v>267</v>
      </c>
      <c r="H87" t="s">
        <v>323</v>
      </c>
      <c r="I87" t="s">
        <v>324</v>
      </c>
      <c r="J87" t="s">
        <v>297</v>
      </c>
      <c r="K87" t="s">
        <v>329</v>
      </c>
      <c r="L87" t="s">
        <v>330</v>
      </c>
      <c r="M87" t="s">
        <v>331</v>
      </c>
      <c r="N87" t="s">
        <v>332</v>
      </c>
      <c r="O87">
        <v>2019</v>
      </c>
    </row>
    <row r="88" spans="1:15" x14ac:dyDescent="0.25">
      <c r="A88" t="s">
        <v>15</v>
      </c>
      <c r="B88" t="s">
        <v>333</v>
      </c>
      <c r="C88" t="s">
        <v>334</v>
      </c>
      <c r="D88" t="s">
        <v>162</v>
      </c>
      <c r="E88" t="s">
        <v>257</v>
      </c>
      <c r="F88" t="s">
        <v>335</v>
      </c>
      <c r="G88" t="s">
        <v>336</v>
      </c>
      <c r="H88" t="s">
        <v>337</v>
      </c>
      <c r="I88" t="s">
        <v>338</v>
      </c>
      <c r="J88" t="s">
        <v>288</v>
      </c>
      <c r="K88" t="s">
        <v>339</v>
      </c>
      <c r="L88" t="s">
        <v>340</v>
      </c>
      <c r="M88" t="s">
        <v>27</v>
      </c>
      <c r="N88" t="s">
        <v>28</v>
      </c>
      <c r="O88">
        <v>2020</v>
      </c>
    </row>
    <row r="89" spans="1:15" x14ac:dyDescent="0.25">
      <c r="A89" t="s">
        <v>15</v>
      </c>
      <c r="B89" t="s">
        <v>341</v>
      </c>
      <c r="C89" t="s">
        <v>334</v>
      </c>
      <c r="D89" t="s">
        <v>162</v>
      </c>
      <c r="E89" t="s">
        <v>257</v>
      </c>
      <c r="F89" t="s">
        <v>335</v>
      </c>
      <c r="G89" t="s">
        <v>336</v>
      </c>
      <c r="H89" t="s">
        <v>337</v>
      </c>
      <c r="I89" t="s">
        <v>338</v>
      </c>
      <c r="J89" t="s">
        <v>231</v>
      </c>
      <c r="K89" t="s">
        <v>261</v>
      </c>
      <c r="L89" t="s">
        <v>148</v>
      </c>
      <c r="M89" t="s">
        <v>39</v>
      </c>
      <c r="N89" t="s">
        <v>40</v>
      </c>
      <c r="O89">
        <v>2020</v>
      </c>
    </row>
    <row r="90" spans="1:15" x14ac:dyDescent="0.25">
      <c r="A90" t="s">
        <v>15</v>
      </c>
      <c r="B90" t="s">
        <v>342</v>
      </c>
      <c r="C90" t="s">
        <v>334</v>
      </c>
      <c r="D90" t="s">
        <v>18</v>
      </c>
      <c r="E90" t="s">
        <v>257</v>
      </c>
      <c r="F90" t="s">
        <v>335</v>
      </c>
      <c r="G90" t="s">
        <v>336</v>
      </c>
      <c r="H90" t="s">
        <v>337</v>
      </c>
      <c r="I90" t="s">
        <v>338</v>
      </c>
      <c r="J90" t="s">
        <v>343</v>
      </c>
      <c r="K90" t="s">
        <v>242</v>
      </c>
      <c r="L90" t="s">
        <v>123</v>
      </c>
      <c r="M90" t="s">
        <v>77</v>
      </c>
      <c r="N90" t="s">
        <v>72</v>
      </c>
      <c r="O90">
        <v>2020</v>
      </c>
    </row>
    <row r="91" spans="1:15" x14ac:dyDescent="0.25">
      <c r="A91" t="s">
        <v>15</v>
      </c>
      <c r="B91" t="s">
        <v>344</v>
      </c>
      <c r="C91" t="s">
        <v>345</v>
      </c>
      <c r="D91" t="s">
        <v>18</v>
      </c>
      <c r="E91" t="s">
        <v>257</v>
      </c>
      <c r="F91" t="s">
        <v>335</v>
      </c>
      <c r="G91" t="s">
        <v>336</v>
      </c>
      <c r="H91" t="s">
        <v>346</v>
      </c>
      <c r="I91" t="s">
        <v>347</v>
      </c>
      <c r="J91" t="s">
        <v>238</v>
      </c>
      <c r="K91" t="s">
        <v>178</v>
      </c>
      <c r="L91" t="s">
        <v>123</v>
      </c>
      <c r="M91" t="s">
        <v>56</v>
      </c>
      <c r="N91" t="s">
        <v>84</v>
      </c>
      <c r="O91">
        <v>2020</v>
      </c>
    </row>
    <row r="92" spans="1:15" x14ac:dyDescent="0.25">
      <c r="A92" t="s">
        <v>15</v>
      </c>
      <c r="B92" t="s">
        <v>348</v>
      </c>
      <c r="C92" t="s">
        <v>345</v>
      </c>
      <c r="D92" t="s">
        <v>18</v>
      </c>
      <c r="E92" t="s">
        <v>257</v>
      </c>
      <c r="F92" t="s">
        <v>335</v>
      </c>
      <c r="G92" t="s">
        <v>336</v>
      </c>
      <c r="H92" t="s">
        <v>346</v>
      </c>
      <c r="I92" t="s">
        <v>347</v>
      </c>
      <c r="J92" t="s">
        <v>241</v>
      </c>
      <c r="K92" t="s">
        <v>242</v>
      </c>
      <c r="L92" t="s">
        <v>127</v>
      </c>
      <c r="M92" t="s">
        <v>77</v>
      </c>
      <c r="N92" t="s">
        <v>95</v>
      </c>
      <c r="O92">
        <v>2020</v>
      </c>
    </row>
    <row r="93" spans="1:15" x14ac:dyDescent="0.25">
      <c r="A93" t="s">
        <v>15</v>
      </c>
      <c r="B93" t="s">
        <v>349</v>
      </c>
      <c r="C93" t="s">
        <v>345</v>
      </c>
      <c r="D93" t="s">
        <v>18</v>
      </c>
      <c r="E93" t="s">
        <v>257</v>
      </c>
      <c r="F93" t="s">
        <v>335</v>
      </c>
      <c r="G93" t="s">
        <v>336</v>
      </c>
      <c r="H93" t="s">
        <v>346</v>
      </c>
      <c r="I93" t="s">
        <v>347</v>
      </c>
      <c r="J93" t="s">
        <v>48</v>
      </c>
      <c r="K93" t="s">
        <v>183</v>
      </c>
      <c r="L93" t="s">
        <v>199</v>
      </c>
      <c r="M93" t="s">
        <v>94</v>
      </c>
      <c r="N93" t="s">
        <v>200</v>
      </c>
      <c r="O93">
        <v>2020</v>
      </c>
    </row>
    <row r="94" spans="1:15" x14ac:dyDescent="0.25">
      <c r="A94" t="s">
        <v>15</v>
      </c>
      <c r="B94" t="s">
        <v>350</v>
      </c>
      <c r="C94" t="s">
        <v>351</v>
      </c>
      <c r="D94" t="s">
        <v>18</v>
      </c>
      <c r="E94" t="s">
        <v>257</v>
      </c>
      <c r="F94" t="s">
        <v>335</v>
      </c>
      <c r="G94" t="s">
        <v>336</v>
      </c>
      <c r="H94" t="s">
        <v>352</v>
      </c>
      <c r="I94" t="s">
        <v>353</v>
      </c>
      <c r="J94" t="s">
        <v>48</v>
      </c>
      <c r="K94" t="s">
        <v>183</v>
      </c>
      <c r="L94" t="s">
        <v>127</v>
      </c>
      <c r="M94" t="s">
        <v>77</v>
      </c>
      <c r="N94" t="s">
        <v>159</v>
      </c>
      <c r="O94">
        <v>2020</v>
      </c>
    </row>
    <row r="95" spans="1:15" x14ac:dyDescent="0.25">
      <c r="A95" t="s">
        <v>15</v>
      </c>
      <c r="B95" t="s">
        <v>354</v>
      </c>
      <c r="C95" t="s">
        <v>351</v>
      </c>
      <c r="D95" t="s">
        <v>18</v>
      </c>
      <c r="E95" t="s">
        <v>257</v>
      </c>
      <c r="F95" t="s">
        <v>335</v>
      </c>
      <c r="G95" t="s">
        <v>336</v>
      </c>
      <c r="H95" t="s">
        <v>352</v>
      </c>
      <c r="I95" t="s">
        <v>353</v>
      </c>
      <c r="J95" t="s">
        <v>355</v>
      </c>
      <c r="K95" t="s">
        <v>188</v>
      </c>
      <c r="L95" t="s">
        <v>199</v>
      </c>
      <c r="M95" t="s">
        <v>88</v>
      </c>
      <c r="N95" t="s">
        <v>275</v>
      </c>
      <c r="O95">
        <v>2020</v>
      </c>
    </row>
    <row r="96" spans="1:15" x14ac:dyDescent="0.25">
      <c r="A96" t="s">
        <v>15</v>
      </c>
      <c r="B96" t="s">
        <v>356</v>
      </c>
      <c r="C96" t="s">
        <v>351</v>
      </c>
      <c r="D96" t="s">
        <v>18</v>
      </c>
      <c r="E96" t="s">
        <v>257</v>
      </c>
      <c r="F96" t="s">
        <v>335</v>
      </c>
      <c r="G96" t="s">
        <v>336</v>
      </c>
      <c r="H96" t="s">
        <v>352</v>
      </c>
      <c r="I96" t="s">
        <v>353</v>
      </c>
      <c r="J96" t="s">
        <v>253</v>
      </c>
      <c r="K96" t="s">
        <v>357</v>
      </c>
      <c r="L96" t="s">
        <v>358</v>
      </c>
      <c r="M96" t="s">
        <v>128</v>
      </c>
      <c r="N96" t="s">
        <v>359</v>
      </c>
      <c r="O96">
        <v>2020</v>
      </c>
    </row>
    <row r="97" spans="1:15" x14ac:dyDescent="0.25">
      <c r="A97" t="s">
        <v>15</v>
      </c>
      <c r="B97" t="s">
        <v>360</v>
      </c>
      <c r="C97" t="s">
        <v>351</v>
      </c>
      <c r="D97" t="s">
        <v>18</v>
      </c>
      <c r="E97" t="s">
        <v>257</v>
      </c>
      <c r="F97" t="s">
        <v>335</v>
      </c>
      <c r="G97" t="s">
        <v>336</v>
      </c>
      <c r="H97" t="s">
        <v>352</v>
      </c>
      <c r="I97" t="s">
        <v>353</v>
      </c>
      <c r="J97" t="s">
        <v>361</v>
      </c>
      <c r="K97" t="s">
        <v>362</v>
      </c>
      <c r="L97" t="s">
        <v>363</v>
      </c>
      <c r="M97" t="s">
        <v>364</v>
      </c>
      <c r="N97" t="s">
        <v>365</v>
      </c>
      <c r="O97">
        <v>2020</v>
      </c>
    </row>
    <row r="98" spans="1:15" x14ac:dyDescent="0.25">
      <c r="A98" t="s">
        <v>15</v>
      </c>
      <c r="B98" t="s">
        <v>366</v>
      </c>
      <c r="C98" t="s">
        <v>351</v>
      </c>
      <c r="D98" t="s">
        <v>18</v>
      </c>
      <c r="E98" t="s">
        <v>257</v>
      </c>
      <c r="F98" t="s">
        <v>335</v>
      </c>
      <c r="G98" t="s">
        <v>336</v>
      </c>
      <c r="H98" t="s">
        <v>352</v>
      </c>
      <c r="I98" t="s">
        <v>353</v>
      </c>
      <c r="J98" t="s">
        <v>367</v>
      </c>
      <c r="K98" t="s">
        <v>368</v>
      </c>
      <c r="L98" t="s">
        <v>369</v>
      </c>
      <c r="M98" t="s">
        <v>370</v>
      </c>
      <c r="N98" t="s">
        <v>371</v>
      </c>
      <c r="O98">
        <v>2020</v>
      </c>
    </row>
    <row r="99" spans="1:15" x14ac:dyDescent="0.25">
      <c r="A99" t="s">
        <v>1923</v>
      </c>
      <c r="B99" t="s">
        <v>1924</v>
      </c>
      <c r="C99" t="s">
        <v>1925</v>
      </c>
      <c r="D99" t="s">
        <v>162</v>
      </c>
      <c r="E99" t="s">
        <v>307</v>
      </c>
      <c r="F99" t="s">
        <v>1926</v>
      </c>
      <c r="G99" t="s">
        <v>1927</v>
      </c>
      <c r="H99" t="s">
        <v>1928</v>
      </c>
      <c r="I99" t="s">
        <v>1929</v>
      </c>
      <c r="J99" t="s">
        <v>325</v>
      </c>
      <c r="K99" t="s">
        <v>776</v>
      </c>
      <c r="L99" t="s">
        <v>1639</v>
      </c>
      <c r="M99" t="s">
        <v>327</v>
      </c>
      <c r="N99" t="s">
        <v>978</v>
      </c>
      <c r="O99">
        <v>2019</v>
      </c>
    </row>
    <row r="100" spans="1:15" x14ac:dyDescent="0.25">
      <c r="A100" t="s">
        <v>1923</v>
      </c>
      <c r="B100" t="s">
        <v>1930</v>
      </c>
      <c r="C100" t="s">
        <v>425</v>
      </c>
      <c r="D100" t="s">
        <v>162</v>
      </c>
      <c r="E100" t="s">
        <v>307</v>
      </c>
      <c r="F100" t="s">
        <v>1926</v>
      </c>
      <c r="G100" t="s">
        <v>1927</v>
      </c>
      <c r="H100" t="s">
        <v>1931</v>
      </c>
      <c r="I100" t="s">
        <v>593</v>
      </c>
      <c r="J100" t="s">
        <v>297</v>
      </c>
      <c r="K100" t="s">
        <v>716</v>
      </c>
      <c r="L100" t="s">
        <v>299</v>
      </c>
      <c r="M100" t="s">
        <v>1641</v>
      </c>
      <c r="N100" t="s">
        <v>332</v>
      </c>
      <c r="O100">
        <v>2019</v>
      </c>
    </row>
    <row r="101" spans="1:15" x14ac:dyDescent="0.25">
      <c r="A101" t="s">
        <v>1923</v>
      </c>
      <c r="B101" t="s">
        <v>1932</v>
      </c>
      <c r="C101" t="s">
        <v>846</v>
      </c>
      <c r="D101" t="s">
        <v>18</v>
      </c>
      <c r="E101" t="s">
        <v>307</v>
      </c>
      <c r="F101" t="s">
        <v>1926</v>
      </c>
      <c r="G101" t="s">
        <v>834</v>
      </c>
      <c r="H101" t="s">
        <v>1933</v>
      </c>
      <c r="I101" t="s">
        <v>629</v>
      </c>
      <c r="J101" t="s">
        <v>745</v>
      </c>
      <c r="K101" t="s">
        <v>577</v>
      </c>
      <c r="L101" t="s">
        <v>1562</v>
      </c>
      <c r="M101" t="s">
        <v>27</v>
      </c>
      <c r="N101" t="s">
        <v>40</v>
      </c>
      <c r="O101">
        <v>2019</v>
      </c>
    </row>
    <row r="102" spans="1:15" x14ac:dyDescent="0.25">
      <c r="A102" t="s">
        <v>1923</v>
      </c>
      <c r="B102" t="s">
        <v>1934</v>
      </c>
      <c r="C102" t="s">
        <v>1017</v>
      </c>
      <c r="D102" t="s">
        <v>18</v>
      </c>
      <c r="E102" t="s">
        <v>307</v>
      </c>
      <c r="F102" t="s">
        <v>1926</v>
      </c>
      <c r="G102" t="s">
        <v>834</v>
      </c>
      <c r="H102" t="s">
        <v>1931</v>
      </c>
      <c r="I102" t="s">
        <v>572</v>
      </c>
      <c r="J102" t="s">
        <v>796</v>
      </c>
      <c r="K102" t="s">
        <v>135</v>
      </c>
      <c r="L102" t="s">
        <v>142</v>
      </c>
      <c r="M102" t="s">
        <v>39</v>
      </c>
      <c r="N102" t="s">
        <v>57</v>
      </c>
      <c r="O102">
        <v>2019</v>
      </c>
    </row>
    <row r="103" spans="1:15" x14ac:dyDescent="0.25">
      <c r="A103" t="s">
        <v>1923</v>
      </c>
      <c r="B103" t="s">
        <v>1935</v>
      </c>
      <c r="C103" t="s">
        <v>632</v>
      </c>
      <c r="D103" t="s">
        <v>18</v>
      </c>
      <c r="E103" t="s">
        <v>307</v>
      </c>
      <c r="F103" t="s">
        <v>1926</v>
      </c>
      <c r="G103" t="s">
        <v>1936</v>
      </c>
      <c r="H103" t="s">
        <v>1937</v>
      </c>
      <c r="I103" t="s">
        <v>237</v>
      </c>
      <c r="J103" t="s">
        <v>303</v>
      </c>
      <c r="K103" t="s">
        <v>1102</v>
      </c>
      <c r="L103" t="s">
        <v>717</v>
      </c>
      <c r="M103" t="s">
        <v>481</v>
      </c>
      <c r="N103" t="s">
        <v>467</v>
      </c>
      <c r="O103">
        <v>2020</v>
      </c>
    </row>
    <row r="104" spans="1:15" x14ac:dyDescent="0.25">
      <c r="A104" t="s">
        <v>1923</v>
      </c>
      <c r="B104" t="s">
        <v>1938</v>
      </c>
      <c r="C104" t="s">
        <v>394</v>
      </c>
      <c r="D104" t="s">
        <v>18</v>
      </c>
      <c r="E104" t="s">
        <v>307</v>
      </c>
      <c r="F104" t="s">
        <v>1926</v>
      </c>
      <c r="G104" t="s">
        <v>821</v>
      </c>
      <c r="H104" t="s">
        <v>1939</v>
      </c>
      <c r="I104" t="s">
        <v>1940</v>
      </c>
      <c r="J104" t="s">
        <v>836</v>
      </c>
      <c r="K104" t="s">
        <v>862</v>
      </c>
      <c r="L104" t="s">
        <v>330</v>
      </c>
      <c r="M104" t="s">
        <v>331</v>
      </c>
      <c r="N104" t="s">
        <v>667</v>
      </c>
      <c r="O104">
        <v>2020</v>
      </c>
    </row>
    <row r="105" spans="1:15" x14ac:dyDescent="0.25">
      <c r="A105" t="s">
        <v>1923</v>
      </c>
      <c r="B105" t="s">
        <v>1941</v>
      </c>
      <c r="C105" t="s">
        <v>1942</v>
      </c>
      <c r="D105" t="s">
        <v>68</v>
      </c>
      <c r="E105" t="s">
        <v>307</v>
      </c>
      <c r="F105" t="s">
        <v>1926</v>
      </c>
      <c r="G105" t="s">
        <v>821</v>
      </c>
      <c r="H105" t="s">
        <v>1943</v>
      </c>
      <c r="I105" t="s">
        <v>593</v>
      </c>
      <c r="J105" t="s">
        <v>796</v>
      </c>
      <c r="K105" t="s">
        <v>665</v>
      </c>
      <c r="L105" t="s">
        <v>1064</v>
      </c>
      <c r="M105" t="s">
        <v>167</v>
      </c>
      <c r="N105" t="s">
        <v>28</v>
      </c>
      <c r="O105">
        <v>2020</v>
      </c>
    </row>
    <row r="106" spans="1:15" x14ac:dyDescent="0.25">
      <c r="A106" t="s">
        <v>1923</v>
      </c>
      <c r="B106" t="s">
        <v>1944</v>
      </c>
      <c r="C106" t="s">
        <v>774</v>
      </c>
      <c r="D106" t="s">
        <v>18</v>
      </c>
      <c r="E106" t="s">
        <v>307</v>
      </c>
      <c r="F106" t="s">
        <v>1926</v>
      </c>
      <c r="G106" t="s">
        <v>821</v>
      </c>
      <c r="H106" t="s">
        <v>1945</v>
      </c>
      <c r="I106" t="s">
        <v>1946</v>
      </c>
      <c r="J106" t="s">
        <v>836</v>
      </c>
      <c r="K106" t="s">
        <v>800</v>
      </c>
      <c r="L106" t="s">
        <v>883</v>
      </c>
      <c r="M106" t="s">
        <v>472</v>
      </c>
      <c r="N106" t="s">
        <v>332</v>
      </c>
      <c r="O106">
        <v>2021</v>
      </c>
    </row>
    <row r="107" spans="1:15" x14ac:dyDescent="0.25">
      <c r="A107" t="s">
        <v>1923</v>
      </c>
      <c r="B107" t="s">
        <v>1947</v>
      </c>
      <c r="C107" t="s">
        <v>1202</v>
      </c>
      <c r="D107" t="s">
        <v>68</v>
      </c>
      <c r="E107" t="s">
        <v>307</v>
      </c>
      <c r="F107" t="s">
        <v>580</v>
      </c>
      <c r="G107" t="s">
        <v>1948</v>
      </c>
      <c r="H107" t="s">
        <v>1949</v>
      </c>
      <c r="I107" t="s">
        <v>463</v>
      </c>
      <c r="J107" t="s">
        <v>227</v>
      </c>
      <c r="K107" t="s">
        <v>577</v>
      </c>
      <c r="L107" t="s">
        <v>108</v>
      </c>
      <c r="M107" t="s">
        <v>167</v>
      </c>
      <c r="N107" t="s">
        <v>34</v>
      </c>
      <c r="O107">
        <v>2021</v>
      </c>
    </row>
    <row r="108" spans="1:15" x14ac:dyDescent="0.25">
      <c r="A108" t="s">
        <v>1923</v>
      </c>
      <c r="B108" t="s">
        <v>1950</v>
      </c>
      <c r="C108" t="s">
        <v>851</v>
      </c>
      <c r="D108" t="s">
        <v>375</v>
      </c>
      <c r="E108" t="s">
        <v>1951</v>
      </c>
      <c r="F108" t="s">
        <v>580</v>
      </c>
      <c r="G108" t="s">
        <v>1948</v>
      </c>
      <c r="H108" t="s">
        <v>1952</v>
      </c>
      <c r="I108" t="s">
        <v>1953</v>
      </c>
      <c r="J108" t="s">
        <v>765</v>
      </c>
      <c r="K108" t="s">
        <v>25</v>
      </c>
      <c r="L108" t="s">
        <v>148</v>
      </c>
      <c r="M108" t="s">
        <v>39</v>
      </c>
      <c r="N108" t="s">
        <v>66</v>
      </c>
      <c r="O108">
        <v>2021</v>
      </c>
    </row>
    <row r="109" spans="1:15" x14ac:dyDescent="0.25">
      <c r="A109" t="s">
        <v>1923</v>
      </c>
      <c r="B109" t="s">
        <v>1954</v>
      </c>
      <c r="C109" t="s">
        <v>606</v>
      </c>
      <c r="D109" t="s">
        <v>18</v>
      </c>
      <c r="E109" t="s">
        <v>307</v>
      </c>
      <c r="F109" t="s">
        <v>1926</v>
      </c>
      <c r="G109" t="s">
        <v>1948</v>
      </c>
      <c r="H109" t="s">
        <v>1955</v>
      </c>
      <c r="I109" t="s">
        <v>23</v>
      </c>
      <c r="J109" t="s">
        <v>1141</v>
      </c>
      <c r="K109" t="s">
        <v>1115</v>
      </c>
      <c r="L109" t="s">
        <v>711</v>
      </c>
      <c r="M109" t="s">
        <v>472</v>
      </c>
      <c r="N109" t="s">
        <v>667</v>
      </c>
      <c r="O109">
        <v>2022</v>
      </c>
    </row>
    <row r="110" spans="1:15" x14ac:dyDescent="0.25">
      <c r="A110" t="s">
        <v>1923</v>
      </c>
      <c r="B110" t="s">
        <v>1956</v>
      </c>
      <c r="C110" t="s">
        <v>1793</v>
      </c>
      <c r="D110" t="s">
        <v>68</v>
      </c>
      <c r="E110" t="s">
        <v>1957</v>
      </c>
      <c r="F110" t="s">
        <v>580</v>
      </c>
      <c r="G110" t="s">
        <v>1958</v>
      </c>
      <c r="H110" t="s">
        <v>1959</v>
      </c>
      <c r="I110" t="s">
        <v>572</v>
      </c>
      <c r="J110" t="s">
        <v>231</v>
      </c>
      <c r="K110" t="s">
        <v>574</v>
      </c>
      <c r="L110" t="s">
        <v>46</v>
      </c>
      <c r="M110" t="s">
        <v>300</v>
      </c>
      <c r="N110" t="s">
        <v>839</v>
      </c>
      <c r="O110">
        <v>2022</v>
      </c>
    </row>
    <row r="111" spans="1:15" x14ac:dyDescent="0.25">
      <c r="A111" t="s">
        <v>1923</v>
      </c>
      <c r="B111" t="s">
        <v>1960</v>
      </c>
      <c r="C111" t="s">
        <v>1961</v>
      </c>
      <c r="D111" t="s">
        <v>375</v>
      </c>
      <c r="E111" t="s">
        <v>1957</v>
      </c>
      <c r="F111" t="s">
        <v>580</v>
      </c>
      <c r="G111" t="s">
        <v>1958</v>
      </c>
      <c r="H111" t="s">
        <v>1219</v>
      </c>
      <c r="I111" t="s">
        <v>44</v>
      </c>
      <c r="J111" t="s">
        <v>874</v>
      </c>
      <c r="K111" t="s">
        <v>37</v>
      </c>
      <c r="L111" t="s">
        <v>123</v>
      </c>
      <c r="M111" t="s">
        <v>39</v>
      </c>
      <c r="N111" t="s">
        <v>57</v>
      </c>
      <c r="O111">
        <v>2022</v>
      </c>
    </row>
    <row r="112" spans="1:15" x14ac:dyDescent="0.25">
      <c r="A112" t="s">
        <v>1923</v>
      </c>
      <c r="B112" t="s">
        <v>1962</v>
      </c>
      <c r="C112" t="s">
        <v>1017</v>
      </c>
      <c r="D112" t="s">
        <v>68</v>
      </c>
      <c r="E112" t="s">
        <v>1957</v>
      </c>
      <c r="F112" t="s">
        <v>907</v>
      </c>
      <c r="G112" t="s">
        <v>1958</v>
      </c>
      <c r="H112" t="s">
        <v>1963</v>
      </c>
      <c r="I112" t="s">
        <v>23</v>
      </c>
      <c r="J112" t="s">
        <v>796</v>
      </c>
      <c r="K112" t="s">
        <v>716</v>
      </c>
      <c r="L112" t="s">
        <v>1064</v>
      </c>
      <c r="M112" t="s">
        <v>331</v>
      </c>
      <c r="N112" t="s">
        <v>705</v>
      </c>
      <c r="O112">
        <v>2023</v>
      </c>
    </row>
    <row r="113" spans="1:15" x14ac:dyDescent="0.25">
      <c r="A113" t="s">
        <v>1923</v>
      </c>
      <c r="B113" t="s">
        <v>1964</v>
      </c>
      <c r="C113" t="s">
        <v>445</v>
      </c>
      <c r="D113" t="s">
        <v>68</v>
      </c>
      <c r="E113" t="s">
        <v>1965</v>
      </c>
      <c r="F113" t="s">
        <v>580</v>
      </c>
      <c r="G113" t="s">
        <v>1966</v>
      </c>
      <c r="H113" t="s">
        <v>1967</v>
      </c>
      <c r="I113" t="s">
        <v>1940</v>
      </c>
      <c r="J113" t="s">
        <v>233</v>
      </c>
      <c r="K113" t="s">
        <v>135</v>
      </c>
      <c r="L113" t="s">
        <v>340</v>
      </c>
      <c r="M113" t="s">
        <v>167</v>
      </c>
      <c r="N113" t="s">
        <v>28</v>
      </c>
      <c r="O113">
        <v>2023</v>
      </c>
    </row>
    <row r="114" spans="1:15" x14ac:dyDescent="0.25">
      <c r="A114" t="s">
        <v>1923</v>
      </c>
      <c r="B114" t="s">
        <v>1968</v>
      </c>
      <c r="C114" t="s">
        <v>1969</v>
      </c>
      <c r="D114" t="s">
        <v>375</v>
      </c>
      <c r="E114" t="s">
        <v>1965</v>
      </c>
      <c r="F114" t="s">
        <v>580</v>
      </c>
      <c r="G114" t="s">
        <v>1966</v>
      </c>
      <c r="H114" t="s">
        <v>1828</v>
      </c>
      <c r="I114" t="s">
        <v>44</v>
      </c>
      <c r="J114" t="s">
        <v>45</v>
      </c>
      <c r="K114" t="s">
        <v>65</v>
      </c>
      <c r="L114" t="s">
        <v>154</v>
      </c>
      <c r="M114" t="s">
        <v>56</v>
      </c>
      <c r="N114" t="s">
        <v>89</v>
      </c>
      <c r="O114">
        <v>2023</v>
      </c>
    </row>
    <row r="115" spans="1:15" x14ac:dyDescent="0.25">
      <c r="A115" t="s">
        <v>1923</v>
      </c>
      <c r="B115" t="s">
        <v>1970</v>
      </c>
      <c r="C115" t="s">
        <v>224</v>
      </c>
      <c r="D115" t="s">
        <v>68</v>
      </c>
      <c r="E115" t="s">
        <v>1965</v>
      </c>
      <c r="F115" t="s">
        <v>907</v>
      </c>
      <c r="G115" t="s">
        <v>1966</v>
      </c>
      <c r="H115" t="s">
        <v>1963</v>
      </c>
      <c r="I115" t="s">
        <v>23</v>
      </c>
      <c r="J115" t="s">
        <v>288</v>
      </c>
      <c r="K115" t="s">
        <v>665</v>
      </c>
      <c r="L115" t="s">
        <v>740</v>
      </c>
      <c r="M115" t="s">
        <v>666</v>
      </c>
      <c r="N115" t="s">
        <v>839</v>
      </c>
      <c r="O115">
        <v>2024</v>
      </c>
    </row>
    <row r="116" spans="1:15" x14ac:dyDescent="0.25">
      <c r="A116" t="s">
        <v>1923</v>
      </c>
      <c r="B116" t="s">
        <v>1971</v>
      </c>
      <c r="C116" t="s">
        <v>421</v>
      </c>
      <c r="D116" t="s">
        <v>68</v>
      </c>
      <c r="E116" t="s">
        <v>1957</v>
      </c>
      <c r="F116" t="s">
        <v>580</v>
      </c>
      <c r="G116" t="s">
        <v>1972</v>
      </c>
      <c r="H116" t="s">
        <v>1222</v>
      </c>
      <c r="I116" t="s">
        <v>572</v>
      </c>
      <c r="J116" t="s">
        <v>343</v>
      </c>
      <c r="K116" t="s">
        <v>101</v>
      </c>
      <c r="L116" t="s">
        <v>418</v>
      </c>
      <c r="M116" t="s">
        <v>27</v>
      </c>
      <c r="N116" t="s">
        <v>40</v>
      </c>
      <c r="O116">
        <v>2024</v>
      </c>
    </row>
    <row r="117" spans="1:15" x14ac:dyDescent="0.25">
      <c r="A117" t="s">
        <v>1923</v>
      </c>
      <c r="B117" t="s">
        <v>1973</v>
      </c>
      <c r="C117" t="s">
        <v>1974</v>
      </c>
      <c r="D117" t="s">
        <v>375</v>
      </c>
      <c r="E117" t="s">
        <v>1957</v>
      </c>
      <c r="F117" t="s">
        <v>580</v>
      </c>
      <c r="G117" t="s">
        <v>1972</v>
      </c>
      <c r="H117" t="s">
        <v>1828</v>
      </c>
      <c r="I117" t="s">
        <v>44</v>
      </c>
      <c r="J117" t="s">
        <v>48</v>
      </c>
      <c r="K117" t="s">
        <v>83</v>
      </c>
      <c r="L117" t="s">
        <v>195</v>
      </c>
      <c r="M117" t="s">
        <v>77</v>
      </c>
      <c r="N117" t="s">
        <v>95</v>
      </c>
      <c r="O117">
        <v>2024</v>
      </c>
    </row>
    <row r="118" spans="1:15" x14ac:dyDescent="0.25">
      <c r="A118" t="s">
        <v>1923</v>
      </c>
      <c r="B118" t="s">
        <v>1975</v>
      </c>
      <c r="C118" t="s">
        <v>1976</v>
      </c>
      <c r="D118" t="s">
        <v>759</v>
      </c>
      <c r="E118" t="s">
        <v>1957</v>
      </c>
      <c r="F118" t="s">
        <v>580</v>
      </c>
      <c r="G118" t="s">
        <v>1972</v>
      </c>
      <c r="H118" t="s">
        <v>1977</v>
      </c>
      <c r="I118" t="s">
        <v>379</v>
      </c>
      <c r="J118" t="s">
        <v>762</v>
      </c>
      <c r="K118" t="s">
        <v>895</v>
      </c>
      <c r="L118" t="s">
        <v>358</v>
      </c>
      <c r="M118" t="s">
        <v>94</v>
      </c>
      <c r="N118" t="s">
        <v>254</v>
      </c>
      <c r="O118">
        <v>2024</v>
      </c>
    </row>
    <row r="119" spans="1:15" x14ac:dyDescent="0.25">
      <c r="A119" t="s">
        <v>1923</v>
      </c>
      <c r="B119" t="s">
        <v>1978</v>
      </c>
      <c r="C119" t="s">
        <v>1979</v>
      </c>
      <c r="D119" t="s">
        <v>759</v>
      </c>
      <c r="E119" t="s">
        <v>1957</v>
      </c>
      <c r="F119" t="s">
        <v>580</v>
      </c>
      <c r="G119" t="s">
        <v>1972</v>
      </c>
      <c r="H119" t="s">
        <v>1354</v>
      </c>
      <c r="I119" t="s">
        <v>433</v>
      </c>
      <c r="J119" t="s">
        <v>367</v>
      </c>
      <c r="K119" t="s">
        <v>1980</v>
      </c>
      <c r="L119" t="s">
        <v>1806</v>
      </c>
      <c r="M119" t="s">
        <v>370</v>
      </c>
      <c r="N119" t="s">
        <v>437</v>
      </c>
      <c r="O119">
        <v>2024</v>
      </c>
    </row>
    <row r="120" spans="1:15" x14ac:dyDescent="0.25">
      <c r="A120" t="s">
        <v>2134</v>
      </c>
      <c r="B120" t="s">
        <v>2135</v>
      </c>
      <c r="C120" t="s">
        <v>612</v>
      </c>
      <c r="D120" t="s">
        <v>162</v>
      </c>
      <c r="E120" t="s">
        <v>307</v>
      </c>
      <c r="F120" t="s">
        <v>20</v>
      </c>
      <c r="G120" t="s">
        <v>2136</v>
      </c>
      <c r="H120" t="s">
        <v>2137</v>
      </c>
      <c r="I120" t="s">
        <v>248</v>
      </c>
      <c r="J120" t="s">
        <v>787</v>
      </c>
      <c r="K120" t="s">
        <v>540</v>
      </c>
      <c r="L120" t="s">
        <v>501</v>
      </c>
      <c r="M120" t="s">
        <v>932</v>
      </c>
      <c r="N120" t="s">
        <v>596</v>
      </c>
      <c r="O120">
        <v>2020</v>
      </c>
    </row>
    <row r="121" spans="1:15" x14ac:dyDescent="0.25">
      <c r="A121" t="s">
        <v>2134</v>
      </c>
      <c r="B121" t="s">
        <v>2138</v>
      </c>
      <c r="C121" t="s">
        <v>789</v>
      </c>
      <c r="D121" t="s">
        <v>68</v>
      </c>
      <c r="E121" t="s">
        <v>461</v>
      </c>
      <c r="F121" t="s">
        <v>1756</v>
      </c>
      <c r="G121" t="s">
        <v>2139</v>
      </c>
      <c r="H121" t="s">
        <v>1259</v>
      </c>
      <c r="I121" t="s">
        <v>1006</v>
      </c>
      <c r="J121" t="s">
        <v>1088</v>
      </c>
      <c r="K121" t="s">
        <v>917</v>
      </c>
      <c r="L121" t="s">
        <v>717</v>
      </c>
      <c r="M121" t="s">
        <v>472</v>
      </c>
      <c r="N121" t="s">
        <v>978</v>
      </c>
      <c r="O121">
        <v>2020</v>
      </c>
    </row>
    <row r="122" spans="1:15" x14ac:dyDescent="0.25">
      <c r="A122" t="s">
        <v>2134</v>
      </c>
      <c r="B122" t="s">
        <v>2140</v>
      </c>
      <c r="C122" t="s">
        <v>496</v>
      </c>
      <c r="D122" t="s">
        <v>68</v>
      </c>
      <c r="E122" t="s">
        <v>461</v>
      </c>
      <c r="F122" t="s">
        <v>580</v>
      </c>
      <c r="G122" t="s">
        <v>2141</v>
      </c>
      <c r="H122" t="s">
        <v>1259</v>
      </c>
      <c r="I122" t="s">
        <v>1772</v>
      </c>
      <c r="J122" t="s">
        <v>865</v>
      </c>
      <c r="K122" t="s">
        <v>776</v>
      </c>
      <c r="L122" t="s">
        <v>883</v>
      </c>
      <c r="M122" t="s">
        <v>300</v>
      </c>
      <c r="N122" t="s">
        <v>705</v>
      </c>
      <c r="O122">
        <v>2020</v>
      </c>
    </row>
    <row r="123" spans="1:15" x14ac:dyDescent="0.25">
      <c r="A123" t="s">
        <v>2134</v>
      </c>
      <c r="B123" t="s">
        <v>2142</v>
      </c>
      <c r="C123" t="s">
        <v>559</v>
      </c>
      <c r="D123" t="s">
        <v>375</v>
      </c>
      <c r="E123" t="s">
        <v>461</v>
      </c>
      <c r="F123" t="s">
        <v>580</v>
      </c>
      <c r="G123" t="s">
        <v>2141</v>
      </c>
      <c r="H123" t="s">
        <v>1259</v>
      </c>
      <c r="I123" t="s">
        <v>1772</v>
      </c>
      <c r="J123" t="s">
        <v>836</v>
      </c>
      <c r="K123" t="s">
        <v>797</v>
      </c>
      <c r="L123" t="s">
        <v>886</v>
      </c>
      <c r="M123" t="s">
        <v>167</v>
      </c>
      <c r="N123" t="s">
        <v>168</v>
      </c>
      <c r="O123">
        <v>2020</v>
      </c>
    </row>
    <row r="124" spans="1:15" x14ac:dyDescent="0.25">
      <c r="A124" t="s">
        <v>2134</v>
      </c>
      <c r="B124" t="s">
        <v>2143</v>
      </c>
      <c r="C124" t="s">
        <v>496</v>
      </c>
      <c r="D124" t="s">
        <v>18</v>
      </c>
      <c r="E124" t="s">
        <v>585</v>
      </c>
      <c r="F124" t="s">
        <v>907</v>
      </c>
      <c r="G124" t="s">
        <v>2144</v>
      </c>
      <c r="H124" t="s">
        <v>1259</v>
      </c>
      <c r="I124" t="s">
        <v>248</v>
      </c>
      <c r="J124" t="s">
        <v>827</v>
      </c>
      <c r="K124" t="s">
        <v>479</v>
      </c>
      <c r="L124" t="s">
        <v>312</v>
      </c>
      <c r="M124" t="s">
        <v>481</v>
      </c>
      <c r="N124" t="s">
        <v>482</v>
      </c>
      <c r="O124">
        <v>2020</v>
      </c>
    </row>
    <row r="125" spans="1:15" x14ac:dyDescent="0.25">
      <c r="A125" t="s">
        <v>2134</v>
      </c>
      <c r="B125" t="s">
        <v>2145</v>
      </c>
      <c r="C125" t="s">
        <v>42</v>
      </c>
      <c r="D125" t="s">
        <v>18</v>
      </c>
      <c r="E125" t="s">
        <v>585</v>
      </c>
      <c r="F125" t="s">
        <v>1756</v>
      </c>
      <c r="G125" t="s">
        <v>2144</v>
      </c>
      <c r="H125" t="s">
        <v>110</v>
      </c>
      <c r="I125" t="s">
        <v>2146</v>
      </c>
      <c r="J125" t="s">
        <v>1870</v>
      </c>
      <c r="K125" t="s">
        <v>489</v>
      </c>
      <c r="L125" t="s">
        <v>522</v>
      </c>
      <c r="M125" t="s">
        <v>1009</v>
      </c>
      <c r="N125" t="s">
        <v>2147</v>
      </c>
      <c r="O125">
        <v>2020</v>
      </c>
    </row>
    <row r="126" spans="1:15" x14ac:dyDescent="0.25">
      <c r="A126" t="s">
        <v>2134</v>
      </c>
      <c r="B126" t="s">
        <v>2148</v>
      </c>
      <c r="C126" t="s">
        <v>2149</v>
      </c>
      <c r="D126" t="s">
        <v>68</v>
      </c>
      <c r="E126" t="s">
        <v>307</v>
      </c>
      <c r="F126" t="s">
        <v>20</v>
      </c>
      <c r="G126" t="s">
        <v>2150</v>
      </c>
      <c r="H126" t="s">
        <v>1219</v>
      </c>
      <c r="I126" t="s">
        <v>2151</v>
      </c>
      <c r="J126" t="s">
        <v>818</v>
      </c>
      <c r="K126" t="s">
        <v>1046</v>
      </c>
      <c r="L126" t="s">
        <v>471</v>
      </c>
      <c r="M126" t="s">
        <v>2059</v>
      </c>
      <c r="N126" t="s">
        <v>467</v>
      </c>
      <c r="O126">
        <v>2020</v>
      </c>
    </row>
    <row r="127" spans="1:15" x14ac:dyDescent="0.25">
      <c r="A127" t="s">
        <v>2134</v>
      </c>
      <c r="B127" t="s">
        <v>2152</v>
      </c>
      <c r="C127" t="s">
        <v>1969</v>
      </c>
      <c r="D127" t="s">
        <v>18</v>
      </c>
      <c r="E127" t="s">
        <v>585</v>
      </c>
      <c r="F127" t="s">
        <v>907</v>
      </c>
      <c r="G127" t="s">
        <v>2150</v>
      </c>
      <c r="H127" t="s">
        <v>110</v>
      </c>
      <c r="I127" t="s">
        <v>2153</v>
      </c>
      <c r="J127" t="s">
        <v>310</v>
      </c>
      <c r="K127" t="s">
        <v>505</v>
      </c>
      <c r="L127" t="s">
        <v>312</v>
      </c>
      <c r="M127" t="s">
        <v>481</v>
      </c>
      <c r="N127" t="s">
        <v>2154</v>
      </c>
      <c r="O127">
        <v>2020</v>
      </c>
    </row>
    <row r="128" spans="1:15" x14ac:dyDescent="0.25">
      <c r="A128" t="s">
        <v>2134</v>
      </c>
      <c r="B128" t="s">
        <v>2155</v>
      </c>
      <c r="C128" t="s">
        <v>1969</v>
      </c>
      <c r="D128" t="s">
        <v>68</v>
      </c>
      <c r="E128" t="s">
        <v>461</v>
      </c>
      <c r="F128" t="s">
        <v>1756</v>
      </c>
      <c r="G128" t="s">
        <v>2141</v>
      </c>
      <c r="H128" t="s">
        <v>43</v>
      </c>
      <c r="I128" t="s">
        <v>1772</v>
      </c>
      <c r="J128" t="s">
        <v>1088</v>
      </c>
      <c r="K128" t="s">
        <v>917</v>
      </c>
      <c r="L128" t="s">
        <v>326</v>
      </c>
      <c r="M128" t="s">
        <v>666</v>
      </c>
      <c r="N128" t="s">
        <v>667</v>
      </c>
      <c r="O128">
        <v>2020</v>
      </c>
    </row>
    <row r="129" spans="1:15" x14ac:dyDescent="0.25">
      <c r="A129" t="s">
        <v>2134</v>
      </c>
      <c r="B129" t="s">
        <v>2156</v>
      </c>
      <c r="C129" t="s">
        <v>59</v>
      </c>
      <c r="D129" t="s">
        <v>162</v>
      </c>
      <c r="E129" t="s">
        <v>307</v>
      </c>
      <c r="F129" t="s">
        <v>20</v>
      </c>
      <c r="G129" t="s">
        <v>2157</v>
      </c>
      <c r="H129" t="s">
        <v>1219</v>
      </c>
      <c r="I129" t="s">
        <v>858</v>
      </c>
      <c r="J129" t="s">
        <v>931</v>
      </c>
      <c r="K129" t="s">
        <v>958</v>
      </c>
      <c r="L129" t="s">
        <v>501</v>
      </c>
      <c r="M129" t="s">
        <v>683</v>
      </c>
      <c r="N129" t="s">
        <v>1621</v>
      </c>
      <c r="O129">
        <v>2020</v>
      </c>
    </row>
    <row r="130" spans="1:15" x14ac:dyDescent="0.25">
      <c r="A130" t="s">
        <v>2134</v>
      </c>
      <c r="B130" t="s">
        <v>2158</v>
      </c>
      <c r="C130" t="s">
        <v>213</v>
      </c>
      <c r="D130" t="s">
        <v>68</v>
      </c>
      <c r="E130" t="s">
        <v>585</v>
      </c>
      <c r="F130" t="s">
        <v>580</v>
      </c>
      <c r="G130" t="s">
        <v>2159</v>
      </c>
      <c r="H130" t="s">
        <v>1259</v>
      </c>
      <c r="I130" t="s">
        <v>750</v>
      </c>
      <c r="J130" t="s">
        <v>303</v>
      </c>
      <c r="K130" t="s">
        <v>862</v>
      </c>
      <c r="L130" t="s">
        <v>883</v>
      </c>
      <c r="M130" t="s">
        <v>300</v>
      </c>
      <c r="N130" t="s">
        <v>705</v>
      </c>
      <c r="O130">
        <v>2021</v>
      </c>
    </row>
    <row r="131" spans="1:15" x14ac:dyDescent="0.25">
      <c r="A131" t="s">
        <v>2134</v>
      </c>
      <c r="B131" t="s">
        <v>2160</v>
      </c>
      <c r="C131" t="s">
        <v>612</v>
      </c>
      <c r="D131" t="s">
        <v>68</v>
      </c>
      <c r="E131" t="s">
        <v>461</v>
      </c>
      <c r="F131" t="s">
        <v>753</v>
      </c>
      <c r="G131" t="s">
        <v>2075</v>
      </c>
      <c r="H131" t="s">
        <v>110</v>
      </c>
      <c r="I131" t="s">
        <v>1772</v>
      </c>
      <c r="J131" t="s">
        <v>303</v>
      </c>
      <c r="K131" t="s">
        <v>862</v>
      </c>
      <c r="L131" t="s">
        <v>318</v>
      </c>
      <c r="M131" t="s">
        <v>666</v>
      </c>
      <c r="N131" t="s">
        <v>2161</v>
      </c>
      <c r="O131">
        <v>2021</v>
      </c>
    </row>
    <row r="132" spans="1:15" x14ac:dyDescent="0.25">
      <c r="A132" t="s">
        <v>2134</v>
      </c>
      <c r="B132" t="s">
        <v>2162</v>
      </c>
      <c r="C132" t="s">
        <v>445</v>
      </c>
      <c r="D132" t="s">
        <v>68</v>
      </c>
      <c r="E132" t="s">
        <v>461</v>
      </c>
      <c r="F132" t="s">
        <v>753</v>
      </c>
      <c r="G132" t="s">
        <v>2075</v>
      </c>
      <c r="H132" t="s">
        <v>1259</v>
      </c>
      <c r="I132" t="s">
        <v>750</v>
      </c>
      <c r="J132" t="s">
        <v>836</v>
      </c>
      <c r="K132" t="s">
        <v>716</v>
      </c>
      <c r="L132" t="s">
        <v>304</v>
      </c>
      <c r="M132" t="s">
        <v>712</v>
      </c>
      <c r="N132" t="s">
        <v>229</v>
      </c>
      <c r="O132">
        <v>2021</v>
      </c>
    </row>
    <row r="133" spans="1:15" x14ac:dyDescent="0.25">
      <c r="A133" t="s">
        <v>2134</v>
      </c>
      <c r="B133" t="s">
        <v>2163</v>
      </c>
      <c r="C133" t="s">
        <v>590</v>
      </c>
      <c r="D133" t="s">
        <v>68</v>
      </c>
      <c r="E133" t="s">
        <v>585</v>
      </c>
      <c r="F133" t="s">
        <v>753</v>
      </c>
      <c r="G133" t="s">
        <v>812</v>
      </c>
      <c r="H133" t="s">
        <v>1259</v>
      </c>
      <c r="I133" t="s">
        <v>807</v>
      </c>
      <c r="J133" t="s">
        <v>1088</v>
      </c>
      <c r="K133" t="s">
        <v>917</v>
      </c>
      <c r="L133" t="s">
        <v>544</v>
      </c>
      <c r="M133" t="s">
        <v>472</v>
      </c>
      <c r="N133" t="s">
        <v>583</v>
      </c>
      <c r="O133">
        <v>2021</v>
      </c>
    </row>
    <row r="134" spans="1:15" x14ac:dyDescent="0.25">
      <c r="A134" t="s">
        <v>2134</v>
      </c>
      <c r="B134" t="s">
        <v>2164</v>
      </c>
      <c r="C134" t="s">
        <v>559</v>
      </c>
      <c r="D134" t="s">
        <v>18</v>
      </c>
      <c r="E134" t="s">
        <v>585</v>
      </c>
      <c r="F134" t="s">
        <v>907</v>
      </c>
      <c r="G134" t="s">
        <v>812</v>
      </c>
      <c r="H134" t="s">
        <v>110</v>
      </c>
      <c r="I134" t="s">
        <v>858</v>
      </c>
      <c r="J134" t="s">
        <v>818</v>
      </c>
      <c r="K134" t="s">
        <v>1046</v>
      </c>
      <c r="L134" t="s">
        <v>312</v>
      </c>
      <c r="M134" t="s">
        <v>2059</v>
      </c>
      <c r="N134" t="s">
        <v>467</v>
      </c>
      <c r="O134">
        <v>2021</v>
      </c>
    </row>
    <row r="135" spans="1:15" x14ac:dyDescent="0.25">
      <c r="A135" t="s">
        <v>2134</v>
      </c>
      <c r="B135" t="s">
        <v>2165</v>
      </c>
      <c r="C135" t="s">
        <v>748</v>
      </c>
      <c r="D135" t="s">
        <v>18</v>
      </c>
      <c r="E135" t="s">
        <v>585</v>
      </c>
      <c r="F135" t="s">
        <v>907</v>
      </c>
      <c r="G135" t="s">
        <v>1049</v>
      </c>
      <c r="H135" t="s">
        <v>1259</v>
      </c>
      <c r="I135" t="s">
        <v>389</v>
      </c>
      <c r="J135" t="s">
        <v>827</v>
      </c>
      <c r="K135" t="s">
        <v>479</v>
      </c>
      <c r="L135" t="s">
        <v>480</v>
      </c>
      <c r="M135" t="s">
        <v>491</v>
      </c>
      <c r="N135" t="s">
        <v>314</v>
      </c>
      <c r="O135">
        <v>2021</v>
      </c>
    </row>
    <row r="136" spans="1:15" x14ac:dyDescent="0.25">
      <c r="A136" t="s">
        <v>2134</v>
      </c>
      <c r="B136" t="s">
        <v>2166</v>
      </c>
      <c r="C136" t="s">
        <v>748</v>
      </c>
      <c r="D136" t="s">
        <v>68</v>
      </c>
      <c r="E136" t="s">
        <v>585</v>
      </c>
      <c r="F136" t="s">
        <v>907</v>
      </c>
      <c r="G136" t="s">
        <v>2167</v>
      </c>
      <c r="H136" t="s">
        <v>1707</v>
      </c>
      <c r="I136" t="s">
        <v>1006</v>
      </c>
      <c r="J136" t="s">
        <v>310</v>
      </c>
      <c r="K136" t="s">
        <v>489</v>
      </c>
      <c r="L136" t="s">
        <v>522</v>
      </c>
      <c r="M136" t="s">
        <v>1009</v>
      </c>
      <c r="N136" t="s">
        <v>2147</v>
      </c>
      <c r="O136">
        <v>2021</v>
      </c>
    </row>
    <row r="137" spans="1:15" x14ac:dyDescent="0.25">
      <c r="A137" t="s">
        <v>2134</v>
      </c>
      <c r="B137" t="s">
        <v>2168</v>
      </c>
      <c r="C137" t="s">
        <v>590</v>
      </c>
      <c r="D137" t="s">
        <v>18</v>
      </c>
      <c r="E137" t="s">
        <v>307</v>
      </c>
      <c r="F137" t="s">
        <v>475</v>
      </c>
      <c r="G137" t="s">
        <v>2093</v>
      </c>
      <c r="H137" t="s">
        <v>1219</v>
      </c>
      <c r="I137" t="s">
        <v>248</v>
      </c>
      <c r="J137" t="s">
        <v>931</v>
      </c>
      <c r="K137" t="s">
        <v>510</v>
      </c>
      <c r="L137" t="s">
        <v>501</v>
      </c>
      <c r="M137" t="s">
        <v>932</v>
      </c>
      <c r="N137" t="s">
        <v>596</v>
      </c>
      <c r="O137">
        <v>2021</v>
      </c>
    </row>
    <row r="138" spans="1:15" x14ac:dyDescent="0.25">
      <c r="A138" t="s">
        <v>2134</v>
      </c>
      <c r="B138" t="s">
        <v>2169</v>
      </c>
      <c r="C138" t="s">
        <v>518</v>
      </c>
      <c r="D138" t="s">
        <v>68</v>
      </c>
      <c r="E138" t="s">
        <v>475</v>
      </c>
      <c r="F138" t="s">
        <v>580</v>
      </c>
      <c r="G138" t="s">
        <v>2170</v>
      </c>
      <c r="H138" t="s">
        <v>1222</v>
      </c>
      <c r="I138" t="s">
        <v>2171</v>
      </c>
      <c r="J138" t="s">
        <v>227</v>
      </c>
      <c r="K138" t="s">
        <v>574</v>
      </c>
      <c r="L138" t="s">
        <v>1064</v>
      </c>
      <c r="M138" t="s">
        <v>39</v>
      </c>
      <c r="N138" t="s">
        <v>173</v>
      </c>
      <c r="O138">
        <v>2021</v>
      </c>
    </row>
    <row r="139" spans="1:15" x14ac:dyDescent="0.25">
      <c r="A139" t="s">
        <v>2134</v>
      </c>
      <c r="B139" t="s">
        <v>2172</v>
      </c>
      <c r="C139" t="s">
        <v>1969</v>
      </c>
      <c r="D139" t="s">
        <v>68</v>
      </c>
      <c r="E139" t="s">
        <v>475</v>
      </c>
      <c r="F139" t="s">
        <v>580</v>
      </c>
      <c r="G139" t="s">
        <v>2173</v>
      </c>
      <c r="H139" t="s">
        <v>1222</v>
      </c>
      <c r="I139" t="s">
        <v>2171</v>
      </c>
      <c r="J139" t="s">
        <v>343</v>
      </c>
      <c r="K139" t="s">
        <v>101</v>
      </c>
      <c r="L139" t="s">
        <v>142</v>
      </c>
      <c r="M139" t="s">
        <v>77</v>
      </c>
      <c r="N139" t="s">
        <v>89</v>
      </c>
      <c r="O139">
        <v>2021</v>
      </c>
    </row>
    <row r="140" spans="1:15" x14ac:dyDescent="0.25">
      <c r="A140" t="s">
        <v>2134</v>
      </c>
      <c r="B140" t="s">
        <v>2174</v>
      </c>
      <c r="C140" t="s">
        <v>2175</v>
      </c>
      <c r="D140" t="s">
        <v>375</v>
      </c>
      <c r="E140" t="s">
        <v>475</v>
      </c>
      <c r="F140" t="s">
        <v>580</v>
      </c>
      <c r="G140" t="s">
        <v>2173</v>
      </c>
      <c r="H140" t="s">
        <v>1222</v>
      </c>
      <c r="I140" t="s">
        <v>2171</v>
      </c>
      <c r="J140" t="s">
        <v>238</v>
      </c>
      <c r="K140" t="s">
        <v>31</v>
      </c>
      <c r="L140" t="s">
        <v>38</v>
      </c>
      <c r="M140" t="s">
        <v>94</v>
      </c>
      <c r="N140" t="s">
        <v>200</v>
      </c>
      <c r="O140">
        <v>2021</v>
      </c>
    </row>
    <row r="141" spans="1:15" x14ac:dyDescent="0.25">
      <c r="A141" t="s">
        <v>2134</v>
      </c>
      <c r="B141" t="s">
        <v>2176</v>
      </c>
      <c r="C141" t="s">
        <v>748</v>
      </c>
      <c r="D141" t="s">
        <v>68</v>
      </c>
      <c r="E141" t="s">
        <v>461</v>
      </c>
      <c r="F141" t="s">
        <v>753</v>
      </c>
      <c r="G141" t="s">
        <v>2075</v>
      </c>
      <c r="H141" t="s">
        <v>1804</v>
      </c>
      <c r="I141" t="s">
        <v>858</v>
      </c>
      <c r="J141" t="s">
        <v>861</v>
      </c>
      <c r="K141" t="s">
        <v>810</v>
      </c>
      <c r="L141" t="s">
        <v>318</v>
      </c>
      <c r="M141" t="s">
        <v>666</v>
      </c>
      <c r="N141" t="s">
        <v>2161</v>
      </c>
      <c r="O141">
        <v>2021</v>
      </c>
    </row>
    <row r="142" spans="1:15" x14ac:dyDescent="0.25">
      <c r="A142" t="s">
        <v>2134</v>
      </c>
      <c r="B142" t="s">
        <v>2177</v>
      </c>
      <c r="C142" t="s">
        <v>559</v>
      </c>
      <c r="D142" t="s">
        <v>68</v>
      </c>
      <c r="E142" t="s">
        <v>580</v>
      </c>
      <c r="F142" t="s">
        <v>753</v>
      </c>
      <c r="G142" t="s">
        <v>2178</v>
      </c>
      <c r="H142" t="s">
        <v>1804</v>
      </c>
      <c r="I142" t="s">
        <v>807</v>
      </c>
      <c r="J142" t="s">
        <v>1499</v>
      </c>
      <c r="K142" t="s">
        <v>665</v>
      </c>
      <c r="L142" t="s">
        <v>304</v>
      </c>
      <c r="M142" t="s">
        <v>712</v>
      </c>
      <c r="N142" t="s">
        <v>168</v>
      </c>
      <c r="O142">
        <v>2021</v>
      </c>
    </row>
    <row r="143" spans="1:15" x14ac:dyDescent="0.25">
      <c r="A143" t="s">
        <v>2134</v>
      </c>
      <c r="B143" t="s">
        <v>2179</v>
      </c>
      <c r="C143" t="s">
        <v>590</v>
      </c>
      <c r="D143" t="s">
        <v>68</v>
      </c>
      <c r="E143" t="s">
        <v>585</v>
      </c>
      <c r="F143" t="s">
        <v>907</v>
      </c>
      <c r="G143" t="s">
        <v>812</v>
      </c>
      <c r="H143" t="s">
        <v>110</v>
      </c>
      <c r="I143" t="s">
        <v>858</v>
      </c>
      <c r="J143" t="s">
        <v>1088</v>
      </c>
      <c r="K143" t="s">
        <v>917</v>
      </c>
      <c r="L143" t="s">
        <v>544</v>
      </c>
      <c r="M143" t="s">
        <v>472</v>
      </c>
      <c r="N143" t="s">
        <v>583</v>
      </c>
      <c r="O143">
        <v>2021</v>
      </c>
    </row>
    <row r="144" spans="1:15" x14ac:dyDescent="0.25">
      <c r="A144" t="s">
        <v>2134</v>
      </c>
      <c r="B144" t="s">
        <v>2180</v>
      </c>
      <c r="C144" t="s">
        <v>213</v>
      </c>
      <c r="D144" t="s">
        <v>18</v>
      </c>
      <c r="E144" t="s">
        <v>585</v>
      </c>
      <c r="F144" t="s">
        <v>20</v>
      </c>
      <c r="G144" t="s">
        <v>1059</v>
      </c>
      <c r="H144" t="s">
        <v>1804</v>
      </c>
      <c r="I144" t="s">
        <v>2153</v>
      </c>
      <c r="J144" t="s">
        <v>325</v>
      </c>
      <c r="K144" t="s">
        <v>465</v>
      </c>
      <c r="L144" t="s">
        <v>522</v>
      </c>
      <c r="M144" t="s">
        <v>2059</v>
      </c>
      <c r="N144" t="s">
        <v>482</v>
      </c>
      <c r="O144">
        <v>2021</v>
      </c>
    </row>
    <row r="145" spans="1:15" x14ac:dyDescent="0.25">
      <c r="A145" t="s">
        <v>2134</v>
      </c>
      <c r="B145" t="s">
        <v>2181</v>
      </c>
      <c r="C145" t="s">
        <v>612</v>
      </c>
      <c r="D145" t="s">
        <v>18</v>
      </c>
      <c r="E145" t="s">
        <v>585</v>
      </c>
      <c r="F145" t="s">
        <v>20</v>
      </c>
      <c r="G145" t="s">
        <v>1277</v>
      </c>
      <c r="H145" t="s">
        <v>1259</v>
      </c>
      <c r="I145" t="s">
        <v>44</v>
      </c>
      <c r="J145" t="s">
        <v>827</v>
      </c>
      <c r="K145" t="s">
        <v>479</v>
      </c>
      <c r="L145" t="s">
        <v>480</v>
      </c>
      <c r="M145" t="s">
        <v>491</v>
      </c>
      <c r="N145" t="s">
        <v>503</v>
      </c>
      <c r="O145">
        <v>2021</v>
      </c>
    </row>
    <row r="146" spans="1:15" x14ac:dyDescent="0.25">
      <c r="A146" t="s">
        <v>2134</v>
      </c>
      <c r="B146" t="s">
        <v>2182</v>
      </c>
      <c r="C146" t="s">
        <v>218</v>
      </c>
      <c r="D146" t="s">
        <v>68</v>
      </c>
      <c r="E146" t="s">
        <v>307</v>
      </c>
      <c r="F146" t="s">
        <v>907</v>
      </c>
      <c r="G146" t="s">
        <v>812</v>
      </c>
      <c r="H146" t="s">
        <v>1219</v>
      </c>
      <c r="I146" t="s">
        <v>2151</v>
      </c>
      <c r="J146" t="s">
        <v>303</v>
      </c>
      <c r="K146" t="s">
        <v>1587</v>
      </c>
      <c r="L146" t="s">
        <v>544</v>
      </c>
      <c r="M146" t="s">
        <v>331</v>
      </c>
      <c r="N146" t="s">
        <v>718</v>
      </c>
      <c r="O146">
        <v>2021</v>
      </c>
    </row>
    <row r="147" spans="1:15" x14ac:dyDescent="0.25">
      <c r="A147" t="s">
        <v>2134</v>
      </c>
      <c r="B147" t="s">
        <v>2183</v>
      </c>
      <c r="C147" t="s">
        <v>496</v>
      </c>
      <c r="D147" t="s">
        <v>18</v>
      </c>
      <c r="E147" t="s">
        <v>508</v>
      </c>
      <c r="F147" t="s">
        <v>475</v>
      </c>
      <c r="G147" t="s">
        <v>2184</v>
      </c>
      <c r="H147" t="s">
        <v>1219</v>
      </c>
      <c r="I147" t="s">
        <v>791</v>
      </c>
      <c r="J147" t="s">
        <v>792</v>
      </c>
      <c r="K147" t="s">
        <v>537</v>
      </c>
      <c r="L147" t="s">
        <v>511</v>
      </c>
      <c r="M147" t="s">
        <v>603</v>
      </c>
      <c r="N147" t="s">
        <v>604</v>
      </c>
      <c r="O147">
        <v>2022</v>
      </c>
    </row>
    <row r="148" spans="1:15" x14ac:dyDescent="0.25">
      <c r="A148" t="s">
        <v>2134</v>
      </c>
      <c r="B148" t="s">
        <v>2185</v>
      </c>
      <c r="C148" t="s">
        <v>549</v>
      </c>
      <c r="D148" t="s">
        <v>18</v>
      </c>
      <c r="E148" t="s">
        <v>508</v>
      </c>
      <c r="F148" t="s">
        <v>475</v>
      </c>
      <c r="G148" t="s">
        <v>1049</v>
      </c>
      <c r="H148" t="s">
        <v>1219</v>
      </c>
      <c r="I148" t="s">
        <v>744</v>
      </c>
      <c r="J148" t="s">
        <v>787</v>
      </c>
      <c r="K148" t="s">
        <v>689</v>
      </c>
      <c r="L148" t="s">
        <v>501</v>
      </c>
      <c r="M148" t="s">
        <v>683</v>
      </c>
      <c r="N148" t="s">
        <v>596</v>
      </c>
      <c r="O148">
        <v>2022</v>
      </c>
    </row>
    <row r="149" spans="1:15" x14ac:dyDescent="0.25">
      <c r="A149" t="s">
        <v>2134</v>
      </c>
      <c r="B149" t="s">
        <v>2186</v>
      </c>
      <c r="C149" t="s">
        <v>474</v>
      </c>
      <c r="D149" t="s">
        <v>68</v>
      </c>
      <c r="E149" t="s">
        <v>19</v>
      </c>
      <c r="F149" t="s">
        <v>580</v>
      </c>
      <c r="G149" t="s">
        <v>2187</v>
      </c>
      <c r="H149" t="s">
        <v>1804</v>
      </c>
      <c r="I149" t="s">
        <v>2153</v>
      </c>
      <c r="J149" t="s">
        <v>233</v>
      </c>
      <c r="K149" t="s">
        <v>2188</v>
      </c>
      <c r="L149" t="s">
        <v>768</v>
      </c>
      <c r="M149" t="s">
        <v>39</v>
      </c>
      <c r="N149" t="s">
        <v>173</v>
      </c>
      <c r="O149">
        <v>2022</v>
      </c>
    </row>
    <row r="150" spans="1:15" x14ac:dyDescent="0.25">
      <c r="A150" t="s">
        <v>2134</v>
      </c>
      <c r="B150" t="s">
        <v>2189</v>
      </c>
      <c r="C150" t="s">
        <v>877</v>
      </c>
      <c r="D150" t="s">
        <v>68</v>
      </c>
      <c r="E150" t="s">
        <v>19</v>
      </c>
      <c r="F150" t="s">
        <v>580</v>
      </c>
      <c r="G150" t="s">
        <v>2187</v>
      </c>
      <c r="H150" t="s">
        <v>1222</v>
      </c>
      <c r="I150" t="s">
        <v>2153</v>
      </c>
      <c r="J150" t="s">
        <v>1570</v>
      </c>
      <c r="K150" t="s">
        <v>31</v>
      </c>
      <c r="L150" t="s">
        <v>142</v>
      </c>
      <c r="M150" t="s">
        <v>77</v>
      </c>
      <c r="N150" t="s">
        <v>89</v>
      </c>
      <c r="O150">
        <v>2022</v>
      </c>
    </row>
    <row r="151" spans="1:15" x14ac:dyDescent="0.25">
      <c r="A151" t="s">
        <v>2134</v>
      </c>
      <c r="B151" t="s">
        <v>2190</v>
      </c>
      <c r="C151" t="s">
        <v>2191</v>
      </c>
      <c r="D151" t="s">
        <v>375</v>
      </c>
      <c r="E151" t="s">
        <v>19</v>
      </c>
      <c r="F151" t="s">
        <v>580</v>
      </c>
      <c r="G151" t="s">
        <v>2187</v>
      </c>
      <c r="H151" t="s">
        <v>1222</v>
      </c>
      <c r="I151" t="s">
        <v>2153</v>
      </c>
      <c r="J151" t="s">
        <v>45</v>
      </c>
      <c r="K151" t="s">
        <v>65</v>
      </c>
      <c r="L151" t="s">
        <v>115</v>
      </c>
      <c r="M151" t="s">
        <v>94</v>
      </c>
      <c r="N151" t="s">
        <v>200</v>
      </c>
      <c r="O151">
        <v>2022</v>
      </c>
    </row>
    <row r="152" spans="1:15" x14ac:dyDescent="0.25">
      <c r="A152" t="s">
        <v>2134</v>
      </c>
      <c r="B152" t="s">
        <v>2192</v>
      </c>
      <c r="C152" t="s">
        <v>2193</v>
      </c>
      <c r="D152" t="s">
        <v>375</v>
      </c>
      <c r="E152" t="s">
        <v>2194</v>
      </c>
      <c r="F152" t="s">
        <v>580</v>
      </c>
      <c r="G152" t="s">
        <v>2187</v>
      </c>
      <c r="H152" t="s">
        <v>1810</v>
      </c>
      <c r="I152" t="s">
        <v>324</v>
      </c>
      <c r="J152" t="s">
        <v>1765</v>
      </c>
      <c r="K152" t="s">
        <v>900</v>
      </c>
      <c r="L152" t="s">
        <v>646</v>
      </c>
      <c r="M152" t="s">
        <v>370</v>
      </c>
      <c r="N152" t="s">
        <v>2195</v>
      </c>
      <c r="O152">
        <v>2022</v>
      </c>
    </row>
    <row r="153" spans="1:15" x14ac:dyDescent="0.25">
      <c r="A153" t="s">
        <v>2134</v>
      </c>
      <c r="B153" t="s">
        <v>2196</v>
      </c>
      <c r="C153" t="s">
        <v>606</v>
      </c>
      <c r="D153" t="s">
        <v>68</v>
      </c>
      <c r="E153" t="s">
        <v>461</v>
      </c>
      <c r="F153" t="s">
        <v>2197</v>
      </c>
      <c r="G153" t="s">
        <v>2178</v>
      </c>
      <c r="H153" t="s">
        <v>1804</v>
      </c>
      <c r="I153" t="s">
        <v>858</v>
      </c>
      <c r="J153" t="s">
        <v>745</v>
      </c>
      <c r="K153" t="s">
        <v>1237</v>
      </c>
      <c r="L153" t="s">
        <v>318</v>
      </c>
      <c r="M153" t="s">
        <v>666</v>
      </c>
      <c r="N153" t="s">
        <v>301</v>
      </c>
      <c r="O153">
        <v>2022</v>
      </c>
    </row>
    <row r="154" spans="1:15" x14ac:dyDescent="0.25">
      <c r="A154" t="s">
        <v>2134</v>
      </c>
      <c r="B154" t="s">
        <v>2198</v>
      </c>
      <c r="C154" t="s">
        <v>559</v>
      </c>
      <c r="D154" t="s">
        <v>68</v>
      </c>
      <c r="E154" t="s">
        <v>580</v>
      </c>
      <c r="F154" t="s">
        <v>2197</v>
      </c>
      <c r="G154" t="s">
        <v>2199</v>
      </c>
      <c r="H154" t="s">
        <v>82</v>
      </c>
      <c r="I154" t="s">
        <v>807</v>
      </c>
      <c r="J154" t="s">
        <v>288</v>
      </c>
      <c r="K154" t="s">
        <v>577</v>
      </c>
      <c r="L154" t="s">
        <v>304</v>
      </c>
      <c r="M154" t="s">
        <v>167</v>
      </c>
      <c r="N154" t="s">
        <v>103</v>
      </c>
      <c r="O154">
        <v>2022</v>
      </c>
    </row>
    <row r="155" spans="1:15" x14ac:dyDescent="0.25">
      <c r="A155" t="s">
        <v>2134</v>
      </c>
      <c r="B155" t="s">
        <v>2200</v>
      </c>
      <c r="C155" t="s">
        <v>1564</v>
      </c>
      <c r="D155" t="s">
        <v>375</v>
      </c>
      <c r="E155" t="s">
        <v>580</v>
      </c>
      <c r="F155" t="s">
        <v>2197</v>
      </c>
      <c r="G155" t="s">
        <v>743</v>
      </c>
      <c r="H155" t="s">
        <v>82</v>
      </c>
      <c r="I155" t="s">
        <v>807</v>
      </c>
      <c r="J155" t="s">
        <v>233</v>
      </c>
      <c r="K155" t="s">
        <v>135</v>
      </c>
      <c r="L155" t="s">
        <v>711</v>
      </c>
      <c r="M155" t="s">
        <v>27</v>
      </c>
      <c r="N155" t="s">
        <v>40</v>
      </c>
      <c r="O155">
        <v>2022</v>
      </c>
    </row>
    <row r="156" spans="1:15" x14ac:dyDescent="0.25">
      <c r="A156" t="s">
        <v>2134</v>
      </c>
      <c r="B156" t="s">
        <v>2201</v>
      </c>
      <c r="C156" t="s">
        <v>131</v>
      </c>
      <c r="D156" t="s">
        <v>18</v>
      </c>
      <c r="E156" t="s">
        <v>307</v>
      </c>
      <c r="F156" t="s">
        <v>580</v>
      </c>
      <c r="G156" t="s">
        <v>1059</v>
      </c>
      <c r="H156" t="s">
        <v>1307</v>
      </c>
      <c r="I156" t="s">
        <v>858</v>
      </c>
      <c r="J156" t="s">
        <v>818</v>
      </c>
      <c r="K156" t="s">
        <v>525</v>
      </c>
      <c r="L156" t="s">
        <v>501</v>
      </c>
      <c r="M156" t="s">
        <v>491</v>
      </c>
      <c r="N156" t="s">
        <v>503</v>
      </c>
      <c r="O156">
        <v>2022</v>
      </c>
    </row>
    <row r="157" spans="1:15" x14ac:dyDescent="0.25">
      <c r="A157" t="s">
        <v>2134</v>
      </c>
      <c r="B157" t="s">
        <v>2202</v>
      </c>
      <c r="C157" t="s">
        <v>612</v>
      </c>
      <c r="D157" t="s">
        <v>18</v>
      </c>
      <c r="E157" t="s">
        <v>307</v>
      </c>
      <c r="F157" t="s">
        <v>580</v>
      </c>
      <c r="G157" t="s">
        <v>1049</v>
      </c>
      <c r="H157" t="s">
        <v>1259</v>
      </c>
      <c r="I157" t="s">
        <v>44</v>
      </c>
      <c r="J157" t="s">
        <v>310</v>
      </c>
      <c r="K157" t="s">
        <v>479</v>
      </c>
      <c r="L157" t="s">
        <v>480</v>
      </c>
      <c r="M157" t="s">
        <v>1103</v>
      </c>
      <c r="N157" t="s">
        <v>516</v>
      </c>
      <c r="O157">
        <v>2022</v>
      </c>
    </row>
    <row r="158" spans="1:15" x14ac:dyDescent="0.25">
      <c r="A158" t="s">
        <v>2134</v>
      </c>
      <c r="B158" t="s">
        <v>2203</v>
      </c>
      <c r="C158" t="s">
        <v>387</v>
      </c>
      <c r="D158" t="s">
        <v>162</v>
      </c>
      <c r="E158" t="s">
        <v>508</v>
      </c>
      <c r="F158" t="s">
        <v>475</v>
      </c>
      <c r="G158" t="s">
        <v>1741</v>
      </c>
      <c r="H158" t="s">
        <v>1415</v>
      </c>
      <c r="I158" t="s">
        <v>744</v>
      </c>
      <c r="J158" t="s">
        <v>792</v>
      </c>
      <c r="K158" t="s">
        <v>1871</v>
      </c>
      <c r="L158" t="s">
        <v>538</v>
      </c>
      <c r="M158" t="s">
        <v>988</v>
      </c>
      <c r="N158" t="s">
        <v>699</v>
      </c>
      <c r="O158">
        <v>2023</v>
      </c>
    </row>
    <row r="159" spans="1:15" x14ac:dyDescent="0.25">
      <c r="A159" t="s">
        <v>2134</v>
      </c>
      <c r="B159" t="s">
        <v>2204</v>
      </c>
      <c r="C159" t="s">
        <v>474</v>
      </c>
      <c r="D159" t="s">
        <v>18</v>
      </c>
      <c r="E159" t="s">
        <v>508</v>
      </c>
      <c r="F159" t="s">
        <v>475</v>
      </c>
      <c r="G159" t="s">
        <v>756</v>
      </c>
      <c r="H159" t="s">
        <v>1415</v>
      </c>
      <c r="I159" t="s">
        <v>744</v>
      </c>
      <c r="J159" t="s">
        <v>931</v>
      </c>
      <c r="K159" t="s">
        <v>510</v>
      </c>
      <c r="L159" t="s">
        <v>541</v>
      </c>
      <c r="M159" t="s">
        <v>512</v>
      </c>
      <c r="N159" t="s">
        <v>1020</v>
      </c>
      <c r="O159">
        <v>2023</v>
      </c>
    </row>
    <row r="160" spans="1:15" x14ac:dyDescent="0.25">
      <c r="A160" t="s">
        <v>2134</v>
      </c>
      <c r="B160" t="s">
        <v>2205</v>
      </c>
      <c r="C160" t="s">
        <v>180</v>
      </c>
      <c r="D160" t="s">
        <v>68</v>
      </c>
      <c r="E160" t="s">
        <v>19</v>
      </c>
      <c r="F160" t="s">
        <v>580</v>
      </c>
      <c r="G160" t="s">
        <v>1498</v>
      </c>
      <c r="H160" t="s">
        <v>1307</v>
      </c>
      <c r="I160" t="s">
        <v>2153</v>
      </c>
      <c r="J160" t="s">
        <v>765</v>
      </c>
      <c r="K160" t="s">
        <v>25</v>
      </c>
      <c r="L160" t="s">
        <v>740</v>
      </c>
      <c r="M160" t="s">
        <v>56</v>
      </c>
      <c r="N160" t="s">
        <v>57</v>
      </c>
      <c r="O160">
        <v>2023</v>
      </c>
    </row>
    <row r="161" spans="1:15" x14ac:dyDescent="0.25">
      <c r="A161" t="s">
        <v>2134</v>
      </c>
      <c r="B161" t="s">
        <v>2206</v>
      </c>
      <c r="C161" t="s">
        <v>2207</v>
      </c>
      <c r="D161" t="s">
        <v>375</v>
      </c>
      <c r="E161" t="s">
        <v>19</v>
      </c>
      <c r="F161" t="s">
        <v>580</v>
      </c>
      <c r="G161" t="s">
        <v>1498</v>
      </c>
      <c r="H161" t="s">
        <v>1307</v>
      </c>
      <c r="I161" t="s">
        <v>2153</v>
      </c>
      <c r="J161" t="s">
        <v>45</v>
      </c>
      <c r="K161" t="s">
        <v>65</v>
      </c>
      <c r="L161" t="s">
        <v>46</v>
      </c>
      <c r="M161" t="s">
        <v>88</v>
      </c>
      <c r="N161" t="s">
        <v>129</v>
      </c>
      <c r="O161">
        <v>2023</v>
      </c>
    </row>
    <row r="162" spans="1:15" x14ac:dyDescent="0.25">
      <c r="A162" t="s">
        <v>2134</v>
      </c>
      <c r="B162" t="s">
        <v>2208</v>
      </c>
      <c r="C162" t="s">
        <v>374</v>
      </c>
      <c r="D162" t="s">
        <v>759</v>
      </c>
      <c r="E162" t="s">
        <v>19</v>
      </c>
      <c r="F162" t="s">
        <v>580</v>
      </c>
      <c r="G162" t="s">
        <v>1498</v>
      </c>
      <c r="H162" t="s">
        <v>2209</v>
      </c>
      <c r="I162" t="s">
        <v>2153</v>
      </c>
      <c r="J162" t="s">
        <v>762</v>
      </c>
      <c r="K162" t="s">
        <v>121</v>
      </c>
      <c r="L162" t="s">
        <v>76</v>
      </c>
      <c r="M162" t="s">
        <v>128</v>
      </c>
      <c r="N162" t="s">
        <v>1125</v>
      </c>
      <c r="O162">
        <v>2023</v>
      </c>
    </row>
    <row r="163" spans="1:15" x14ac:dyDescent="0.25">
      <c r="A163" t="s">
        <v>2134</v>
      </c>
      <c r="B163" t="s">
        <v>2210</v>
      </c>
      <c r="C163" t="s">
        <v>2211</v>
      </c>
      <c r="D163" t="s">
        <v>375</v>
      </c>
      <c r="E163" t="s">
        <v>585</v>
      </c>
      <c r="F163" t="s">
        <v>580</v>
      </c>
      <c r="G163" t="s">
        <v>2212</v>
      </c>
      <c r="H163" t="s">
        <v>1219</v>
      </c>
      <c r="I163" t="s">
        <v>324</v>
      </c>
      <c r="J163" t="s">
        <v>2213</v>
      </c>
      <c r="K163" t="s">
        <v>900</v>
      </c>
      <c r="L163" t="s">
        <v>646</v>
      </c>
      <c r="M163" t="s">
        <v>1896</v>
      </c>
      <c r="N163" t="s">
        <v>1903</v>
      </c>
      <c r="O163">
        <v>2023</v>
      </c>
    </row>
    <row r="164" spans="1:15" x14ac:dyDescent="0.25">
      <c r="A164" t="s">
        <v>2134</v>
      </c>
      <c r="B164" t="s">
        <v>2214</v>
      </c>
      <c r="C164" t="s">
        <v>809</v>
      </c>
      <c r="D164" t="s">
        <v>68</v>
      </c>
      <c r="E164" t="s">
        <v>461</v>
      </c>
      <c r="F164" t="s">
        <v>2215</v>
      </c>
      <c r="G164" t="s">
        <v>1334</v>
      </c>
      <c r="H164" t="s">
        <v>1804</v>
      </c>
      <c r="I164" t="s">
        <v>858</v>
      </c>
      <c r="J164" t="s">
        <v>745</v>
      </c>
      <c r="K164" t="s">
        <v>1237</v>
      </c>
      <c r="L164" t="s">
        <v>318</v>
      </c>
      <c r="M164" t="s">
        <v>666</v>
      </c>
      <c r="N164" t="s">
        <v>301</v>
      </c>
      <c r="O164">
        <v>2022</v>
      </c>
    </row>
    <row r="165" spans="1:15" x14ac:dyDescent="0.25">
      <c r="A165" t="s">
        <v>2134</v>
      </c>
      <c r="B165" t="s">
        <v>2216</v>
      </c>
      <c r="C165" t="s">
        <v>1017</v>
      </c>
      <c r="D165" t="s">
        <v>375</v>
      </c>
      <c r="E165" t="s">
        <v>580</v>
      </c>
      <c r="F165" t="s">
        <v>2215</v>
      </c>
      <c r="G165" t="s">
        <v>2212</v>
      </c>
      <c r="H165" t="s">
        <v>1804</v>
      </c>
      <c r="I165" t="s">
        <v>807</v>
      </c>
      <c r="J165" t="s">
        <v>231</v>
      </c>
      <c r="K165" t="s">
        <v>135</v>
      </c>
      <c r="L165" t="s">
        <v>772</v>
      </c>
      <c r="M165" t="s">
        <v>27</v>
      </c>
      <c r="N165" t="s">
        <v>291</v>
      </c>
      <c r="O165">
        <v>2022</v>
      </c>
    </row>
    <row r="166" spans="1:15" x14ac:dyDescent="0.25">
      <c r="A166" t="s">
        <v>2134</v>
      </c>
      <c r="B166" t="s">
        <v>2217</v>
      </c>
      <c r="C166" t="s">
        <v>612</v>
      </c>
      <c r="D166" t="s">
        <v>68</v>
      </c>
      <c r="E166" t="s">
        <v>461</v>
      </c>
      <c r="F166" t="s">
        <v>907</v>
      </c>
      <c r="G166" t="s">
        <v>812</v>
      </c>
      <c r="H166" t="s">
        <v>1222</v>
      </c>
      <c r="I166" t="s">
        <v>858</v>
      </c>
      <c r="J166" t="s">
        <v>1070</v>
      </c>
      <c r="K166" t="s">
        <v>746</v>
      </c>
      <c r="L166" t="s">
        <v>484</v>
      </c>
      <c r="M166" t="s">
        <v>327</v>
      </c>
      <c r="N166" t="s">
        <v>978</v>
      </c>
      <c r="O166">
        <v>2022</v>
      </c>
    </row>
    <row r="167" spans="1:15" x14ac:dyDescent="0.25">
      <c r="A167" t="s">
        <v>2134</v>
      </c>
      <c r="B167" t="s">
        <v>2218</v>
      </c>
      <c r="C167" t="s">
        <v>789</v>
      </c>
      <c r="D167" t="s">
        <v>18</v>
      </c>
      <c r="E167" t="s">
        <v>307</v>
      </c>
      <c r="F167" t="s">
        <v>753</v>
      </c>
      <c r="G167" t="s">
        <v>2219</v>
      </c>
      <c r="H167" t="s">
        <v>1383</v>
      </c>
      <c r="I167" t="s">
        <v>807</v>
      </c>
      <c r="J167" t="s">
        <v>1088</v>
      </c>
      <c r="K167" t="s">
        <v>582</v>
      </c>
      <c r="L167" t="s">
        <v>490</v>
      </c>
      <c r="M167" t="s">
        <v>491</v>
      </c>
      <c r="N167" t="s">
        <v>503</v>
      </c>
      <c r="O167">
        <v>2023</v>
      </c>
    </row>
    <row r="168" spans="1:15" x14ac:dyDescent="0.25">
      <c r="A168" t="s">
        <v>2134</v>
      </c>
      <c r="B168" t="s">
        <v>2220</v>
      </c>
      <c r="C168" t="s">
        <v>748</v>
      </c>
      <c r="D168" t="s">
        <v>18</v>
      </c>
      <c r="E168" t="s">
        <v>307</v>
      </c>
      <c r="F168" t="s">
        <v>2221</v>
      </c>
      <c r="G168" t="s">
        <v>756</v>
      </c>
      <c r="H168" t="s">
        <v>82</v>
      </c>
      <c r="I168" t="s">
        <v>44</v>
      </c>
      <c r="J168" t="s">
        <v>827</v>
      </c>
      <c r="K168" t="s">
        <v>505</v>
      </c>
      <c r="L168" t="s">
        <v>515</v>
      </c>
      <c r="M168" t="s">
        <v>502</v>
      </c>
      <c r="N168" t="s">
        <v>513</v>
      </c>
      <c r="O168">
        <v>2023</v>
      </c>
    </row>
    <row r="169" spans="1:15" x14ac:dyDescent="0.25">
      <c r="A169" t="s">
        <v>2134</v>
      </c>
      <c r="B169" t="s">
        <v>2222</v>
      </c>
      <c r="C169" t="s">
        <v>590</v>
      </c>
      <c r="D169" t="s">
        <v>162</v>
      </c>
      <c r="E169" t="s">
        <v>508</v>
      </c>
      <c r="F169" t="s">
        <v>475</v>
      </c>
      <c r="G169" t="s">
        <v>2223</v>
      </c>
      <c r="H169" t="s">
        <v>1219</v>
      </c>
      <c r="I169" t="s">
        <v>791</v>
      </c>
      <c r="J169" t="s">
        <v>971</v>
      </c>
      <c r="K169" t="s">
        <v>2081</v>
      </c>
      <c r="L169" t="s">
        <v>617</v>
      </c>
      <c r="M169" t="s">
        <v>698</v>
      </c>
      <c r="N169" t="s">
        <v>942</v>
      </c>
      <c r="O169">
        <v>2023</v>
      </c>
    </row>
    <row r="170" spans="1:15" x14ac:dyDescent="0.25">
      <c r="A170" t="s">
        <v>2134</v>
      </c>
      <c r="B170" t="s">
        <v>2224</v>
      </c>
      <c r="C170" t="s">
        <v>421</v>
      </c>
      <c r="D170" t="s">
        <v>18</v>
      </c>
      <c r="E170" t="s">
        <v>508</v>
      </c>
      <c r="F170" t="s">
        <v>580</v>
      </c>
      <c r="G170" t="s">
        <v>1407</v>
      </c>
      <c r="H170" t="s">
        <v>1415</v>
      </c>
      <c r="I170" t="s">
        <v>744</v>
      </c>
      <c r="J170" t="s">
        <v>1280</v>
      </c>
      <c r="K170" t="s">
        <v>958</v>
      </c>
      <c r="L170" t="s">
        <v>511</v>
      </c>
      <c r="M170" t="s">
        <v>1283</v>
      </c>
      <c r="N170" t="s">
        <v>604</v>
      </c>
      <c r="O170">
        <v>2023</v>
      </c>
    </row>
    <row r="171" spans="1:15" x14ac:dyDescent="0.25">
      <c r="A171" t="s">
        <v>2134</v>
      </c>
      <c r="B171" t="s">
        <v>2225</v>
      </c>
      <c r="C171" t="s">
        <v>42</v>
      </c>
      <c r="D171" t="s">
        <v>68</v>
      </c>
      <c r="E171" t="s">
        <v>19</v>
      </c>
      <c r="F171" t="s">
        <v>580</v>
      </c>
      <c r="G171" t="s">
        <v>2226</v>
      </c>
      <c r="H171" t="s">
        <v>1415</v>
      </c>
      <c r="I171" t="s">
        <v>2153</v>
      </c>
      <c r="J171" t="s">
        <v>238</v>
      </c>
      <c r="K171" t="s">
        <v>37</v>
      </c>
      <c r="L171" t="s">
        <v>142</v>
      </c>
      <c r="M171" t="s">
        <v>77</v>
      </c>
      <c r="N171" t="s">
        <v>89</v>
      </c>
      <c r="O171">
        <v>2024</v>
      </c>
    </row>
    <row r="172" spans="1:15" x14ac:dyDescent="0.25">
      <c r="A172" t="s">
        <v>2134</v>
      </c>
      <c r="B172" t="s">
        <v>2227</v>
      </c>
      <c r="C172" t="s">
        <v>2207</v>
      </c>
      <c r="D172" t="s">
        <v>375</v>
      </c>
      <c r="E172" t="s">
        <v>19</v>
      </c>
      <c r="F172" t="s">
        <v>580</v>
      </c>
      <c r="G172" t="s">
        <v>2226</v>
      </c>
      <c r="H172" t="s">
        <v>1354</v>
      </c>
      <c r="I172" t="s">
        <v>2153</v>
      </c>
      <c r="J172" t="s">
        <v>249</v>
      </c>
      <c r="K172" t="s">
        <v>83</v>
      </c>
      <c r="L172" t="s">
        <v>55</v>
      </c>
      <c r="M172" t="s">
        <v>94</v>
      </c>
      <c r="N172" t="s">
        <v>901</v>
      </c>
      <c r="O172">
        <v>2024</v>
      </c>
    </row>
    <row r="173" spans="1:15" x14ac:dyDescent="0.25">
      <c r="A173" t="s">
        <v>2134</v>
      </c>
      <c r="B173" t="s">
        <v>2228</v>
      </c>
      <c r="C173" t="s">
        <v>374</v>
      </c>
      <c r="D173" t="s">
        <v>759</v>
      </c>
      <c r="E173" t="s">
        <v>19</v>
      </c>
      <c r="F173" t="s">
        <v>580</v>
      </c>
      <c r="G173" t="s">
        <v>2226</v>
      </c>
      <c r="H173" t="s">
        <v>2229</v>
      </c>
      <c r="I173" t="s">
        <v>2153</v>
      </c>
      <c r="J173" t="s">
        <v>1891</v>
      </c>
      <c r="K173" t="s">
        <v>895</v>
      </c>
      <c r="L173" t="s">
        <v>93</v>
      </c>
      <c r="M173" t="s">
        <v>641</v>
      </c>
      <c r="N173" t="s">
        <v>642</v>
      </c>
      <c r="O173">
        <v>2024</v>
      </c>
    </row>
    <row r="174" spans="1:15" x14ac:dyDescent="0.25">
      <c r="A174" t="s">
        <v>2134</v>
      </c>
      <c r="B174" t="s">
        <v>2230</v>
      </c>
      <c r="C174" t="s">
        <v>2231</v>
      </c>
      <c r="D174" t="s">
        <v>375</v>
      </c>
      <c r="E174" t="s">
        <v>585</v>
      </c>
      <c r="F174" t="s">
        <v>580</v>
      </c>
      <c r="G174" t="s">
        <v>1498</v>
      </c>
      <c r="H174" t="s">
        <v>1219</v>
      </c>
      <c r="I174" t="s">
        <v>1846</v>
      </c>
      <c r="J174" t="s">
        <v>1852</v>
      </c>
      <c r="K174" t="s">
        <v>1124</v>
      </c>
      <c r="L174" t="s">
        <v>453</v>
      </c>
      <c r="M174" t="s">
        <v>442</v>
      </c>
      <c r="N174" t="s">
        <v>437</v>
      </c>
      <c r="O174">
        <v>2024</v>
      </c>
    </row>
    <row r="175" spans="1:15" x14ac:dyDescent="0.25">
      <c r="A175" t="s">
        <v>2134</v>
      </c>
      <c r="B175" t="s">
        <v>2232</v>
      </c>
      <c r="C175" t="s">
        <v>774</v>
      </c>
      <c r="D175" t="s">
        <v>375</v>
      </c>
      <c r="E175" t="s">
        <v>580</v>
      </c>
      <c r="F175" t="s">
        <v>897</v>
      </c>
      <c r="G175" t="s">
        <v>2233</v>
      </c>
      <c r="H175" t="s">
        <v>1219</v>
      </c>
      <c r="I175" t="s">
        <v>44</v>
      </c>
      <c r="J175" t="s">
        <v>796</v>
      </c>
      <c r="K175" t="s">
        <v>704</v>
      </c>
      <c r="L175" t="s">
        <v>717</v>
      </c>
      <c r="M175" t="s">
        <v>300</v>
      </c>
      <c r="N175" t="s">
        <v>705</v>
      </c>
      <c r="O175">
        <v>2023</v>
      </c>
    </row>
    <row r="176" spans="1:15" x14ac:dyDescent="0.25">
      <c r="A176" t="s">
        <v>2134</v>
      </c>
      <c r="B176" t="s">
        <v>2234</v>
      </c>
      <c r="C176" t="s">
        <v>559</v>
      </c>
      <c r="D176" t="s">
        <v>375</v>
      </c>
      <c r="E176" t="s">
        <v>580</v>
      </c>
      <c r="F176" t="s">
        <v>897</v>
      </c>
      <c r="G176" t="s">
        <v>2212</v>
      </c>
      <c r="H176" t="s">
        <v>1219</v>
      </c>
      <c r="I176" t="s">
        <v>807</v>
      </c>
      <c r="J176" t="s">
        <v>231</v>
      </c>
      <c r="K176" t="s">
        <v>574</v>
      </c>
      <c r="L176" t="s">
        <v>883</v>
      </c>
      <c r="M176" t="s">
        <v>167</v>
      </c>
      <c r="N176" t="s">
        <v>28</v>
      </c>
      <c r="O176">
        <v>2023</v>
      </c>
    </row>
    <row r="177" spans="1:15" x14ac:dyDescent="0.25">
      <c r="A177" t="s">
        <v>2134</v>
      </c>
      <c r="B177" t="s">
        <v>2235</v>
      </c>
      <c r="C177" t="s">
        <v>612</v>
      </c>
      <c r="D177" t="s">
        <v>68</v>
      </c>
      <c r="E177" t="s">
        <v>461</v>
      </c>
      <c r="F177" t="s">
        <v>907</v>
      </c>
      <c r="G177" t="s">
        <v>812</v>
      </c>
      <c r="H177" t="s">
        <v>1222</v>
      </c>
      <c r="I177" t="s">
        <v>858</v>
      </c>
      <c r="J177" t="s">
        <v>1070</v>
      </c>
      <c r="K177" t="s">
        <v>746</v>
      </c>
      <c r="L177" t="s">
        <v>484</v>
      </c>
      <c r="M177" t="s">
        <v>327</v>
      </c>
      <c r="N177" t="s">
        <v>978</v>
      </c>
      <c r="O177">
        <v>2023</v>
      </c>
    </row>
    <row r="178" spans="1:15" x14ac:dyDescent="0.25">
      <c r="A178" t="s">
        <v>2134</v>
      </c>
      <c r="B178" t="s">
        <v>2236</v>
      </c>
      <c r="C178" t="s">
        <v>789</v>
      </c>
      <c r="D178" t="s">
        <v>18</v>
      </c>
      <c r="E178" t="s">
        <v>307</v>
      </c>
      <c r="F178" t="s">
        <v>753</v>
      </c>
      <c r="G178" t="s">
        <v>2219</v>
      </c>
      <c r="H178" t="s">
        <v>1383</v>
      </c>
      <c r="I178" t="s">
        <v>807</v>
      </c>
      <c r="J178" t="s">
        <v>1088</v>
      </c>
      <c r="K178" t="s">
        <v>582</v>
      </c>
      <c r="L178" t="s">
        <v>490</v>
      </c>
      <c r="M178" t="s">
        <v>491</v>
      </c>
      <c r="N178" t="s">
        <v>503</v>
      </c>
      <c r="O178">
        <v>2023</v>
      </c>
    </row>
    <row r="179" spans="1:15" x14ac:dyDescent="0.25">
      <c r="A179" t="s">
        <v>2134</v>
      </c>
      <c r="B179" t="s">
        <v>2237</v>
      </c>
      <c r="C179" t="s">
        <v>748</v>
      </c>
      <c r="D179" t="s">
        <v>18</v>
      </c>
      <c r="E179" t="s">
        <v>307</v>
      </c>
      <c r="F179" t="s">
        <v>2221</v>
      </c>
      <c r="G179" t="s">
        <v>756</v>
      </c>
      <c r="H179" t="s">
        <v>82</v>
      </c>
      <c r="I179" t="s">
        <v>44</v>
      </c>
      <c r="J179" t="s">
        <v>827</v>
      </c>
      <c r="K179" t="s">
        <v>505</v>
      </c>
      <c r="L179" t="s">
        <v>515</v>
      </c>
      <c r="M179" t="s">
        <v>502</v>
      </c>
      <c r="N179" t="s">
        <v>513</v>
      </c>
      <c r="O179">
        <v>2023</v>
      </c>
    </row>
    <row r="180" spans="1:15" x14ac:dyDescent="0.25">
      <c r="A180" t="s">
        <v>2134</v>
      </c>
      <c r="B180" t="s">
        <v>2238</v>
      </c>
      <c r="C180" t="s">
        <v>590</v>
      </c>
      <c r="D180" t="s">
        <v>162</v>
      </c>
      <c r="E180" t="s">
        <v>508</v>
      </c>
      <c r="F180" t="s">
        <v>475</v>
      </c>
      <c r="G180" t="s">
        <v>2223</v>
      </c>
      <c r="H180" t="s">
        <v>1219</v>
      </c>
      <c r="I180" t="s">
        <v>791</v>
      </c>
      <c r="J180" t="s">
        <v>971</v>
      </c>
      <c r="K180" t="s">
        <v>2081</v>
      </c>
      <c r="L180" t="s">
        <v>617</v>
      </c>
      <c r="M180" t="s">
        <v>698</v>
      </c>
      <c r="N180" t="s">
        <v>942</v>
      </c>
      <c r="O180">
        <v>2023</v>
      </c>
    </row>
    <row r="181" spans="1:15" x14ac:dyDescent="0.25">
      <c r="A181" t="s">
        <v>2134</v>
      </c>
      <c r="B181" t="s">
        <v>2239</v>
      </c>
      <c r="C181" t="s">
        <v>421</v>
      </c>
      <c r="D181" t="s">
        <v>18</v>
      </c>
      <c r="E181" t="s">
        <v>508</v>
      </c>
      <c r="F181" t="s">
        <v>580</v>
      </c>
      <c r="G181" t="s">
        <v>1407</v>
      </c>
      <c r="H181" t="s">
        <v>1415</v>
      </c>
      <c r="I181" t="s">
        <v>744</v>
      </c>
      <c r="J181" t="s">
        <v>1280</v>
      </c>
      <c r="K181" t="s">
        <v>958</v>
      </c>
      <c r="L181" t="s">
        <v>511</v>
      </c>
      <c r="M181" t="s">
        <v>1283</v>
      </c>
      <c r="N181" t="s">
        <v>604</v>
      </c>
      <c r="O181">
        <v>2023</v>
      </c>
    </row>
    <row r="182" spans="1:15" x14ac:dyDescent="0.25">
      <c r="A182" t="s">
        <v>2134</v>
      </c>
      <c r="B182" t="s">
        <v>2240</v>
      </c>
      <c r="C182" t="s">
        <v>42</v>
      </c>
      <c r="D182" t="s">
        <v>68</v>
      </c>
      <c r="E182" t="s">
        <v>19</v>
      </c>
      <c r="F182" t="s">
        <v>580</v>
      </c>
      <c r="G182" t="s">
        <v>2226</v>
      </c>
      <c r="H182" t="s">
        <v>1415</v>
      </c>
      <c r="I182" t="s">
        <v>2153</v>
      </c>
      <c r="J182" t="s">
        <v>238</v>
      </c>
      <c r="K182" t="s">
        <v>37</v>
      </c>
      <c r="L182" t="s">
        <v>142</v>
      </c>
      <c r="M182" t="s">
        <v>77</v>
      </c>
      <c r="N182" t="s">
        <v>89</v>
      </c>
      <c r="O182">
        <v>2024</v>
      </c>
    </row>
    <row r="183" spans="1:15" x14ac:dyDescent="0.25">
      <c r="A183" t="s">
        <v>2134</v>
      </c>
      <c r="B183" t="s">
        <v>2241</v>
      </c>
      <c r="C183" t="s">
        <v>2207</v>
      </c>
      <c r="D183" t="s">
        <v>375</v>
      </c>
      <c r="E183" t="s">
        <v>19</v>
      </c>
      <c r="F183" t="s">
        <v>580</v>
      </c>
      <c r="G183" t="s">
        <v>2226</v>
      </c>
      <c r="H183" t="s">
        <v>1354</v>
      </c>
      <c r="I183" t="s">
        <v>2153</v>
      </c>
      <c r="J183" t="s">
        <v>249</v>
      </c>
      <c r="K183" t="s">
        <v>83</v>
      </c>
      <c r="L183" t="s">
        <v>55</v>
      </c>
      <c r="M183" t="s">
        <v>94</v>
      </c>
      <c r="N183" t="s">
        <v>901</v>
      </c>
      <c r="O183">
        <v>2024</v>
      </c>
    </row>
    <row r="184" spans="1:15" x14ac:dyDescent="0.25">
      <c r="A184" t="s">
        <v>2134</v>
      </c>
      <c r="B184" t="s">
        <v>2242</v>
      </c>
      <c r="C184" t="s">
        <v>374</v>
      </c>
      <c r="D184" t="s">
        <v>759</v>
      </c>
      <c r="E184" t="s">
        <v>19</v>
      </c>
      <c r="F184" t="s">
        <v>580</v>
      </c>
      <c r="G184" t="s">
        <v>2226</v>
      </c>
      <c r="H184" t="s">
        <v>2229</v>
      </c>
      <c r="I184" t="s">
        <v>2153</v>
      </c>
      <c r="J184" t="s">
        <v>1891</v>
      </c>
      <c r="K184" t="s">
        <v>895</v>
      </c>
      <c r="L184" t="s">
        <v>93</v>
      </c>
      <c r="M184" t="s">
        <v>641</v>
      </c>
      <c r="N184" t="s">
        <v>642</v>
      </c>
      <c r="O184">
        <v>2024</v>
      </c>
    </row>
    <row r="185" spans="1:15" x14ac:dyDescent="0.25">
      <c r="A185" t="s">
        <v>2134</v>
      </c>
      <c r="B185" t="s">
        <v>2243</v>
      </c>
      <c r="C185" t="s">
        <v>2231</v>
      </c>
      <c r="D185" t="s">
        <v>375</v>
      </c>
      <c r="E185" t="s">
        <v>585</v>
      </c>
      <c r="F185" t="s">
        <v>580</v>
      </c>
      <c r="G185" t="s">
        <v>1498</v>
      </c>
      <c r="H185" t="s">
        <v>1219</v>
      </c>
      <c r="I185" t="s">
        <v>1846</v>
      </c>
      <c r="J185" t="s">
        <v>1852</v>
      </c>
      <c r="K185" t="s">
        <v>1124</v>
      </c>
      <c r="L185" t="s">
        <v>453</v>
      </c>
      <c r="M185" t="s">
        <v>442</v>
      </c>
      <c r="N185" t="s">
        <v>437</v>
      </c>
      <c r="O185">
        <v>2024</v>
      </c>
    </row>
    <row r="186" spans="1:15" x14ac:dyDescent="0.25">
      <c r="A186" t="s">
        <v>2134</v>
      </c>
      <c r="B186" t="s">
        <v>2244</v>
      </c>
      <c r="C186" t="s">
        <v>2245</v>
      </c>
      <c r="D186" t="s">
        <v>162</v>
      </c>
      <c r="E186" t="s">
        <v>686</v>
      </c>
      <c r="F186" t="s">
        <v>508</v>
      </c>
      <c r="G186" t="s">
        <v>2246</v>
      </c>
      <c r="H186" t="s">
        <v>1307</v>
      </c>
      <c r="I186" t="s">
        <v>710</v>
      </c>
      <c r="J186" t="s">
        <v>310</v>
      </c>
      <c r="K186" t="s">
        <v>529</v>
      </c>
      <c r="L186" t="s">
        <v>541</v>
      </c>
      <c r="M186" t="s">
        <v>512</v>
      </c>
      <c r="N186" t="s">
        <v>1020</v>
      </c>
      <c r="O186">
        <v>2020</v>
      </c>
    </row>
    <row r="187" spans="1:15" x14ac:dyDescent="0.25">
      <c r="A187" t="s">
        <v>2134</v>
      </c>
      <c r="B187" t="s">
        <v>2247</v>
      </c>
      <c r="C187" t="s">
        <v>2245</v>
      </c>
      <c r="D187" t="s">
        <v>256</v>
      </c>
      <c r="E187" t="s">
        <v>686</v>
      </c>
      <c r="F187" t="s">
        <v>508</v>
      </c>
      <c r="G187" t="s">
        <v>2248</v>
      </c>
      <c r="H187" t="s">
        <v>1307</v>
      </c>
      <c r="I187" t="s">
        <v>2047</v>
      </c>
      <c r="J187" t="s">
        <v>787</v>
      </c>
      <c r="K187" t="s">
        <v>510</v>
      </c>
      <c r="L187" t="s">
        <v>617</v>
      </c>
      <c r="M187" t="s">
        <v>988</v>
      </c>
      <c r="N187" t="s">
        <v>699</v>
      </c>
      <c r="O187">
        <v>2020</v>
      </c>
    </row>
    <row r="188" spans="1:15" x14ac:dyDescent="0.25">
      <c r="A188" t="s">
        <v>2134</v>
      </c>
      <c r="B188" t="s">
        <v>2249</v>
      </c>
      <c r="C188" t="s">
        <v>2245</v>
      </c>
      <c r="D188" t="s">
        <v>162</v>
      </c>
      <c r="E188" t="s">
        <v>686</v>
      </c>
      <c r="F188" t="s">
        <v>508</v>
      </c>
      <c r="G188" t="s">
        <v>1037</v>
      </c>
      <c r="H188" t="s">
        <v>1307</v>
      </c>
      <c r="I188" t="s">
        <v>710</v>
      </c>
      <c r="J188" t="s">
        <v>827</v>
      </c>
      <c r="K188" t="s">
        <v>489</v>
      </c>
      <c r="L188" t="s">
        <v>515</v>
      </c>
      <c r="M188" t="s">
        <v>683</v>
      </c>
      <c r="N188" t="s">
        <v>1621</v>
      </c>
      <c r="O188">
        <v>2021</v>
      </c>
    </row>
    <row r="189" spans="1:15" x14ac:dyDescent="0.25">
      <c r="A189" t="s">
        <v>2134</v>
      </c>
      <c r="B189" t="s">
        <v>2250</v>
      </c>
      <c r="C189" t="s">
        <v>679</v>
      </c>
      <c r="D189" t="s">
        <v>18</v>
      </c>
      <c r="E189" t="s">
        <v>307</v>
      </c>
      <c r="F189" t="s">
        <v>475</v>
      </c>
      <c r="G189" t="s">
        <v>2150</v>
      </c>
      <c r="H189" t="s">
        <v>2251</v>
      </c>
      <c r="I189" t="s">
        <v>1100</v>
      </c>
      <c r="J189" t="s">
        <v>1070</v>
      </c>
      <c r="K189" t="s">
        <v>746</v>
      </c>
      <c r="L189" t="s">
        <v>466</v>
      </c>
      <c r="M189" t="s">
        <v>327</v>
      </c>
      <c r="N189" t="s">
        <v>320</v>
      </c>
      <c r="O189">
        <v>2021</v>
      </c>
    </row>
    <row r="190" spans="1:15" x14ac:dyDescent="0.25">
      <c r="A190" t="s">
        <v>2134</v>
      </c>
      <c r="B190" t="s">
        <v>2252</v>
      </c>
      <c r="C190" t="s">
        <v>2253</v>
      </c>
      <c r="D190" t="s">
        <v>68</v>
      </c>
      <c r="E190" t="s">
        <v>307</v>
      </c>
      <c r="F190" t="s">
        <v>475</v>
      </c>
      <c r="G190" t="s">
        <v>2254</v>
      </c>
      <c r="H190" t="s">
        <v>2251</v>
      </c>
      <c r="I190" t="s">
        <v>2050</v>
      </c>
      <c r="J190" t="s">
        <v>836</v>
      </c>
      <c r="K190" t="s">
        <v>716</v>
      </c>
      <c r="L190" t="s">
        <v>1639</v>
      </c>
      <c r="M190" t="s">
        <v>331</v>
      </c>
      <c r="N190" t="s">
        <v>332</v>
      </c>
      <c r="O190">
        <v>2021</v>
      </c>
    </row>
    <row r="191" spans="1:15" x14ac:dyDescent="0.25">
      <c r="A191" t="s">
        <v>2134</v>
      </c>
      <c r="B191" t="s">
        <v>2255</v>
      </c>
      <c r="C191" t="s">
        <v>1113</v>
      </c>
      <c r="D191" t="s">
        <v>18</v>
      </c>
      <c r="E191" t="s">
        <v>508</v>
      </c>
      <c r="F191" t="s">
        <v>508</v>
      </c>
      <c r="G191" t="s">
        <v>1481</v>
      </c>
      <c r="H191" t="s">
        <v>2251</v>
      </c>
      <c r="I191" t="s">
        <v>2256</v>
      </c>
      <c r="J191" t="s">
        <v>325</v>
      </c>
      <c r="K191" t="s">
        <v>494</v>
      </c>
      <c r="L191" t="s">
        <v>490</v>
      </c>
      <c r="M191" t="s">
        <v>491</v>
      </c>
      <c r="N191" t="s">
        <v>503</v>
      </c>
      <c r="O191">
        <v>2022</v>
      </c>
    </row>
    <row r="192" spans="1:15" x14ac:dyDescent="0.25">
      <c r="A192" t="s">
        <v>2134</v>
      </c>
      <c r="B192" t="s">
        <v>2257</v>
      </c>
      <c r="C192" t="s">
        <v>2245</v>
      </c>
      <c r="D192" t="s">
        <v>162</v>
      </c>
      <c r="E192" t="s">
        <v>686</v>
      </c>
      <c r="F192" t="s">
        <v>508</v>
      </c>
      <c r="G192" t="s">
        <v>1037</v>
      </c>
      <c r="H192" t="s">
        <v>1307</v>
      </c>
      <c r="I192" t="s">
        <v>710</v>
      </c>
      <c r="J192" t="s">
        <v>994</v>
      </c>
      <c r="K192" t="s">
        <v>689</v>
      </c>
      <c r="L192" t="s">
        <v>511</v>
      </c>
      <c r="M192" t="s">
        <v>1283</v>
      </c>
      <c r="N192" t="s">
        <v>604</v>
      </c>
      <c r="O192">
        <v>2022</v>
      </c>
    </row>
    <row r="193" spans="1:15" x14ac:dyDescent="0.25">
      <c r="A193" t="s">
        <v>2134</v>
      </c>
      <c r="B193" t="s">
        <v>2258</v>
      </c>
      <c r="C193" t="s">
        <v>1985</v>
      </c>
      <c r="D193" t="s">
        <v>256</v>
      </c>
      <c r="E193" t="s">
        <v>686</v>
      </c>
      <c r="F193" t="s">
        <v>508</v>
      </c>
      <c r="G193" t="s">
        <v>2259</v>
      </c>
      <c r="H193" t="s">
        <v>1219</v>
      </c>
      <c r="I193" t="s">
        <v>2047</v>
      </c>
      <c r="J193" t="s">
        <v>931</v>
      </c>
      <c r="K193" t="s">
        <v>537</v>
      </c>
      <c r="L193" t="s">
        <v>617</v>
      </c>
      <c r="M193" t="s">
        <v>698</v>
      </c>
      <c r="N193" t="s">
        <v>942</v>
      </c>
      <c r="O193">
        <v>2022</v>
      </c>
    </row>
    <row r="194" spans="1:15" x14ac:dyDescent="0.25">
      <c r="A194" t="s">
        <v>2134</v>
      </c>
      <c r="B194" t="s">
        <v>2260</v>
      </c>
      <c r="C194" t="s">
        <v>1099</v>
      </c>
      <c r="D194" t="s">
        <v>18</v>
      </c>
      <c r="E194" t="s">
        <v>508</v>
      </c>
      <c r="F194" t="s">
        <v>475</v>
      </c>
      <c r="G194" t="s">
        <v>2087</v>
      </c>
      <c r="H194" t="s">
        <v>2251</v>
      </c>
      <c r="I194" t="s">
        <v>2050</v>
      </c>
      <c r="J194" t="s">
        <v>865</v>
      </c>
      <c r="K194" t="s">
        <v>776</v>
      </c>
      <c r="L194" t="s">
        <v>471</v>
      </c>
      <c r="M194" t="s">
        <v>472</v>
      </c>
      <c r="N194" t="s">
        <v>978</v>
      </c>
      <c r="O194">
        <v>2023</v>
      </c>
    </row>
    <row r="195" spans="1:15" x14ac:dyDescent="0.25">
      <c r="A195" t="s">
        <v>2134</v>
      </c>
      <c r="B195" t="s">
        <v>2261</v>
      </c>
      <c r="C195" t="s">
        <v>2262</v>
      </c>
      <c r="D195" t="s">
        <v>68</v>
      </c>
      <c r="E195" t="s">
        <v>307</v>
      </c>
      <c r="F195" t="s">
        <v>475</v>
      </c>
      <c r="G195" t="s">
        <v>743</v>
      </c>
      <c r="H195" t="s">
        <v>2263</v>
      </c>
      <c r="I195" t="s">
        <v>1186</v>
      </c>
      <c r="J195" t="s">
        <v>1141</v>
      </c>
      <c r="K195" t="s">
        <v>704</v>
      </c>
      <c r="L195" t="s">
        <v>1109</v>
      </c>
      <c r="M195" t="s">
        <v>712</v>
      </c>
      <c r="N195" t="s">
        <v>777</v>
      </c>
      <c r="O195">
        <v>2023</v>
      </c>
    </row>
    <row r="196" spans="1:15" x14ac:dyDescent="0.25">
      <c r="A196" t="s">
        <v>2134</v>
      </c>
      <c r="B196" t="s">
        <v>2264</v>
      </c>
      <c r="C196" t="s">
        <v>880</v>
      </c>
      <c r="D196" t="s">
        <v>68</v>
      </c>
      <c r="E196" t="s">
        <v>307</v>
      </c>
      <c r="F196" t="s">
        <v>475</v>
      </c>
      <c r="G196" t="s">
        <v>2219</v>
      </c>
      <c r="H196" t="s">
        <v>2265</v>
      </c>
      <c r="I196" t="s">
        <v>1186</v>
      </c>
      <c r="J196" t="s">
        <v>1070</v>
      </c>
      <c r="K196" t="s">
        <v>746</v>
      </c>
      <c r="L196" t="s">
        <v>312</v>
      </c>
      <c r="M196" t="s">
        <v>327</v>
      </c>
      <c r="N196" t="s">
        <v>320</v>
      </c>
      <c r="O196">
        <v>2024</v>
      </c>
    </row>
    <row r="197" spans="1:15" x14ac:dyDescent="0.25">
      <c r="A197" t="s">
        <v>2134</v>
      </c>
      <c r="B197" t="s">
        <v>2266</v>
      </c>
      <c r="C197" t="s">
        <v>1111</v>
      </c>
      <c r="D197" t="s">
        <v>375</v>
      </c>
      <c r="E197" t="s">
        <v>307</v>
      </c>
      <c r="F197" t="s">
        <v>475</v>
      </c>
      <c r="G197" t="s">
        <v>855</v>
      </c>
      <c r="H197" t="s">
        <v>2049</v>
      </c>
      <c r="I197" t="s">
        <v>2267</v>
      </c>
      <c r="J197" t="s">
        <v>836</v>
      </c>
      <c r="K197" t="s">
        <v>716</v>
      </c>
      <c r="L197" t="s">
        <v>717</v>
      </c>
      <c r="M197" t="s">
        <v>331</v>
      </c>
      <c r="N197" t="s">
        <v>332</v>
      </c>
      <c r="O197">
        <v>2024</v>
      </c>
    </row>
    <row r="198" spans="1:15" x14ac:dyDescent="0.25">
      <c r="A198" t="s">
        <v>2134</v>
      </c>
      <c r="B198" t="s">
        <v>2268</v>
      </c>
      <c r="C198" t="s">
        <v>2269</v>
      </c>
      <c r="D198" t="s">
        <v>18</v>
      </c>
      <c r="E198" t="s">
        <v>508</v>
      </c>
      <c r="F198" t="s">
        <v>307</v>
      </c>
      <c r="G198" t="s">
        <v>2270</v>
      </c>
      <c r="H198" t="s">
        <v>2251</v>
      </c>
      <c r="I198" t="s">
        <v>1519</v>
      </c>
      <c r="J198" t="s">
        <v>316</v>
      </c>
      <c r="K198" t="s">
        <v>479</v>
      </c>
      <c r="L198" t="s">
        <v>490</v>
      </c>
      <c r="M198" t="s">
        <v>491</v>
      </c>
      <c r="N198" t="s">
        <v>503</v>
      </c>
      <c r="O198">
        <v>2023</v>
      </c>
    </row>
    <row r="199" spans="1:15" x14ac:dyDescent="0.25">
      <c r="A199" t="s">
        <v>2134</v>
      </c>
      <c r="B199" t="s">
        <v>2271</v>
      </c>
      <c r="C199" t="s">
        <v>2245</v>
      </c>
      <c r="D199" t="s">
        <v>162</v>
      </c>
      <c r="E199" t="s">
        <v>686</v>
      </c>
      <c r="F199" t="s">
        <v>508</v>
      </c>
      <c r="G199" t="s">
        <v>1037</v>
      </c>
      <c r="H199" t="s">
        <v>1307</v>
      </c>
      <c r="I199" t="s">
        <v>710</v>
      </c>
      <c r="J199" t="s">
        <v>994</v>
      </c>
      <c r="K199" t="s">
        <v>689</v>
      </c>
      <c r="L199" t="s">
        <v>511</v>
      </c>
      <c r="M199" t="s">
        <v>1283</v>
      </c>
      <c r="N199" t="s">
        <v>604</v>
      </c>
      <c r="O199">
        <v>2023</v>
      </c>
    </row>
    <row r="200" spans="1:15" x14ac:dyDescent="0.25">
      <c r="A200" t="s">
        <v>2134</v>
      </c>
      <c r="B200" t="s">
        <v>2272</v>
      </c>
      <c r="C200" t="s">
        <v>2273</v>
      </c>
      <c r="D200" t="s">
        <v>375</v>
      </c>
      <c r="E200" t="s">
        <v>307</v>
      </c>
      <c r="F200" t="s">
        <v>475</v>
      </c>
      <c r="G200" t="s">
        <v>2212</v>
      </c>
      <c r="H200" t="s">
        <v>2274</v>
      </c>
      <c r="I200" t="s">
        <v>2275</v>
      </c>
      <c r="J200" t="s">
        <v>288</v>
      </c>
      <c r="K200" t="s">
        <v>574</v>
      </c>
      <c r="L200" t="s">
        <v>883</v>
      </c>
      <c r="M200" t="s">
        <v>27</v>
      </c>
      <c r="N200" t="s">
        <v>34</v>
      </c>
      <c r="O200">
        <v>2023</v>
      </c>
    </row>
    <row r="201" spans="1:15" x14ac:dyDescent="0.25">
      <c r="A201" t="s">
        <v>2134</v>
      </c>
      <c r="B201" t="s">
        <v>2276</v>
      </c>
      <c r="C201" t="s">
        <v>1918</v>
      </c>
      <c r="D201" t="s">
        <v>759</v>
      </c>
      <c r="E201" t="s">
        <v>19</v>
      </c>
      <c r="F201" t="s">
        <v>585</v>
      </c>
      <c r="G201" t="s">
        <v>1498</v>
      </c>
      <c r="H201" t="s">
        <v>2277</v>
      </c>
      <c r="I201" t="s">
        <v>1919</v>
      </c>
      <c r="J201" t="s">
        <v>233</v>
      </c>
      <c r="K201" t="s">
        <v>101</v>
      </c>
      <c r="L201" t="s">
        <v>886</v>
      </c>
      <c r="M201" t="s">
        <v>39</v>
      </c>
      <c r="N201" t="s">
        <v>173</v>
      </c>
      <c r="O201">
        <v>2024</v>
      </c>
    </row>
    <row r="202" spans="1:15" x14ac:dyDescent="0.25">
      <c r="A202" t="s">
        <v>2134</v>
      </c>
      <c r="B202" t="s">
        <v>2278</v>
      </c>
      <c r="C202" t="s">
        <v>1985</v>
      </c>
      <c r="D202" t="s">
        <v>162</v>
      </c>
      <c r="E202" t="s">
        <v>686</v>
      </c>
      <c r="F202" t="s">
        <v>508</v>
      </c>
      <c r="G202" t="s">
        <v>2259</v>
      </c>
      <c r="H202" t="s">
        <v>1219</v>
      </c>
      <c r="I202" t="s">
        <v>2047</v>
      </c>
      <c r="J202" t="s">
        <v>931</v>
      </c>
      <c r="K202" t="s">
        <v>537</v>
      </c>
      <c r="L202" t="s">
        <v>617</v>
      </c>
      <c r="M202" t="s">
        <v>698</v>
      </c>
      <c r="N202" t="s">
        <v>942</v>
      </c>
      <c r="O202">
        <v>2023</v>
      </c>
    </row>
    <row r="203" spans="1:15" x14ac:dyDescent="0.25">
      <c r="A203" t="s">
        <v>2134</v>
      </c>
      <c r="B203" t="s">
        <v>2279</v>
      </c>
      <c r="C203" t="s">
        <v>2245</v>
      </c>
      <c r="D203" t="s">
        <v>256</v>
      </c>
      <c r="E203" t="s">
        <v>686</v>
      </c>
      <c r="F203" t="s">
        <v>508</v>
      </c>
      <c r="G203" t="s">
        <v>2259</v>
      </c>
      <c r="H203" t="s">
        <v>1307</v>
      </c>
      <c r="I203" t="s">
        <v>2047</v>
      </c>
      <c r="J203" t="s">
        <v>792</v>
      </c>
      <c r="K203" t="s">
        <v>967</v>
      </c>
      <c r="L203" t="s">
        <v>730</v>
      </c>
      <c r="M203" t="s">
        <v>618</v>
      </c>
      <c r="N203" t="s">
        <v>619</v>
      </c>
      <c r="O203">
        <v>2023</v>
      </c>
    </row>
    <row r="204" spans="1:15" x14ac:dyDescent="0.25">
      <c r="A204" t="s">
        <v>2134</v>
      </c>
      <c r="B204" t="s">
        <v>2280</v>
      </c>
      <c r="C204" t="s">
        <v>2281</v>
      </c>
      <c r="D204" t="s">
        <v>68</v>
      </c>
      <c r="E204" t="s">
        <v>307</v>
      </c>
      <c r="F204" t="s">
        <v>475</v>
      </c>
      <c r="G204" t="s">
        <v>1392</v>
      </c>
      <c r="H204" t="s">
        <v>1987</v>
      </c>
      <c r="I204" t="s">
        <v>1184</v>
      </c>
      <c r="J204" t="s">
        <v>297</v>
      </c>
      <c r="K204" t="s">
        <v>917</v>
      </c>
      <c r="L204" t="s">
        <v>466</v>
      </c>
      <c r="M204" t="s">
        <v>327</v>
      </c>
      <c r="N204" t="s">
        <v>320</v>
      </c>
      <c r="O204">
        <v>2024</v>
      </c>
    </row>
    <row r="205" spans="1:15" x14ac:dyDescent="0.25">
      <c r="A205" t="s">
        <v>2134</v>
      </c>
      <c r="B205" t="s">
        <v>2282</v>
      </c>
      <c r="C205" t="s">
        <v>2262</v>
      </c>
      <c r="D205" t="s">
        <v>68</v>
      </c>
      <c r="E205" t="s">
        <v>307</v>
      </c>
      <c r="F205" t="s">
        <v>475</v>
      </c>
      <c r="G205" t="s">
        <v>743</v>
      </c>
      <c r="H205" t="s">
        <v>2263</v>
      </c>
      <c r="I205" t="s">
        <v>1186</v>
      </c>
      <c r="J205" t="s">
        <v>1141</v>
      </c>
      <c r="K205" t="s">
        <v>704</v>
      </c>
      <c r="L205" t="s">
        <v>1109</v>
      </c>
      <c r="M205" t="s">
        <v>712</v>
      </c>
      <c r="N205" t="s">
        <v>777</v>
      </c>
      <c r="O205">
        <v>2024</v>
      </c>
    </row>
    <row r="206" spans="1:15" x14ac:dyDescent="0.25">
      <c r="A206" t="s">
        <v>2134</v>
      </c>
      <c r="B206" t="s">
        <v>2283</v>
      </c>
      <c r="C206" t="s">
        <v>888</v>
      </c>
      <c r="D206" t="s">
        <v>375</v>
      </c>
      <c r="E206" t="s">
        <v>19</v>
      </c>
      <c r="F206" t="s">
        <v>585</v>
      </c>
      <c r="G206" t="s">
        <v>2226</v>
      </c>
      <c r="H206" t="s">
        <v>2277</v>
      </c>
      <c r="I206" t="s">
        <v>2284</v>
      </c>
      <c r="J206" t="s">
        <v>765</v>
      </c>
      <c r="K206" t="s">
        <v>31</v>
      </c>
      <c r="L206" t="s">
        <v>740</v>
      </c>
      <c r="M206" t="s">
        <v>56</v>
      </c>
      <c r="N206" t="s">
        <v>84</v>
      </c>
      <c r="O206">
        <v>2024</v>
      </c>
    </row>
    <row r="207" spans="1:15" x14ac:dyDescent="0.25">
      <c r="A207" t="s">
        <v>2134</v>
      </c>
      <c r="B207" t="s">
        <v>2285</v>
      </c>
      <c r="C207" t="s">
        <v>2286</v>
      </c>
      <c r="D207" t="s">
        <v>18</v>
      </c>
      <c r="E207" t="s">
        <v>508</v>
      </c>
      <c r="F207" t="s">
        <v>307</v>
      </c>
      <c r="G207" t="s">
        <v>2270</v>
      </c>
      <c r="H207" t="s">
        <v>2287</v>
      </c>
      <c r="I207" t="s">
        <v>1186</v>
      </c>
      <c r="J207" t="s">
        <v>1088</v>
      </c>
      <c r="K207" t="s">
        <v>917</v>
      </c>
      <c r="L207" t="s">
        <v>312</v>
      </c>
      <c r="M207" t="s">
        <v>327</v>
      </c>
      <c r="N207" t="s">
        <v>320</v>
      </c>
      <c r="O207">
        <v>2024</v>
      </c>
    </row>
    <row r="208" spans="1:15" x14ac:dyDescent="0.25">
      <c r="A208" t="s">
        <v>2134</v>
      </c>
      <c r="B208" t="s">
        <v>2288</v>
      </c>
      <c r="C208" t="s">
        <v>2253</v>
      </c>
      <c r="D208" t="s">
        <v>68</v>
      </c>
      <c r="E208" t="s">
        <v>307</v>
      </c>
      <c r="F208" t="s">
        <v>475</v>
      </c>
      <c r="G208" t="s">
        <v>1392</v>
      </c>
      <c r="H208" t="s">
        <v>2049</v>
      </c>
      <c r="I208" t="s">
        <v>2267</v>
      </c>
      <c r="J208" t="s">
        <v>865</v>
      </c>
      <c r="K208" t="s">
        <v>776</v>
      </c>
      <c r="L208" t="s">
        <v>717</v>
      </c>
      <c r="M208" t="s">
        <v>331</v>
      </c>
      <c r="N208" t="s">
        <v>332</v>
      </c>
      <c r="O208">
        <v>2024</v>
      </c>
    </row>
    <row r="209" spans="1:15" x14ac:dyDescent="0.25">
      <c r="A209" t="s">
        <v>2134</v>
      </c>
      <c r="B209" t="s">
        <v>2289</v>
      </c>
      <c r="C209" t="s">
        <v>2273</v>
      </c>
      <c r="D209" t="s">
        <v>375</v>
      </c>
      <c r="E209" t="s">
        <v>19</v>
      </c>
      <c r="F209" t="s">
        <v>585</v>
      </c>
      <c r="G209" t="s">
        <v>2226</v>
      </c>
      <c r="H209" t="s">
        <v>2277</v>
      </c>
      <c r="I209" t="s">
        <v>2275</v>
      </c>
      <c r="J209" t="s">
        <v>288</v>
      </c>
      <c r="K209" t="s">
        <v>574</v>
      </c>
      <c r="L209" t="s">
        <v>883</v>
      </c>
      <c r="M209" t="s">
        <v>27</v>
      </c>
      <c r="N209" t="s">
        <v>34</v>
      </c>
      <c r="O209">
        <v>2024</v>
      </c>
    </row>
    <row r="210" spans="1:15" x14ac:dyDescent="0.25">
      <c r="A210" t="s">
        <v>2134</v>
      </c>
      <c r="B210" t="s">
        <v>2290</v>
      </c>
      <c r="C210" t="s">
        <v>2262</v>
      </c>
      <c r="D210" t="s">
        <v>68</v>
      </c>
      <c r="E210" t="s">
        <v>307</v>
      </c>
      <c r="F210" t="s">
        <v>475</v>
      </c>
      <c r="G210" t="s">
        <v>743</v>
      </c>
      <c r="H210" t="s">
        <v>2263</v>
      </c>
      <c r="I210" t="s">
        <v>1186</v>
      </c>
      <c r="J210" t="s">
        <v>1141</v>
      </c>
      <c r="K210" t="s">
        <v>704</v>
      </c>
      <c r="L210" t="s">
        <v>1109</v>
      </c>
      <c r="M210" t="s">
        <v>712</v>
      </c>
      <c r="N210" t="s">
        <v>777</v>
      </c>
      <c r="O210">
        <v>2024</v>
      </c>
    </row>
    <row r="211" spans="1:15" x14ac:dyDescent="0.25">
      <c r="A211" t="s">
        <v>1746</v>
      </c>
      <c r="B211" t="s">
        <v>1747</v>
      </c>
      <c r="C211" t="s">
        <v>598</v>
      </c>
      <c r="D211" t="s">
        <v>68</v>
      </c>
      <c r="E211" t="s">
        <v>475</v>
      </c>
      <c r="F211" t="s">
        <v>580</v>
      </c>
      <c r="G211" t="s">
        <v>1748</v>
      </c>
      <c r="H211" t="s">
        <v>1749</v>
      </c>
      <c r="I211" t="s">
        <v>248</v>
      </c>
      <c r="J211" t="s">
        <v>1141</v>
      </c>
      <c r="K211" t="s">
        <v>577</v>
      </c>
      <c r="L211" t="s">
        <v>1750</v>
      </c>
      <c r="M211" t="s">
        <v>167</v>
      </c>
      <c r="N211" t="s">
        <v>168</v>
      </c>
      <c r="O211">
        <v>2021</v>
      </c>
    </row>
    <row r="212" spans="1:15" x14ac:dyDescent="0.25">
      <c r="A212" t="s">
        <v>1746</v>
      </c>
      <c r="B212" t="s">
        <v>1751</v>
      </c>
      <c r="C212" t="s">
        <v>421</v>
      </c>
      <c r="D212" t="s">
        <v>68</v>
      </c>
      <c r="E212" t="s">
        <v>475</v>
      </c>
      <c r="F212" t="s">
        <v>580</v>
      </c>
      <c r="G212" t="s">
        <v>1748</v>
      </c>
      <c r="H212" t="s">
        <v>1752</v>
      </c>
      <c r="I212" t="s">
        <v>389</v>
      </c>
      <c r="J212" t="s">
        <v>288</v>
      </c>
      <c r="K212" t="s">
        <v>25</v>
      </c>
      <c r="L212" t="s">
        <v>1753</v>
      </c>
      <c r="M212" t="s">
        <v>39</v>
      </c>
      <c r="N212" t="s">
        <v>173</v>
      </c>
      <c r="O212">
        <v>2021</v>
      </c>
    </row>
    <row r="213" spans="1:15" x14ac:dyDescent="0.25">
      <c r="A213" t="s">
        <v>1746</v>
      </c>
      <c r="B213" t="s">
        <v>1754</v>
      </c>
      <c r="C213" t="s">
        <v>496</v>
      </c>
      <c r="D213" t="s">
        <v>68</v>
      </c>
      <c r="E213" t="s">
        <v>1755</v>
      </c>
      <c r="F213" t="s">
        <v>1756</v>
      </c>
      <c r="G213" t="s">
        <v>1748</v>
      </c>
      <c r="H213" t="s">
        <v>1259</v>
      </c>
      <c r="I213" t="s">
        <v>1757</v>
      </c>
      <c r="J213" t="s">
        <v>765</v>
      </c>
      <c r="K213" t="s">
        <v>895</v>
      </c>
      <c r="L213" t="s">
        <v>1758</v>
      </c>
      <c r="M213" t="s">
        <v>94</v>
      </c>
      <c r="N213" t="s">
        <v>275</v>
      </c>
      <c r="O213">
        <v>2021</v>
      </c>
    </row>
    <row r="214" spans="1:15" x14ac:dyDescent="0.25">
      <c r="A214" t="s">
        <v>1746</v>
      </c>
      <c r="B214" t="s">
        <v>1759</v>
      </c>
      <c r="C214" t="s">
        <v>235</v>
      </c>
      <c r="D214" t="s">
        <v>68</v>
      </c>
      <c r="E214" t="s">
        <v>475</v>
      </c>
      <c r="F214" t="s">
        <v>907</v>
      </c>
      <c r="G214" t="s">
        <v>1760</v>
      </c>
      <c r="H214" t="s">
        <v>43</v>
      </c>
      <c r="I214" t="s">
        <v>248</v>
      </c>
      <c r="J214" t="s">
        <v>796</v>
      </c>
      <c r="K214" t="s">
        <v>135</v>
      </c>
      <c r="L214" t="s">
        <v>1064</v>
      </c>
      <c r="M214" t="s">
        <v>27</v>
      </c>
      <c r="N214" t="s">
        <v>34</v>
      </c>
      <c r="O214">
        <v>2021</v>
      </c>
    </row>
    <row r="215" spans="1:15" x14ac:dyDescent="0.25">
      <c r="A215" t="s">
        <v>1746</v>
      </c>
      <c r="B215" t="s">
        <v>1761</v>
      </c>
      <c r="C215" t="s">
        <v>1762</v>
      </c>
      <c r="D215" t="s">
        <v>68</v>
      </c>
      <c r="E215" t="s">
        <v>585</v>
      </c>
      <c r="F215" t="s">
        <v>580</v>
      </c>
      <c r="G215" t="s">
        <v>1763</v>
      </c>
      <c r="H215" t="s">
        <v>82</v>
      </c>
      <c r="I215" t="s">
        <v>1764</v>
      </c>
      <c r="J215" t="s">
        <v>1765</v>
      </c>
      <c r="K215" t="s">
        <v>1766</v>
      </c>
      <c r="L215" t="s">
        <v>1767</v>
      </c>
      <c r="M215" t="s">
        <v>1768</v>
      </c>
      <c r="N215" t="s">
        <v>1769</v>
      </c>
      <c r="O215">
        <v>2021</v>
      </c>
    </row>
    <row r="216" spans="1:15" x14ac:dyDescent="0.25">
      <c r="A216" t="s">
        <v>1746</v>
      </c>
      <c r="B216" t="s">
        <v>1770</v>
      </c>
      <c r="C216" t="s">
        <v>612</v>
      </c>
      <c r="D216" t="s">
        <v>68</v>
      </c>
      <c r="E216" t="s">
        <v>461</v>
      </c>
      <c r="F216" t="s">
        <v>580</v>
      </c>
      <c r="G216" t="s">
        <v>1771</v>
      </c>
      <c r="H216" t="s">
        <v>110</v>
      </c>
      <c r="I216" t="s">
        <v>1772</v>
      </c>
      <c r="J216" t="s">
        <v>303</v>
      </c>
      <c r="K216" t="s">
        <v>862</v>
      </c>
      <c r="L216" t="s">
        <v>318</v>
      </c>
      <c r="M216" t="s">
        <v>331</v>
      </c>
      <c r="N216" t="s">
        <v>718</v>
      </c>
      <c r="O216">
        <v>2021</v>
      </c>
    </row>
    <row r="217" spans="1:15" x14ac:dyDescent="0.25">
      <c r="A217" t="s">
        <v>1746</v>
      </c>
      <c r="B217" t="s">
        <v>1773</v>
      </c>
      <c r="C217" t="s">
        <v>1157</v>
      </c>
      <c r="D217" t="s">
        <v>68</v>
      </c>
      <c r="E217" t="s">
        <v>1774</v>
      </c>
      <c r="F217" t="s">
        <v>580</v>
      </c>
      <c r="G217" t="s">
        <v>1771</v>
      </c>
      <c r="H217" t="s">
        <v>1259</v>
      </c>
      <c r="I217" t="s">
        <v>750</v>
      </c>
      <c r="J217" t="s">
        <v>836</v>
      </c>
      <c r="K217" t="s">
        <v>716</v>
      </c>
      <c r="L217" t="s">
        <v>326</v>
      </c>
      <c r="M217" t="s">
        <v>300</v>
      </c>
      <c r="N217" t="s">
        <v>705</v>
      </c>
      <c r="O217">
        <v>2021</v>
      </c>
    </row>
    <row r="218" spans="1:15" x14ac:dyDescent="0.25">
      <c r="A218" t="s">
        <v>1746</v>
      </c>
      <c r="B218" t="s">
        <v>1775</v>
      </c>
      <c r="C218" t="s">
        <v>598</v>
      </c>
      <c r="D218" t="s">
        <v>68</v>
      </c>
      <c r="E218" t="s">
        <v>475</v>
      </c>
      <c r="F218" t="s">
        <v>580</v>
      </c>
      <c r="G218" t="s">
        <v>1771</v>
      </c>
      <c r="H218" t="s">
        <v>1749</v>
      </c>
      <c r="I218" t="s">
        <v>248</v>
      </c>
      <c r="J218" t="s">
        <v>745</v>
      </c>
      <c r="K218" t="s">
        <v>704</v>
      </c>
      <c r="L218" t="s">
        <v>1776</v>
      </c>
      <c r="M218" t="s">
        <v>712</v>
      </c>
      <c r="N218" t="s">
        <v>839</v>
      </c>
      <c r="O218">
        <v>2022</v>
      </c>
    </row>
    <row r="219" spans="1:15" x14ac:dyDescent="0.25">
      <c r="A219" t="s">
        <v>1746</v>
      </c>
      <c r="B219" t="s">
        <v>1777</v>
      </c>
      <c r="C219" t="s">
        <v>1778</v>
      </c>
      <c r="D219" t="s">
        <v>68</v>
      </c>
      <c r="E219" t="s">
        <v>1755</v>
      </c>
      <c r="F219" t="s">
        <v>580</v>
      </c>
      <c r="G219" t="s">
        <v>1748</v>
      </c>
      <c r="H219" t="s">
        <v>1222</v>
      </c>
      <c r="I219" t="s">
        <v>1779</v>
      </c>
      <c r="J219" t="s">
        <v>762</v>
      </c>
      <c r="K219" t="s">
        <v>1780</v>
      </c>
      <c r="L219" t="s">
        <v>1781</v>
      </c>
      <c r="M219" t="s">
        <v>1782</v>
      </c>
      <c r="N219" t="s">
        <v>1783</v>
      </c>
      <c r="O219">
        <v>2022</v>
      </c>
    </row>
    <row r="220" spans="1:15" x14ac:dyDescent="0.25">
      <c r="A220" t="s">
        <v>1746</v>
      </c>
      <c r="B220" t="s">
        <v>1784</v>
      </c>
      <c r="C220" t="s">
        <v>518</v>
      </c>
      <c r="D220" t="s">
        <v>68</v>
      </c>
      <c r="E220" t="s">
        <v>475</v>
      </c>
      <c r="F220" t="s">
        <v>580</v>
      </c>
      <c r="G220" t="s">
        <v>1785</v>
      </c>
      <c r="H220" t="s">
        <v>1786</v>
      </c>
      <c r="I220" t="s">
        <v>44</v>
      </c>
      <c r="J220" t="s">
        <v>231</v>
      </c>
      <c r="K220" t="s">
        <v>31</v>
      </c>
      <c r="L220" t="s">
        <v>146</v>
      </c>
      <c r="M220" t="s">
        <v>56</v>
      </c>
      <c r="N220" t="s">
        <v>72</v>
      </c>
      <c r="O220">
        <v>2022</v>
      </c>
    </row>
    <row r="221" spans="1:15" x14ac:dyDescent="0.25">
      <c r="A221" t="s">
        <v>1746</v>
      </c>
      <c r="B221" t="s">
        <v>1787</v>
      </c>
      <c r="C221" t="s">
        <v>735</v>
      </c>
      <c r="D221" t="s">
        <v>68</v>
      </c>
      <c r="E221" t="s">
        <v>475</v>
      </c>
      <c r="F221" t="s">
        <v>580</v>
      </c>
      <c r="G221" t="s">
        <v>1785</v>
      </c>
      <c r="H221" t="s">
        <v>1225</v>
      </c>
      <c r="I221" t="s">
        <v>744</v>
      </c>
      <c r="J221" t="s">
        <v>343</v>
      </c>
      <c r="K221" t="s">
        <v>65</v>
      </c>
      <c r="L221" t="s">
        <v>118</v>
      </c>
      <c r="M221" t="s">
        <v>88</v>
      </c>
      <c r="N221" t="s">
        <v>129</v>
      </c>
      <c r="O221">
        <v>2022</v>
      </c>
    </row>
    <row r="222" spans="1:15" x14ac:dyDescent="0.25">
      <c r="A222" t="s">
        <v>1746</v>
      </c>
      <c r="B222" t="s">
        <v>1788</v>
      </c>
      <c r="C222" t="s">
        <v>394</v>
      </c>
      <c r="D222" t="s">
        <v>68</v>
      </c>
      <c r="E222" t="s">
        <v>1721</v>
      </c>
      <c r="F222" t="s">
        <v>580</v>
      </c>
      <c r="G222" t="s">
        <v>1771</v>
      </c>
      <c r="H222" t="s">
        <v>1259</v>
      </c>
      <c r="I222" t="s">
        <v>858</v>
      </c>
      <c r="J222" t="s">
        <v>861</v>
      </c>
      <c r="K222" t="s">
        <v>776</v>
      </c>
      <c r="L222" t="s">
        <v>318</v>
      </c>
      <c r="M222" t="s">
        <v>331</v>
      </c>
      <c r="N222" t="s">
        <v>718</v>
      </c>
      <c r="O222">
        <v>2022</v>
      </c>
    </row>
    <row r="223" spans="1:15" x14ac:dyDescent="0.25">
      <c r="A223" t="s">
        <v>1746</v>
      </c>
      <c r="B223" t="s">
        <v>1789</v>
      </c>
      <c r="C223" t="s">
        <v>590</v>
      </c>
      <c r="D223" t="s">
        <v>68</v>
      </c>
      <c r="E223" t="s">
        <v>1790</v>
      </c>
      <c r="F223" t="s">
        <v>580</v>
      </c>
      <c r="G223" t="s">
        <v>1771</v>
      </c>
      <c r="H223" t="s">
        <v>82</v>
      </c>
      <c r="I223" t="s">
        <v>807</v>
      </c>
      <c r="J223" t="s">
        <v>745</v>
      </c>
      <c r="K223" t="s">
        <v>665</v>
      </c>
      <c r="L223" t="s">
        <v>326</v>
      </c>
      <c r="M223" t="s">
        <v>300</v>
      </c>
      <c r="N223" t="s">
        <v>705</v>
      </c>
      <c r="O223">
        <v>2022</v>
      </c>
    </row>
    <row r="224" spans="1:15" x14ac:dyDescent="0.25">
      <c r="A224" t="s">
        <v>1746</v>
      </c>
      <c r="B224" t="s">
        <v>1791</v>
      </c>
      <c r="C224" t="s">
        <v>820</v>
      </c>
      <c r="D224" t="s">
        <v>68</v>
      </c>
      <c r="E224" t="s">
        <v>585</v>
      </c>
      <c r="F224" t="s">
        <v>753</v>
      </c>
      <c r="G224" t="s">
        <v>1169</v>
      </c>
      <c r="H224" t="s">
        <v>82</v>
      </c>
      <c r="I224" t="s">
        <v>858</v>
      </c>
      <c r="J224" t="s">
        <v>297</v>
      </c>
      <c r="K224" t="s">
        <v>746</v>
      </c>
      <c r="L224" t="s">
        <v>312</v>
      </c>
      <c r="M224" t="s">
        <v>327</v>
      </c>
      <c r="N224" t="s">
        <v>320</v>
      </c>
      <c r="O224">
        <v>2022</v>
      </c>
    </row>
    <row r="225" spans="1:15" x14ac:dyDescent="0.25">
      <c r="A225" t="s">
        <v>1746</v>
      </c>
      <c r="B225" t="s">
        <v>1792</v>
      </c>
      <c r="C225" t="s">
        <v>1793</v>
      </c>
      <c r="D225" t="s">
        <v>68</v>
      </c>
      <c r="E225" t="s">
        <v>475</v>
      </c>
      <c r="F225" t="s">
        <v>1794</v>
      </c>
      <c r="G225" t="s">
        <v>1785</v>
      </c>
      <c r="H225" t="s">
        <v>1795</v>
      </c>
      <c r="I225" t="s">
        <v>858</v>
      </c>
      <c r="J225" t="s">
        <v>231</v>
      </c>
      <c r="K225" t="s">
        <v>31</v>
      </c>
      <c r="L225" t="s">
        <v>1796</v>
      </c>
      <c r="M225" t="s">
        <v>56</v>
      </c>
      <c r="N225" t="s">
        <v>72</v>
      </c>
      <c r="O225">
        <v>2023</v>
      </c>
    </row>
    <row r="226" spans="1:15" x14ac:dyDescent="0.25">
      <c r="A226" t="s">
        <v>1746</v>
      </c>
      <c r="B226" t="s">
        <v>1797</v>
      </c>
      <c r="C226" t="s">
        <v>764</v>
      </c>
      <c r="D226" t="s">
        <v>1798</v>
      </c>
      <c r="E226" t="s">
        <v>475</v>
      </c>
      <c r="F226" t="s">
        <v>1794</v>
      </c>
      <c r="G226" t="s">
        <v>1785</v>
      </c>
      <c r="H226" t="s">
        <v>1795</v>
      </c>
      <c r="I226" t="s">
        <v>858</v>
      </c>
      <c r="J226" t="s">
        <v>343</v>
      </c>
      <c r="K226" t="s">
        <v>65</v>
      </c>
      <c r="L226" t="s">
        <v>1799</v>
      </c>
      <c r="M226" t="s">
        <v>77</v>
      </c>
      <c r="N226" t="s">
        <v>95</v>
      </c>
      <c r="O226">
        <v>2023</v>
      </c>
    </row>
    <row r="227" spans="1:15" x14ac:dyDescent="0.25">
      <c r="A227" t="s">
        <v>1746</v>
      </c>
      <c r="B227" t="s">
        <v>1800</v>
      </c>
      <c r="C227" t="s">
        <v>59</v>
      </c>
      <c r="D227" t="s">
        <v>1798</v>
      </c>
      <c r="E227" t="s">
        <v>475</v>
      </c>
      <c r="F227" t="s">
        <v>1801</v>
      </c>
      <c r="G227" t="s">
        <v>1785</v>
      </c>
      <c r="H227" t="s">
        <v>1307</v>
      </c>
      <c r="I227" t="s">
        <v>1554</v>
      </c>
      <c r="J227" t="s">
        <v>238</v>
      </c>
      <c r="K227" t="s">
        <v>121</v>
      </c>
      <c r="L227" t="s">
        <v>1758</v>
      </c>
      <c r="M227" t="s">
        <v>94</v>
      </c>
      <c r="N227" t="s">
        <v>275</v>
      </c>
      <c r="O227">
        <v>2023</v>
      </c>
    </row>
    <row r="228" spans="1:15" x14ac:dyDescent="0.25">
      <c r="A228" t="s">
        <v>1746</v>
      </c>
      <c r="B228" t="s">
        <v>1802</v>
      </c>
      <c r="C228" t="s">
        <v>1120</v>
      </c>
      <c r="D228" t="s">
        <v>375</v>
      </c>
      <c r="E228" t="s">
        <v>307</v>
      </c>
      <c r="F228" t="s">
        <v>1803</v>
      </c>
      <c r="G228" t="s">
        <v>1785</v>
      </c>
      <c r="H228" t="s">
        <v>1804</v>
      </c>
      <c r="I228" t="s">
        <v>1805</v>
      </c>
      <c r="J228" t="s">
        <v>1765</v>
      </c>
      <c r="K228" t="s">
        <v>1766</v>
      </c>
      <c r="L228" t="s">
        <v>1806</v>
      </c>
      <c r="M228" t="s">
        <v>1782</v>
      </c>
      <c r="N228" t="s">
        <v>1769</v>
      </c>
      <c r="O228">
        <v>2023</v>
      </c>
    </row>
    <row r="229" spans="1:15" x14ac:dyDescent="0.25">
      <c r="A229" t="s">
        <v>1746</v>
      </c>
      <c r="B229" t="s">
        <v>1807</v>
      </c>
      <c r="C229" t="s">
        <v>1564</v>
      </c>
      <c r="D229" t="s">
        <v>375</v>
      </c>
      <c r="E229" t="s">
        <v>475</v>
      </c>
      <c r="F229" t="s">
        <v>1808</v>
      </c>
      <c r="G229" t="s">
        <v>1809</v>
      </c>
      <c r="H229" t="s">
        <v>1810</v>
      </c>
      <c r="I229" t="s">
        <v>44</v>
      </c>
      <c r="J229" t="s">
        <v>765</v>
      </c>
      <c r="K229" t="s">
        <v>83</v>
      </c>
      <c r="L229" t="s">
        <v>55</v>
      </c>
      <c r="M229" t="s">
        <v>77</v>
      </c>
      <c r="N229" t="s">
        <v>447</v>
      </c>
      <c r="O229">
        <v>2023</v>
      </c>
    </row>
    <row r="230" spans="1:15" x14ac:dyDescent="0.25">
      <c r="A230" t="s">
        <v>1746</v>
      </c>
      <c r="B230" t="s">
        <v>1811</v>
      </c>
      <c r="C230" t="s">
        <v>1812</v>
      </c>
      <c r="D230" t="s">
        <v>375</v>
      </c>
      <c r="E230" t="s">
        <v>475</v>
      </c>
      <c r="F230" t="s">
        <v>1813</v>
      </c>
      <c r="G230" t="s">
        <v>1809</v>
      </c>
      <c r="H230" t="s">
        <v>1219</v>
      </c>
      <c r="I230" t="s">
        <v>1192</v>
      </c>
      <c r="J230" t="s">
        <v>874</v>
      </c>
      <c r="K230" t="s">
        <v>895</v>
      </c>
      <c r="L230" t="s">
        <v>123</v>
      </c>
      <c r="M230" t="s">
        <v>94</v>
      </c>
      <c r="N230" t="s">
        <v>901</v>
      </c>
      <c r="O230">
        <v>2023</v>
      </c>
    </row>
    <row r="231" spans="1:15" x14ac:dyDescent="0.25">
      <c r="A231" t="s">
        <v>1746</v>
      </c>
      <c r="B231" t="s">
        <v>1814</v>
      </c>
      <c r="C231" t="s">
        <v>579</v>
      </c>
      <c r="D231" t="s">
        <v>375</v>
      </c>
      <c r="E231" t="s">
        <v>475</v>
      </c>
      <c r="F231" t="s">
        <v>1815</v>
      </c>
      <c r="G231" t="s">
        <v>1809</v>
      </c>
      <c r="H231" t="s">
        <v>1415</v>
      </c>
      <c r="I231" t="s">
        <v>1192</v>
      </c>
      <c r="J231" t="s">
        <v>45</v>
      </c>
      <c r="K231" t="s">
        <v>900</v>
      </c>
      <c r="L231" t="s">
        <v>158</v>
      </c>
      <c r="M231" t="s">
        <v>641</v>
      </c>
      <c r="N231" t="s">
        <v>1125</v>
      </c>
      <c r="O231">
        <v>2023</v>
      </c>
    </row>
    <row r="232" spans="1:15" x14ac:dyDescent="0.25">
      <c r="A232" t="s">
        <v>1746</v>
      </c>
      <c r="B232" t="s">
        <v>1816</v>
      </c>
      <c r="C232" t="s">
        <v>394</v>
      </c>
      <c r="D232" t="s">
        <v>68</v>
      </c>
      <c r="E232" t="s">
        <v>1721</v>
      </c>
      <c r="F232" t="s">
        <v>1817</v>
      </c>
      <c r="G232" t="s">
        <v>1771</v>
      </c>
      <c r="H232" t="s">
        <v>82</v>
      </c>
      <c r="I232" t="s">
        <v>44</v>
      </c>
      <c r="J232" t="s">
        <v>303</v>
      </c>
      <c r="K232" t="s">
        <v>716</v>
      </c>
      <c r="L232" t="s">
        <v>717</v>
      </c>
      <c r="M232" t="s">
        <v>331</v>
      </c>
      <c r="N232" t="s">
        <v>718</v>
      </c>
      <c r="O232">
        <v>2023</v>
      </c>
    </row>
    <row r="233" spans="1:15" x14ac:dyDescent="0.25">
      <c r="A233" t="s">
        <v>1746</v>
      </c>
      <c r="B233" t="s">
        <v>1818</v>
      </c>
      <c r="C233" t="s">
        <v>235</v>
      </c>
      <c r="D233" t="s">
        <v>68</v>
      </c>
      <c r="E233" t="s">
        <v>1819</v>
      </c>
      <c r="F233" t="s">
        <v>1817</v>
      </c>
      <c r="G233" t="s">
        <v>1771</v>
      </c>
      <c r="H233" t="s">
        <v>82</v>
      </c>
      <c r="I233" t="s">
        <v>807</v>
      </c>
      <c r="J233" t="s">
        <v>836</v>
      </c>
      <c r="K233" t="s">
        <v>704</v>
      </c>
      <c r="L233" t="s">
        <v>326</v>
      </c>
      <c r="M233" t="s">
        <v>300</v>
      </c>
      <c r="N233" t="s">
        <v>705</v>
      </c>
      <c r="O233">
        <v>2023</v>
      </c>
    </row>
    <row r="234" spans="1:15" x14ac:dyDescent="0.25">
      <c r="A234" t="s">
        <v>1746</v>
      </c>
      <c r="B234" t="s">
        <v>1820</v>
      </c>
      <c r="C234" t="s">
        <v>235</v>
      </c>
      <c r="D234" t="s">
        <v>375</v>
      </c>
      <c r="E234" t="s">
        <v>1819</v>
      </c>
      <c r="F234" t="s">
        <v>1817</v>
      </c>
      <c r="G234" t="s">
        <v>1771</v>
      </c>
      <c r="H234" t="s">
        <v>82</v>
      </c>
      <c r="I234" t="s">
        <v>807</v>
      </c>
      <c r="J234" t="s">
        <v>1141</v>
      </c>
      <c r="K234" t="s">
        <v>574</v>
      </c>
      <c r="L234" t="s">
        <v>883</v>
      </c>
      <c r="M234" t="s">
        <v>167</v>
      </c>
      <c r="N234" t="s">
        <v>229</v>
      </c>
      <c r="O234">
        <v>2023</v>
      </c>
    </row>
    <row r="235" spans="1:15" x14ac:dyDescent="0.25">
      <c r="A235" t="s">
        <v>1746</v>
      </c>
      <c r="B235" t="s">
        <v>1821</v>
      </c>
      <c r="C235" t="s">
        <v>1822</v>
      </c>
      <c r="D235" t="s">
        <v>375</v>
      </c>
      <c r="E235" t="s">
        <v>475</v>
      </c>
      <c r="F235" t="s">
        <v>1823</v>
      </c>
      <c r="G235" t="s">
        <v>1824</v>
      </c>
      <c r="H235" t="s">
        <v>1825</v>
      </c>
      <c r="I235" t="s">
        <v>379</v>
      </c>
      <c r="J235" t="s">
        <v>231</v>
      </c>
      <c r="K235" t="s">
        <v>31</v>
      </c>
      <c r="L235" t="s">
        <v>1796</v>
      </c>
      <c r="M235" t="s">
        <v>56</v>
      </c>
      <c r="N235" t="s">
        <v>72</v>
      </c>
      <c r="O235">
        <v>2024</v>
      </c>
    </row>
    <row r="236" spans="1:15" x14ac:dyDescent="0.25">
      <c r="A236" t="s">
        <v>1746</v>
      </c>
      <c r="B236" t="s">
        <v>1826</v>
      </c>
      <c r="C236" t="s">
        <v>1822</v>
      </c>
      <c r="D236" t="s">
        <v>375</v>
      </c>
      <c r="E236" t="s">
        <v>475</v>
      </c>
      <c r="F236" t="s">
        <v>1827</v>
      </c>
      <c r="G236" t="s">
        <v>1824</v>
      </c>
      <c r="H236" t="s">
        <v>1828</v>
      </c>
      <c r="I236" t="s">
        <v>379</v>
      </c>
      <c r="J236" t="s">
        <v>343</v>
      </c>
      <c r="K236" t="s">
        <v>65</v>
      </c>
      <c r="L236" t="s">
        <v>1799</v>
      </c>
      <c r="M236" t="s">
        <v>77</v>
      </c>
      <c r="N236" t="s">
        <v>95</v>
      </c>
      <c r="O236">
        <v>2024</v>
      </c>
    </row>
    <row r="237" spans="1:15" x14ac:dyDescent="0.25">
      <c r="A237" t="s">
        <v>1746</v>
      </c>
      <c r="B237" t="s">
        <v>1829</v>
      </c>
      <c r="C237" t="s">
        <v>1822</v>
      </c>
      <c r="D237" t="s">
        <v>375</v>
      </c>
      <c r="E237" t="s">
        <v>475</v>
      </c>
      <c r="F237" t="s">
        <v>1827</v>
      </c>
      <c r="G237" t="s">
        <v>1824</v>
      </c>
      <c r="H237" t="s">
        <v>1828</v>
      </c>
      <c r="I237" t="s">
        <v>379</v>
      </c>
      <c r="J237" t="s">
        <v>1570</v>
      </c>
      <c r="K237" t="s">
        <v>75</v>
      </c>
      <c r="L237" t="s">
        <v>1758</v>
      </c>
      <c r="M237" t="s">
        <v>88</v>
      </c>
      <c r="N237" t="s">
        <v>901</v>
      </c>
      <c r="O237">
        <v>2024</v>
      </c>
    </row>
    <row r="238" spans="1:15" x14ac:dyDescent="0.25">
      <c r="A238" t="s">
        <v>1746</v>
      </c>
      <c r="B238" t="s">
        <v>1830</v>
      </c>
      <c r="C238" t="s">
        <v>246</v>
      </c>
      <c r="D238" t="s">
        <v>759</v>
      </c>
      <c r="E238" t="s">
        <v>475</v>
      </c>
      <c r="F238" t="s">
        <v>1831</v>
      </c>
      <c r="G238" t="s">
        <v>1824</v>
      </c>
      <c r="H238" t="s">
        <v>1415</v>
      </c>
      <c r="I238" t="s">
        <v>379</v>
      </c>
      <c r="J238" t="s">
        <v>874</v>
      </c>
      <c r="K238" t="s">
        <v>895</v>
      </c>
      <c r="L238" t="s">
        <v>1832</v>
      </c>
      <c r="M238" t="s">
        <v>94</v>
      </c>
      <c r="N238" t="s">
        <v>1125</v>
      </c>
      <c r="O238">
        <v>2024</v>
      </c>
    </row>
    <row r="239" spans="1:15" x14ac:dyDescent="0.25">
      <c r="A239" t="s">
        <v>1746</v>
      </c>
      <c r="B239" t="s">
        <v>1833</v>
      </c>
      <c r="C239" t="s">
        <v>1822</v>
      </c>
      <c r="D239" t="s">
        <v>375</v>
      </c>
      <c r="E239" t="s">
        <v>475</v>
      </c>
      <c r="F239" t="s">
        <v>61</v>
      </c>
      <c r="G239" t="s">
        <v>1824</v>
      </c>
      <c r="H239" t="s">
        <v>1825</v>
      </c>
      <c r="I239" t="s">
        <v>44</v>
      </c>
      <c r="J239" t="s">
        <v>233</v>
      </c>
      <c r="K239" t="s">
        <v>37</v>
      </c>
      <c r="L239" t="s">
        <v>142</v>
      </c>
      <c r="M239" t="s">
        <v>39</v>
      </c>
      <c r="N239" t="s">
        <v>51</v>
      </c>
      <c r="O239">
        <v>2024</v>
      </c>
    </row>
    <row r="240" spans="1:15" x14ac:dyDescent="0.25">
      <c r="A240" t="s">
        <v>1746</v>
      </c>
      <c r="B240" t="s">
        <v>1834</v>
      </c>
      <c r="C240" t="s">
        <v>1822</v>
      </c>
      <c r="D240" t="s">
        <v>375</v>
      </c>
      <c r="E240" t="s">
        <v>475</v>
      </c>
      <c r="F240" t="s">
        <v>1835</v>
      </c>
      <c r="G240" t="s">
        <v>1824</v>
      </c>
      <c r="H240" t="s">
        <v>1219</v>
      </c>
      <c r="I240" t="s">
        <v>379</v>
      </c>
      <c r="J240" t="s">
        <v>765</v>
      </c>
      <c r="K240" t="s">
        <v>54</v>
      </c>
      <c r="L240" t="s">
        <v>38</v>
      </c>
      <c r="M240" t="s">
        <v>56</v>
      </c>
      <c r="N240" t="s">
        <v>78</v>
      </c>
      <c r="O240">
        <v>2024</v>
      </c>
    </row>
    <row r="241" spans="1:15" x14ac:dyDescent="0.25">
      <c r="A241" t="s">
        <v>1746</v>
      </c>
      <c r="B241" t="s">
        <v>1836</v>
      </c>
      <c r="C241" t="s">
        <v>1822</v>
      </c>
      <c r="D241" t="s">
        <v>375</v>
      </c>
      <c r="E241" t="s">
        <v>475</v>
      </c>
      <c r="F241" t="s">
        <v>1835</v>
      </c>
      <c r="G241" t="s">
        <v>1824</v>
      </c>
      <c r="H241" t="s">
        <v>1219</v>
      </c>
      <c r="I241" t="s">
        <v>379</v>
      </c>
      <c r="J241" t="s">
        <v>238</v>
      </c>
      <c r="K241" t="s">
        <v>121</v>
      </c>
      <c r="L241" t="s">
        <v>76</v>
      </c>
      <c r="M241" t="s">
        <v>77</v>
      </c>
      <c r="N241" t="s">
        <v>129</v>
      </c>
      <c r="O241">
        <v>2024</v>
      </c>
    </row>
    <row r="242" spans="1:15" x14ac:dyDescent="0.25">
      <c r="A242" t="s">
        <v>1746</v>
      </c>
      <c r="B242" t="s">
        <v>1837</v>
      </c>
      <c r="C242" t="s">
        <v>1838</v>
      </c>
      <c r="D242" t="s">
        <v>375</v>
      </c>
      <c r="E242" t="s">
        <v>307</v>
      </c>
      <c r="F242" t="s">
        <v>1823</v>
      </c>
      <c r="G242" t="s">
        <v>1824</v>
      </c>
      <c r="H242" t="s">
        <v>1804</v>
      </c>
      <c r="I242" t="s">
        <v>1839</v>
      </c>
      <c r="J242" t="s">
        <v>1765</v>
      </c>
      <c r="K242" t="s">
        <v>1766</v>
      </c>
      <c r="L242" t="s">
        <v>441</v>
      </c>
      <c r="M242" t="s">
        <v>1782</v>
      </c>
      <c r="N242" t="s">
        <v>1769</v>
      </c>
      <c r="O242">
        <v>2024</v>
      </c>
    </row>
    <row r="243" spans="1:15" x14ac:dyDescent="0.25">
      <c r="A243" t="s">
        <v>1746</v>
      </c>
      <c r="B243" t="s">
        <v>1840</v>
      </c>
      <c r="C243" t="s">
        <v>394</v>
      </c>
      <c r="D243" t="s">
        <v>68</v>
      </c>
      <c r="E243" t="s">
        <v>1721</v>
      </c>
      <c r="F243" t="s">
        <v>527</v>
      </c>
      <c r="G243" t="s">
        <v>1809</v>
      </c>
      <c r="H243" t="s">
        <v>82</v>
      </c>
      <c r="I243" t="s">
        <v>44</v>
      </c>
      <c r="J243" t="s">
        <v>303</v>
      </c>
      <c r="K243" t="s">
        <v>716</v>
      </c>
      <c r="L243" t="s">
        <v>717</v>
      </c>
      <c r="M243" t="s">
        <v>331</v>
      </c>
      <c r="N243" t="s">
        <v>718</v>
      </c>
      <c r="O243">
        <v>2024</v>
      </c>
    </row>
    <row r="244" spans="1:15" x14ac:dyDescent="0.25">
      <c r="A244" t="s">
        <v>1746</v>
      </c>
      <c r="B244" t="s">
        <v>1841</v>
      </c>
      <c r="C244" t="s">
        <v>235</v>
      </c>
      <c r="D244" t="s">
        <v>68</v>
      </c>
      <c r="E244" t="s">
        <v>1842</v>
      </c>
      <c r="F244" t="s">
        <v>527</v>
      </c>
      <c r="G244" t="s">
        <v>1809</v>
      </c>
      <c r="H244" t="s">
        <v>82</v>
      </c>
      <c r="I244" t="s">
        <v>807</v>
      </c>
      <c r="J244" t="s">
        <v>836</v>
      </c>
      <c r="K244" t="s">
        <v>704</v>
      </c>
      <c r="L244" t="s">
        <v>326</v>
      </c>
      <c r="M244" t="s">
        <v>300</v>
      </c>
      <c r="N244" t="s">
        <v>705</v>
      </c>
      <c r="O244">
        <v>2024</v>
      </c>
    </row>
    <row r="245" spans="1:15" x14ac:dyDescent="0.25">
      <c r="A245" t="s">
        <v>1746</v>
      </c>
      <c r="B245" t="s">
        <v>1843</v>
      </c>
      <c r="C245" t="s">
        <v>1844</v>
      </c>
      <c r="D245" t="s">
        <v>375</v>
      </c>
      <c r="E245" t="s">
        <v>475</v>
      </c>
      <c r="F245" t="s">
        <v>1845</v>
      </c>
      <c r="G245" t="s">
        <v>1824</v>
      </c>
      <c r="H245" t="s">
        <v>1219</v>
      </c>
      <c r="I245" t="s">
        <v>1846</v>
      </c>
      <c r="J245" t="s">
        <v>361</v>
      </c>
      <c r="K245" t="s">
        <v>1847</v>
      </c>
      <c r="L245" t="s">
        <v>1848</v>
      </c>
      <c r="M245" t="s">
        <v>1849</v>
      </c>
      <c r="N245" t="s">
        <v>1850</v>
      </c>
      <c r="O245">
        <v>2024</v>
      </c>
    </row>
    <row r="246" spans="1:15" x14ac:dyDescent="0.25">
      <c r="A246" t="s">
        <v>1746</v>
      </c>
      <c r="B246" t="s">
        <v>1851</v>
      </c>
      <c r="C246" t="s">
        <v>1844</v>
      </c>
      <c r="D246" t="s">
        <v>375</v>
      </c>
      <c r="E246" t="s">
        <v>475</v>
      </c>
      <c r="F246" t="s">
        <v>1845</v>
      </c>
      <c r="G246" t="s">
        <v>1824</v>
      </c>
      <c r="H246" t="s">
        <v>1219</v>
      </c>
      <c r="I246" t="s">
        <v>1846</v>
      </c>
      <c r="J246" t="s">
        <v>1852</v>
      </c>
      <c r="K246" t="s">
        <v>1853</v>
      </c>
      <c r="L246" t="s">
        <v>1854</v>
      </c>
      <c r="M246" t="s">
        <v>1855</v>
      </c>
      <c r="N246" t="s">
        <v>1856</v>
      </c>
      <c r="O246">
        <v>2024</v>
      </c>
    </row>
    <row r="247" spans="1:15" x14ac:dyDescent="0.25">
      <c r="A247" t="s">
        <v>1746</v>
      </c>
      <c r="B247" t="s">
        <v>1857</v>
      </c>
      <c r="C247" t="s">
        <v>825</v>
      </c>
      <c r="D247" t="s">
        <v>68</v>
      </c>
      <c r="E247" t="s">
        <v>580</v>
      </c>
      <c r="F247" t="s">
        <v>527</v>
      </c>
      <c r="G247" t="s">
        <v>1809</v>
      </c>
      <c r="H247" t="s">
        <v>1222</v>
      </c>
      <c r="I247" t="s">
        <v>44</v>
      </c>
      <c r="J247" t="s">
        <v>865</v>
      </c>
      <c r="K247" t="s">
        <v>1063</v>
      </c>
      <c r="L247" t="s">
        <v>838</v>
      </c>
      <c r="M247" t="s">
        <v>1858</v>
      </c>
      <c r="N247" t="s">
        <v>667</v>
      </c>
      <c r="O247">
        <v>2024</v>
      </c>
    </row>
    <row r="248" spans="1:15" x14ac:dyDescent="0.25">
      <c r="A248" t="s">
        <v>1746</v>
      </c>
      <c r="B248" t="s">
        <v>1859</v>
      </c>
      <c r="C248" t="s">
        <v>825</v>
      </c>
      <c r="D248" t="s">
        <v>68</v>
      </c>
      <c r="E248" t="s">
        <v>580</v>
      </c>
      <c r="F248" t="s">
        <v>527</v>
      </c>
      <c r="G248" t="s">
        <v>1809</v>
      </c>
      <c r="H248" t="s">
        <v>1222</v>
      </c>
      <c r="I248" t="s">
        <v>44</v>
      </c>
      <c r="J248" t="s">
        <v>836</v>
      </c>
      <c r="K248" t="s">
        <v>704</v>
      </c>
      <c r="L248" t="s">
        <v>304</v>
      </c>
      <c r="M248" t="s">
        <v>300</v>
      </c>
      <c r="N248" t="s">
        <v>777</v>
      </c>
      <c r="O248">
        <v>2024</v>
      </c>
    </row>
    <row r="249" spans="1:15" x14ac:dyDescent="0.25">
      <c r="A249" t="s">
        <v>1746</v>
      </c>
      <c r="B249" t="s">
        <v>1860</v>
      </c>
      <c r="C249" t="s">
        <v>496</v>
      </c>
      <c r="D249" t="s">
        <v>68</v>
      </c>
      <c r="E249" t="s">
        <v>1842</v>
      </c>
      <c r="F249" t="s">
        <v>527</v>
      </c>
      <c r="G249" t="s">
        <v>1809</v>
      </c>
      <c r="H249" t="s">
        <v>1222</v>
      </c>
      <c r="I249" t="s">
        <v>807</v>
      </c>
      <c r="J249" t="s">
        <v>745</v>
      </c>
      <c r="K249" t="s">
        <v>577</v>
      </c>
      <c r="L249" t="s">
        <v>883</v>
      </c>
      <c r="M249" t="s">
        <v>712</v>
      </c>
      <c r="N249" t="s">
        <v>839</v>
      </c>
      <c r="O249">
        <v>2024</v>
      </c>
    </row>
    <row r="250" spans="1:15" x14ac:dyDescent="0.25">
      <c r="A250" t="s">
        <v>1746</v>
      </c>
      <c r="B250" t="s">
        <v>1861</v>
      </c>
      <c r="C250" t="s">
        <v>496</v>
      </c>
      <c r="D250" t="s">
        <v>68</v>
      </c>
      <c r="E250" t="s">
        <v>1842</v>
      </c>
      <c r="F250" t="s">
        <v>527</v>
      </c>
      <c r="G250" t="s">
        <v>1809</v>
      </c>
      <c r="H250" t="s">
        <v>1222</v>
      </c>
      <c r="I250" t="s">
        <v>807</v>
      </c>
      <c r="J250" t="s">
        <v>1862</v>
      </c>
      <c r="K250" t="s">
        <v>1863</v>
      </c>
      <c r="L250" t="s">
        <v>886</v>
      </c>
      <c r="M250" t="s">
        <v>1864</v>
      </c>
      <c r="N250" t="s">
        <v>103</v>
      </c>
      <c r="O250">
        <v>2024</v>
      </c>
    </row>
    <row r="251" spans="1:15" x14ac:dyDescent="0.25">
      <c r="A251" t="s">
        <v>1746</v>
      </c>
      <c r="B251" t="s">
        <v>1911</v>
      </c>
      <c r="C251" t="s">
        <v>691</v>
      </c>
      <c r="D251" t="s">
        <v>375</v>
      </c>
      <c r="E251" t="s">
        <v>585</v>
      </c>
      <c r="F251" t="s">
        <v>1912</v>
      </c>
      <c r="G251" t="s">
        <v>1809</v>
      </c>
      <c r="H251" t="s">
        <v>1913</v>
      </c>
      <c r="I251" t="s">
        <v>1914</v>
      </c>
      <c r="J251" t="s">
        <v>1915</v>
      </c>
      <c r="K251" t="s">
        <v>1916</v>
      </c>
      <c r="L251" t="s">
        <v>1562</v>
      </c>
      <c r="M251" t="s">
        <v>56</v>
      </c>
      <c r="N251" t="s">
        <v>705</v>
      </c>
      <c r="O251">
        <v>2024</v>
      </c>
    </row>
    <row r="252" spans="1:15" x14ac:dyDescent="0.25">
      <c r="A252" t="s">
        <v>1746</v>
      </c>
      <c r="B252" t="s">
        <v>1917</v>
      </c>
      <c r="C252" t="s">
        <v>1918</v>
      </c>
      <c r="D252" t="s">
        <v>375</v>
      </c>
      <c r="E252" t="s">
        <v>585</v>
      </c>
      <c r="F252" t="s">
        <v>1912</v>
      </c>
      <c r="G252" t="s">
        <v>1809</v>
      </c>
      <c r="H252" t="s">
        <v>1913</v>
      </c>
      <c r="I252" t="s">
        <v>1919</v>
      </c>
      <c r="J252" t="s">
        <v>1920</v>
      </c>
      <c r="K252" t="s">
        <v>1921</v>
      </c>
      <c r="L252" t="s">
        <v>136</v>
      </c>
      <c r="M252" t="s">
        <v>1922</v>
      </c>
      <c r="N252" t="s">
        <v>705</v>
      </c>
      <c r="O252">
        <v>2024</v>
      </c>
    </row>
    <row r="253" spans="1:15" x14ac:dyDescent="0.25">
      <c r="A253" t="s">
        <v>2041</v>
      </c>
      <c r="B253" t="s">
        <v>2042</v>
      </c>
      <c r="C253" t="s">
        <v>1985</v>
      </c>
      <c r="D253" t="s">
        <v>18</v>
      </c>
      <c r="E253" t="s">
        <v>307</v>
      </c>
      <c r="F253" t="s">
        <v>475</v>
      </c>
      <c r="G253" t="s">
        <v>487</v>
      </c>
      <c r="H253" t="s">
        <v>2043</v>
      </c>
      <c r="I253" t="s">
        <v>710</v>
      </c>
      <c r="J253" t="s">
        <v>827</v>
      </c>
      <c r="K253" t="s">
        <v>505</v>
      </c>
      <c r="L253" t="s">
        <v>484</v>
      </c>
      <c r="M253" t="s">
        <v>491</v>
      </c>
      <c r="N253" t="s">
        <v>503</v>
      </c>
      <c r="O253">
        <v>2024</v>
      </c>
    </row>
    <row r="254" spans="1:15" x14ac:dyDescent="0.25">
      <c r="A254" t="s">
        <v>2041</v>
      </c>
      <c r="B254" t="s">
        <v>2044</v>
      </c>
      <c r="C254" t="s">
        <v>2045</v>
      </c>
      <c r="D254" t="s">
        <v>68</v>
      </c>
      <c r="E254" t="s">
        <v>585</v>
      </c>
      <c r="F254" t="s">
        <v>580</v>
      </c>
      <c r="G254" t="s">
        <v>1277</v>
      </c>
      <c r="H254" t="s">
        <v>1987</v>
      </c>
      <c r="I254" t="s">
        <v>1100</v>
      </c>
      <c r="J254" t="s">
        <v>297</v>
      </c>
      <c r="K254" t="s">
        <v>917</v>
      </c>
      <c r="L254" t="s">
        <v>471</v>
      </c>
      <c r="M254" t="s">
        <v>327</v>
      </c>
      <c r="N254" t="s">
        <v>320</v>
      </c>
      <c r="O254">
        <v>2024</v>
      </c>
    </row>
    <row r="255" spans="1:15" x14ac:dyDescent="0.25">
      <c r="A255" t="s">
        <v>2041</v>
      </c>
      <c r="B255" t="s">
        <v>2046</v>
      </c>
      <c r="C255" t="s">
        <v>1991</v>
      </c>
      <c r="D255" t="s">
        <v>162</v>
      </c>
      <c r="E255" t="s">
        <v>508</v>
      </c>
      <c r="F255" t="s">
        <v>307</v>
      </c>
      <c r="G255" t="s">
        <v>1714</v>
      </c>
      <c r="H255" t="s">
        <v>1375</v>
      </c>
      <c r="I255" t="s">
        <v>2047</v>
      </c>
      <c r="J255" t="s">
        <v>787</v>
      </c>
      <c r="K255" t="s">
        <v>510</v>
      </c>
      <c r="L255" t="s">
        <v>515</v>
      </c>
      <c r="M255" t="s">
        <v>932</v>
      </c>
      <c r="N255" t="s">
        <v>596</v>
      </c>
      <c r="O255">
        <v>2024</v>
      </c>
    </row>
    <row r="256" spans="1:15" x14ac:dyDescent="0.25">
      <c r="A256" t="s">
        <v>2041</v>
      </c>
      <c r="B256" t="s">
        <v>2048</v>
      </c>
      <c r="C256" t="s">
        <v>679</v>
      </c>
      <c r="D256" t="s">
        <v>375</v>
      </c>
      <c r="E256" t="s">
        <v>461</v>
      </c>
      <c r="F256" t="s">
        <v>580</v>
      </c>
      <c r="G256" t="s">
        <v>1078</v>
      </c>
      <c r="H256" t="s">
        <v>2049</v>
      </c>
      <c r="I256" t="s">
        <v>2050</v>
      </c>
      <c r="J256" t="s">
        <v>861</v>
      </c>
      <c r="K256" t="s">
        <v>776</v>
      </c>
      <c r="L256" t="s">
        <v>326</v>
      </c>
      <c r="M256" t="s">
        <v>666</v>
      </c>
      <c r="N256" t="s">
        <v>667</v>
      </c>
      <c r="O256">
        <v>2024</v>
      </c>
    </row>
    <row r="257" spans="1:15" x14ac:dyDescent="0.25">
      <c r="A257" t="s">
        <v>2041</v>
      </c>
      <c r="B257" t="s">
        <v>2051</v>
      </c>
      <c r="C257" t="s">
        <v>559</v>
      </c>
      <c r="D257" t="s">
        <v>18</v>
      </c>
      <c r="E257" t="s">
        <v>307</v>
      </c>
      <c r="F257" t="s">
        <v>580</v>
      </c>
      <c r="G257" t="s">
        <v>1466</v>
      </c>
      <c r="H257" t="s">
        <v>1219</v>
      </c>
      <c r="I257" t="s">
        <v>807</v>
      </c>
      <c r="J257" t="s">
        <v>787</v>
      </c>
      <c r="K257" t="s">
        <v>510</v>
      </c>
      <c r="L257" t="s">
        <v>515</v>
      </c>
      <c r="M257" t="s">
        <v>932</v>
      </c>
      <c r="N257" t="s">
        <v>596</v>
      </c>
      <c r="O257">
        <v>2024</v>
      </c>
    </row>
    <row r="258" spans="1:15" x14ac:dyDescent="0.25">
      <c r="A258" t="s">
        <v>2041</v>
      </c>
      <c r="B258" t="s">
        <v>2052</v>
      </c>
      <c r="C258" t="s">
        <v>496</v>
      </c>
      <c r="D258" t="s">
        <v>162</v>
      </c>
      <c r="E258" t="s">
        <v>307</v>
      </c>
      <c r="F258" t="s">
        <v>580</v>
      </c>
      <c r="G258" t="s">
        <v>1714</v>
      </c>
      <c r="H258" t="s">
        <v>1219</v>
      </c>
      <c r="I258" t="s">
        <v>389</v>
      </c>
      <c r="J258" t="s">
        <v>1280</v>
      </c>
      <c r="K258" t="s">
        <v>1871</v>
      </c>
      <c r="L258" t="s">
        <v>511</v>
      </c>
      <c r="M258" t="s">
        <v>603</v>
      </c>
      <c r="N258" t="s">
        <v>604</v>
      </c>
      <c r="O258">
        <v>2024</v>
      </c>
    </row>
    <row r="259" spans="1:15" x14ac:dyDescent="0.25">
      <c r="A259" t="s">
        <v>2041</v>
      </c>
      <c r="B259" t="s">
        <v>2053</v>
      </c>
      <c r="C259" t="s">
        <v>421</v>
      </c>
      <c r="D259" t="s">
        <v>68</v>
      </c>
      <c r="E259" t="s">
        <v>585</v>
      </c>
      <c r="F259" t="s">
        <v>580</v>
      </c>
      <c r="G259" t="s">
        <v>1277</v>
      </c>
      <c r="H259" t="s">
        <v>1415</v>
      </c>
      <c r="I259" t="s">
        <v>807</v>
      </c>
      <c r="J259" t="s">
        <v>1870</v>
      </c>
      <c r="K259" t="s">
        <v>546</v>
      </c>
      <c r="L259" t="s">
        <v>480</v>
      </c>
      <c r="M259" t="s">
        <v>2054</v>
      </c>
      <c r="N259" t="s">
        <v>1671</v>
      </c>
      <c r="O259">
        <v>2024</v>
      </c>
    </row>
    <row r="260" spans="1:15" x14ac:dyDescent="0.25">
      <c r="A260" t="s">
        <v>2041</v>
      </c>
      <c r="B260" t="s">
        <v>2055</v>
      </c>
      <c r="C260" t="s">
        <v>224</v>
      </c>
      <c r="D260" t="s">
        <v>68</v>
      </c>
      <c r="E260" t="s">
        <v>585</v>
      </c>
      <c r="F260" t="s">
        <v>580</v>
      </c>
      <c r="G260" t="s">
        <v>487</v>
      </c>
      <c r="H260" t="s">
        <v>1219</v>
      </c>
      <c r="I260" t="s">
        <v>379</v>
      </c>
      <c r="J260" t="s">
        <v>2056</v>
      </c>
      <c r="K260" t="s">
        <v>529</v>
      </c>
      <c r="L260" t="s">
        <v>506</v>
      </c>
      <c r="M260" t="s">
        <v>996</v>
      </c>
      <c r="N260" t="s">
        <v>516</v>
      </c>
      <c r="O260">
        <v>2024</v>
      </c>
    </row>
    <row r="261" spans="1:15" x14ac:dyDescent="0.25">
      <c r="A261" t="s">
        <v>2041</v>
      </c>
      <c r="B261" t="s">
        <v>2057</v>
      </c>
      <c r="C261" t="s">
        <v>387</v>
      </c>
      <c r="D261" t="s">
        <v>375</v>
      </c>
      <c r="E261" t="s">
        <v>461</v>
      </c>
      <c r="F261" t="s">
        <v>753</v>
      </c>
      <c r="G261" t="s">
        <v>1078</v>
      </c>
      <c r="H261" t="s">
        <v>2058</v>
      </c>
      <c r="I261" t="s">
        <v>553</v>
      </c>
      <c r="J261" t="s">
        <v>818</v>
      </c>
      <c r="K261" t="s">
        <v>494</v>
      </c>
      <c r="L261" t="s">
        <v>471</v>
      </c>
      <c r="M261" t="s">
        <v>2059</v>
      </c>
      <c r="N261" t="s">
        <v>467</v>
      </c>
      <c r="O261">
        <v>2024</v>
      </c>
    </row>
    <row r="262" spans="1:15" x14ac:dyDescent="0.25">
      <c r="A262" t="s">
        <v>2041</v>
      </c>
      <c r="B262" t="s">
        <v>2060</v>
      </c>
      <c r="C262" t="s">
        <v>549</v>
      </c>
      <c r="D262" t="s">
        <v>375</v>
      </c>
      <c r="E262" t="s">
        <v>461</v>
      </c>
      <c r="F262" t="s">
        <v>753</v>
      </c>
      <c r="G262" t="s">
        <v>1067</v>
      </c>
      <c r="H262" t="s">
        <v>1354</v>
      </c>
      <c r="I262" t="s">
        <v>553</v>
      </c>
      <c r="J262" t="s">
        <v>303</v>
      </c>
      <c r="K262" t="s">
        <v>470</v>
      </c>
      <c r="L262" t="s">
        <v>717</v>
      </c>
      <c r="M262" t="s">
        <v>472</v>
      </c>
      <c r="N262" t="s">
        <v>583</v>
      </c>
      <c r="O262">
        <v>2024</v>
      </c>
    </row>
    <row r="263" spans="1:15" x14ac:dyDescent="0.25">
      <c r="A263" t="s">
        <v>2041</v>
      </c>
      <c r="B263" t="s">
        <v>2061</v>
      </c>
      <c r="C263" t="s">
        <v>549</v>
      </c>
      <c r="D263" t="s">
        <v>68</v>
      </c>
      <c r="E263" t="s">
        <v>461</v>
      </c>
      <c r="F263" t="s">
        <v>753</v>
      </c>
      <c r="G263" t="s">
        <v>1401</v>
      </c>
      <c r="H263" t="s">
        <v>1415</v>
      </c>
      <c r="I263" t="s">
        <v>379</v>
      </c>
      <c r="J263" t="s">
        <v>818</v>
      </c>
      <c r="K263" t="s">
        <v>521</v>
      </c>
      <c r="L263" t="s">
        <v>312</v>
      </c>
      <c r="M263" t="s">
        <v>481</v>
      </c>
      <c r="N263" t="s">
        <v>482</v>
      </c>
      <c r="O263">
        <v>2024</v>
      </c>
    </row>
    <row r="264" spans="1:15" x14ac:dyDescent="0.25">
      <c r="A264" t="s">
        <v>2041</v>
      </c>
      <c r="B264" t="s">
        <v>2062</v>
      </c>
      <c r="C264" t="s">
        <v>387</v>
      </c>
      <c r="D264" t="s">
        <v>68</v>
      </c>
      <c r="E264" t="s">
        <v>461</v>
      </c>
      <c r="F264" t="s">
        <v>580</v>
      </c>
      <c r="G264" t="s">
        <v>487</v>
      </c>
      <c r="H264" t="s">
        <v>1219</v>
      </c>
      <c r="I264" t="s">
        <v>807</v>
      </c>
      <c r="J264" t="s">
        <v>936</v>
      </c>
      <c r="K264" t="s">
        <v>689</v>
      </c>
      <c r="L264" t="s">
        <v>480</v>
      </c>
      <c r="M264" t="s">
        <v>1103</v>
      </c>
      <c r="N264" t="s">
        <v>516</v>
      </c>
      <c r="O264">
        <v>2024</v>
      </c>
    </row>
    <row r="265" spans="1:15" x14ac:dyDescent="0.25">
      <c r="A265" t="s">
        <v>2041</v>
      </c>
      <c r="B265" t="s">
        <v>2063</v>
      </c>
      <c r="C265" t="s">
        <v>421</v>
      </c>
      <c r="D265" t="s">
        <v>68</v>
      </c>
      <c r="E265" t="s">
        <v>461</v>
      </c>
      <c r="F265" t="s">
        <v>753</v>
      </c>
      <c r="G265" t="s">
        <v>855</v>
      </c>
      <c r="H265" t="s">
        <v>1415</v>
      </c>
      <c r="I265" t="s">
        <v>379</v>
      </c>
      <c r="J265" t="s">
        <v>827</v>
      </c>
      <c r="K265" t="s">
        <v>489</v>
      </c>
      <c r="L265" t="s">
        <v>484</v>
      </c>
      <c r="M265" t="s">
        <v>1009</v>
      </c>
      <c r="N265" t="s">
        <v>503</v>
      </c>
      <c r="O265">
        <v>2024</v>
      </c>
    </row>
    <row r="266" spans="1:15" x14ac:dyDescent="0.25">
      <c r="A266" t="s">
        <v>2041</v>
      </c>
      <c r="B266" t="s">
        <v>2064</v>
      </c>
      <c r="C266" t="s">
        <v>421</v>
      </c>
      <c r="D266" t="s">
        <v>375</v>
      </c>
      <c r="E266" t="s">
        <v>461</v>
      </c>
      <c r="F266" t="s">
        <v>753</v>
      </c>
      <c r="G266" t="s">
        <v>743</v>
      </c>
      <c r="H266" t="s">
        <v>2058</v>
      </c>
      <c r="I266" t="s">
        <v>379</v>
      </c>
      <c r="J266" t="s">
        <v>2065</v>
      </c>
      <c r="K266" t="s">
        <v>465</v>
      </c>
      <c r="L266" t="s">
        <v>471</v>
      </c>
      <c r="M266" t="s">
        <v>327</v>
      </c>
      <c r="N266" t="s">
        <v>320</v>
      </c>
      <c r="O266">
        <v>2024</v>
      </c>
    </row>
    <row r="267" spans="1:15" x14ac:dyDescent="0.25">
      <c r="A267" t="s">
        <v>2041</v>
      </c>
      <c r="B267" t="s">
        <v>2066</v>
      </c>
      <c r="C267" t="s">
        <v>387</v>
      </c>
      <c r="D267" t="s">
        <v>375</v>
      </c>
      <c r="E267" t="s">
        <v>461</v>
      </c>
      <c r="F267" t="s">
        <v>753</v>
      </c>
      <c r="G267" t="s">
        <v>1078</v>
      </c>
      <c r="H267" t="s">
        <v>1354</v>
      </c>
      <c r="I267" t="s">
        <v>553</v>
      </c>
      <c r="J267" t="s">
        <v>303</v>
      </c>
      <c r="K267" t="s">
        <v>470</v>
      </c>
      <c r="L267" t="s">
        <v>717</v>
      </c>
      <c r="M267" t="s">
        <v>472</v>
      </c>
      <c r="N267" t="s">
        <v>583</v>
      </c>
      <c r="O267">
        <v>2024</v>
      </c>
    </row>
    <row r="268" spans="1:15" x14ac:dyDescent="0.25">
      <c r="A268" t="s">
        <v>2041</v>
      </c>
      <c r="B268" t="s">
        <v>2067</v>
      </c>
      <c r="C268" t="s">
        <v>387</v>
      </c>
      <c r="D268" t="s">
        <v>68</v>
      </c>
      <c r="E268" t="s">
        <v>461</v>
      </c>
      <c r="F268" t="s">
        <v>580</v>
      </c>
      <c r="G268" t="s">
        <v>1452</v>
      </c>
      <c r="H268" t="s">
        <v>1219</v>
      </c>
      <c r="I268" t="s">
        <v>807</v>
      </c>
      <c r="J268" t="s">
        <v>2068</v>
      </c>
      <c r="K268" t="s">
        <v>1871</v>
      </c>
      <c r="L268" t="s">
        <v>511</v>
      </c>
      <c r="M268" t="s">
        <v>512</v>
      </c>
      <c r="N268" t="s">
        <v>1020</v>
      </c>
      <c r="O268">
        <v>2023</v>
      </c>
    </row>
    <row r="269" spans="1:15" x14ac:dyDescent="0.25">
      <c r="A269" t="s">
        <v>2041</v>
      </c>
      <c r="B269" t="s">
        <v>2069</v>
      </c>
      <c r="C269" t="s">
        <v>421</v>
      </c>
      <c r="D269" t="s">
        <v>162</v>
      </c>
      <c r="E269" t="s">
        <v>307</v>
      </c>
      <c r="F269" t="s">
        <v>475</v>
      </c>
      <c r="G269" t="s">
        <v>1714</v>
      </c>
      <c r="H269" t="s">
        <v>1219</v>
      </c>
      <c r="I269" t="s">
        <v>389</v>
      </c>
      <c r="J269" t="s">
        <v>2070</v>
      </c>
      <c r="K269" t="s">
        <v>967</v>
      </c>
      <c r="L269" t="s">
        <v>617</v>
      </c>
      <c r="M269" t="s">
        <v>988</v>
      </c>
      <c r="N269" t="s">
        <v>699</v>
      </c>
      <c r="O269">
        <v>2023</v>
      </c>
    </row>
    <row r="270" spans="1:15" x14ac:dyDescent="0.25">
      <c r="A270" t="s">
        <v>2041</v>
      </c>
      <c r="B270" t="s">
        <v>2071</v>
      </c>
      <c r="C270" t="s">
        <v>421</v>
      </c>
      <c r="D270" t="s">
        <v>68</v>
      </c>
      <c r="E270" t="s">
        <v>461</v>
      </c>
      <c r="F270" t="s">
        <v>753</v>
      </c>
      <c r="G270" t="s">
        <v>487</v>
      </c>
      <c r="H270" t="s">
        <v>1219</v>
      </c>
      <c r="I270" t="s">
        <v>807</v>
      </c>
      <c r="J270" t="s">
        <v>787</v>
      </c>
      <c r="K270" t="s">
        <v>510</v>
      </c>
      <c r="L270" t="s">
        <v>515</v>
      </c>
      <c r="M270" t="s">
        <v>683</v>
      </c>
      <c r="N270" t="s">
        <v>1621</v>
      </c>
      <c r="O270">
        <v>2023</v>
      </c>
    </row>
    <row r="271" spans="1:15" x14ac:dyDescent="0.25">
      <c r="A271" t="s">
        <v>2041</v>
      </c>
      <c r="B271" t="s">
        <v>2072</v>
      </c>
      <c r="C271" t="s">
        <v>421</v>
      </c>
      <c r="D271" t="s">
        <v>375</v>
      </c>
      <c r="E271" t="s">
        <v>580</v>
      </c>
      <c r="F271" t="s">
        <v>753</v>
      </c>
      <c r="G271" t="s">
        <v>1067</v>
      </c>
      <c r="H271" t="s">
        <v>1219</v>
      </c>
      <c r="I271" t="s">
        <v>807</v>
      </c>
      <c r="J271" t="s">
        <v>325</v>
      </c>
      <c r="K271" t="s">
        <v>494</v>
      </c>
      <c r="L271" t="s">
        <v>466</v>
      </c>
      <c r="M271" t="s">
        <v>481</v>
      </c>
      <c r="N271" t="s">
        <v>482</v>
      </c>
      <c r="O271">
        <v>2024</v>
      </c>
    </row>
    <row r="272" spans="1:15" x14ac:dyDescent="0.25">
      <c r="A272" t="s">
        <v>2041</v>
      </c>
      <c r="B272" t="s">
        <v>2073</v>
      </c>
      <c r="C272" t="s">
        <v>421</v>
      </c>
      <c r="D272" t="s">
        <v>375</v>
      </c>
      <c r="E272" t="s">
        <v>580</v>
      </c>
      <c r="F272" t="s">
        <v>753</v>
      </c>
      <c r="G272" t="s">
        <v>1067</v>
      </c>
      <c r="H272" t="s">
        <v>1219</v>
      </c>
      <c r="I272" t="s">
        <v>807</v>
      </c>
      <c r="J272" t="s">
        <v>1088</v>
      </c>
      <c r="K272" t="s">
        <v>465</v>
      </c>
      <c r="L272" t="s">
        <v>312</v>
      </c>
      <c r="M272" t="s">
        <v>2059</v>
      </c>
      <c r="N272" t="s">
        <v>467</v>
      </c>
      <c r="O272">
        <v>2024</v>
      </c>
    </row>
    <row r="273" spans="1:15" x14ac:dyDescent="0.25">
      <c r="A273" t="s">
        <v>2041</v>
      </c>
      <c r="B273" t="s">
        <v>2074</v>
      </c>
      <c r="C273" t="s">
        <v>496</v>
      </c>
      <c r="D273" t="s">
        <v>68</v>
      </c>
      <c r="E273" t="s">
        <v>461</v>
      </c>
      <c r="F273" t="s">
        <v>753</v>
      </c>
      <c r="G273" t="s">
        <v>2075</v>
      </c>
      <c r="H273" t="s">
        <v>82</v>
      </c>
      <c r="I273" t="s">
        <v>44</v>
      </c>
      <c r="J273" t="s">
        <v>303</v>
      </c>
      <c r="K273" t="s">
        <v>470</v>
      </c>
      <c r="L273" t="s">
        <v>471</v>
      </c>
      <c r="M273" t="s">
        <v>327</v>
      </c>
      <c r="N273" t="s">
        <v>320</v>
      </c>
      <c r="O273">
        <v>2024</v>
      </c>
    </row>
    <row r="274" spans="1:15" x14ac:dyDescent="0.25">
      <c r="A274" t="s">
        <v>2041</v>
      </c>
      <c r="B274" t="s">
        <v>2076</v>
      </c>
      <c r="C274" t="s">
        <v>496</v>
      </c>
      <c r="D274" t="s">
        <v>68</v>
      </c>
      <c r="E274" t="s">
        <v>461</v>
      </c>
      <c r="F274" t="s">
        <v>753</v>
      </c>
      <c r="G274" t="s">
        <v>487</v>
      </c>
      <c r="H274" t="s">
        <v>1219</v>
      </c>
      <c r="I274" t="s">
        <v>807</v>
      </c>
      <c r="J274" t="s">
        <v>2056</v>
      </c>
      <c r="K274" t="s">
        <v>529</v>
      </c>
      <c r="L274" t="s">
        <v>480</v>
      </c>
      <c r="M274" t="s">
        <v>1103</v>
      </c>
      <c r="N274" t="s">
        <v>516</v>
      </c>
      <c r="O274">
        <v>2024</v>
      </c>
    </row>
    <row r="275" spans="1:15" x14ac:dyDescent="0.25">
      <c r="A275" t="s">
        <v>2041</v>
      </c>
      <c r="B275" t="s">
        <v>2077</v>
      </c>
      <c r="C275" t="s">
        <v>496</v>
      </c>
      <c r="D275" t="s">
        <v>375</v>
      </c>
      <c r="E275" t="s">
        <v>461</v>
      </c>
      <c r="F275" t="s">
        <v>753</v>
      </c>
      <c r="G275" t="s">
        <v>855</v>
      </c>
      <c r="H275" t="s">
        <v>1219</v>
      </c>
      <c r="I275" t="s">
        <v>807</v>
      </c>
      <c r="J275" t="s">
        <v>316</v>
      </c>
      <c r="K275" t="s">
        <v>479</v>
      </c>
      <c r="L275" t="s">
        <v>466</v>
      </c>
      <c r="M275" t="s">
        <v>313</v>
      </c>
      <c r="N275" t="s">
        <v>314</v>
      </c>
      <c r="O275">
        <v>2024</v>
      </c>
    </row>
    <row r="276" spans="1:15" x14ac:dyDescent="0.25">
      <c r="A276" t="s">
        <v>2041</v>
      </c>
      <c r="B276" t="s">
        <v>2078</v>
      </c>
      <c r="C276" t="s">
        <v>387</v>
      </c>
      <c r="D276" t="s">
        <v>68</v>
      </c>
      <c r="E276" t="s">
        <v>307</v>
      </c>
      <c r="F276" t="s">
        <v>580</v>
      </c>
      <c r="G276" t="s">
        <v>1452</v>
      </c>
      <c r="H276" t="s">
        <v>1219</v>
      </c>
      <c r="I276" t="s">
        <v>807</v>
      </c>
      <c r="J276" t="s">
        <v>2068</v>
      </c>
      <c r="K276" t="s">
        <v>1871</v>
      </c>
      <c r="L276" t="s">
        <v>511</v>
      </c>
      <c r="M276" t="s">
        <v>512</v>
      </c>
      <c r="N276" t="s">
        <v>1020</v>
      </c>
      <c r="O276">
        <v>2023</v>
      </c>
    </row>
    <row r="277" spans="1:15" x14ac:dyDescent="0.25">
      <c r="A277" t="s">
        <v>2041</v>
      </c>
      <c r="B277" t="s">
        <v>2079</v>
      </c>
      <c r="C277" t="s">
        <v>590</v>
      </c>
      <c r="D277" t="s">
        <v>162</v>
      </c>
      <c r="E277" t="s">
        <v>307</v>
      </c>
      <c r="F277" t="s">
        <v>475</v>
      </c>
      <c r="G277" t="s">
        <v>1714</v>
      </c>
      <c r="H277" t="s">
        <v>1219</v>
      </c>
      <c r="I277" t="s">
        <v>389</v>
      </c>
      <c r="J277" t="s">
        <v>2070</v>
      </c>
      <c r="K277" t="s">
        <v>967</v>
      </c>
      <c r="L277" t="s">
        <v>617</v>
      </c>
      <c r="M277" t="s">
        <v>988</v>
      </c>
      <c r="N277" t="s">
        <v>699</v>
      </c>
      <c r="O277">
        <v>2023</v>
      </c>
    </row>
    <row r="278" spans="1:15" x14ac:dyDescent="0.25">
      <c r="A278" t="s">
        <v>2041</v>
      </c>
      <c r="B278" t="s">
        <v>2080</v>
      </c>
      <c r="C278" t="s">
        <v>590</v>
      </c>
      <c r="D278" t="s">
        <v>162</v>
      </c>
      <c r="E278" t="s">
        <v>307</v>
      </c>
      <c r="F278" t="s">
        <v>475</v>
      </c>
      <c r="G278" t="s">
        <v>1714</v>
      </c>
      <c r="H278" t="s">
        <v>1219</v>
      </c>
      <c r="I278" t="s">
        <v>389</v>
      </c>
      <c r="J278" t="s">
        <v>792</v>
      </c>
      <c r="K278" t="s">
        <v>2081</v>
      </c>
      <c r="L278" t="s">
        <v>617</v>
      </c>
      <c r="M278" t="s">
        <v>988</v>
      </c>
      <c r="N278" t="s">
        <v>699</v>
      </c>
      <c r="O278">
        <v>2023</v>
      </c>
    </row>
    <row r="279" spans="1:15" x14ac:dyDescent="0.25">
      <c r="A279" t="s">
        <v>2041</v>
      </c>
      <c r="B279" t="s">
        <v>2082</v>
      </c>
      <c r="C279" t="s">
        <v>735</v>
      </c>
      <c r="D279" t="s">
        <v>162</v>
      </c>
      <c r="E279" t="s">
        <v>307</v>
      </c>
      <c r="F279" t="s">
        <v>585</v>
      </c>
      <c r="G279" t="s">
        <v>1741</v>
      </c>
      <c r="H279" t="s">
        <v>1375</v>
      </c>
      <c r="I279" t="s">
        <v>1192</v>
      </c>
      <c r="J279" t="s">
        <v>2083</v>
      </c>
      <c r="K279" t="s">
        <v>697</v>
      </c>
      <c r="L279" t="s">
        <v>538</v>
      </c>
      <c r="M279" t="s">
        <v>603</v>
      </c>
      <c r="N279" t="s">
        <v>959</v>
      </c>
      <c r="O279">
        <v>2023</v>
      </c>
    </row>
    <row r="280" spans="1:15" x14ac:dyDescent="0.25">
      <c r="A280" t="s">
        <v>2041</v>
      </c>
      <c r="B280" t="s">
        <v>2084</v>
      </c>
      <c r="C280" t="s">
        <v>518</v>
      </c>
      <c r="D280" t="s">
        <v>68</v>
      </c>
      <c r="E280" t="s">
        <v>307</v>
      </c>
      <c r="F280" t="s">
        <v>580</v>
      </c>
      <c r="G280" t="s">
        <v>1277</v>
      </c>
      <c r="H280" t="s">
        <v>1219</v>
      </c>
      <c r="I280" t="s">
        <v>807</v>
      </c>
      <c r="J280" t="s">
        <v>2085</v>
      </c>
      <c r="K280" t="s">
        <v>529</v>
      </c>
      <c r="L280" t="s">
        <v>501</v>
      </c>
      <c r="M280" t="s">
        <v>1038</v>
      </c>
      <c r="N280" t="s">
        <v>513</v>
      </c>
      <c r="O280">
        <v>2023</v>
      </c>
    </row>
    <row r="281" spans="1:15" x14ac:dyDescent="0.25">
      <c r="A281" t="s">
        <v>2041</v>
      </c>
      <c r="B281" t="s">
        <v>2086</v>
      </c>
      <c r="C281" t="s">
        <v>789</v>
      </c>
      <c r="D281" t="s">
        <v>68</v>
      </c>
      <c r="E281" t="s">
        <v>580</v>
      </c>
      <c r="F281" t="s">
        <v>753</v>
      </c>
      <c r="G281" t="s">
        <v>2087</v>
      </c>
      <c r="H281" t="s">
        <v>1219</v>
      </c>
      <c r="I281" t="s">
        <v>807</v>
      </c>
      <c r="J281" t="s">
        <v>325</v>
      </c>
      <c r="K281" t="s">
        <v>525</v>
      </c>
      <c r="L281" t="s">
        <v>466</v>
      </c>
      <c r="M281" t="s">
        <v>481</v>
      </c>
      <c r="N281" t="s">
        <v>482</v>
      </c>
      <c r="O281">
        <v>2023</v>
      </c>
    </row>
    <row r="282" spans="1:15" x14ac:dyDescent="0.25">
      <c r="A282" t="s">
        <v>2041</v>
      </c>
      <c r="B282" t="s">
        <v>2088</v>
      </c>
      <c r="C282" t="s">
        <v>789</v>
      </c>
      <c r="D282" t="s">
        <v>375</v>
      </c>
      <c r="E282" t="s">
        <v>580</v>
      </c>
      <c r="F282" t="s">
        <v>753</v>
      </c>
      <c r="G282" t="s">
        <v>2087</v>
      </c>
      <c r="H282" t="s">
        <v>1219</v>
      </c>
      <c r="I282" t="s">
        <v>807</v>
      </c>
      <c r="J282" t="s">
        <v>1088</v>
      </c>
      <c r="K282" t="s">
        <v>917</v>
      </c>
      <c r="L282" t="s">
        <v>312</v>
      </c>
      <c r="M282" t="s">
        <v>2059</v>
      </c>
      <c r="N282" t="s">
        <v>467</v>
      </c>
      <c r="O282">
        <v>2023</v>
      </c>
    </row>
    <row r="283" spans="1:15" x14ac:dyDescent="0.25">
      <c r="A283" t="s">
        <v>2041</v>
      </c>
      <c r="B283" t="s">
        <v>2089</v>
      </c>
      <c r="C283" t="s">
        <v>445</v>
      </c>
      <c r="D283" t="s">
        <v>68</v>
      </c>
      <c r="E283" t="s">
        <v>461</v>
      </c>
      <c r="F283" t="s">
        <v>753</v>
      </c>
      <c r="G283" t="s">
        <v>2010</v>
      </c>
      <c r="H283" t="s">
        <v>1219</v>
      </c>
      <c r="I283" t="s">
        <v>858</v>
      </c>
      <c r="J283" t="s">
        <v>1070</v>
      </c>
      <c r="K283" t="s">
        <v>470</v>
      </c>
      <c r="L283" t="s">
        <v>2090</v>
      </c>
      <c r="M283" t="s">
        <v>327</v>
      </c>
      <c r="N283" t="s">
        <v>320</v>
      </c>
      <c r="O283">
        <v>2023</v>
      </c>
    </row>
    <row r="284" spans="1:15" x14ac:dyDescent="0.25">
      <c r="A284" t="s">
        <v>2041</v>
      </c>
      <c r="B284" t="s">
        <v>2091</v>
      </c>
      <c r="C284" t="s">
        <v>421</v>
      </c>
      <c r="D284" t="s">
        <v>18</v>
      </c>
      <c r="E284" t="s">
        <v>307</v>
      </c>
      <c r="F284" t="s">
        <v>475</v>
      </c>
      <c r="G284" t="s">
        <v>1466</v>
      </c>
      <c r="H284" t="s">
        <v>1219</v>
      </c>
      <c r="I284" t="s">
        <v>1192</v>
      </c>
      <c r="J284" t="s">
        <v>2070</v>
      </c>
      <c r="K284" t="s">
        <v>2081</v>
      </c>
      <c r="L284" t="s">
        <v>538</v>
      </c>
      <c r="M284" t="s">
        <v>603</v>
      </c>
      <c r="N284" t="s">
        <v>959</v>
      </c>
      <c r="O284">
        <v>2022</v>
      </c>
    </row>
    <row r="285" spans="1:15" x14ac:dyDescent="0.25">
      <c r="A285" t="s">
        <v>2041</v>
      </c>
      <c r="B285" t="s">
        <v>2092</v>
      </c>
      <c r="C285" t="s">
        <v>1564</v>
      </c>
      <c r="D285" t="s">
        <v>162</v>
      </c>
      <c r="E285" t="s">
        <v>307</v>
      </c>
      <c r="F285" t="s">
        <v>475</v>
      </c>
      <c r="G285" t="s">
        <v>2093</v>
      </c>
      <c r="H285" t="s">
        <v>1375</v>
      </c>
      <c r="I285" t="s">
        <v>1192</v>
      </c>
      <c r="J285" t="s">
        <v>957</v>
      </c>
      <c r="K285" t="s">
        <v>2094</v>
      </c>
      <c r="L285" t="s">
        <v>617</v>
      </c>
      <c r="M285" t="s">
        <v>988</v>
      </c>
      <c r="N285" t="s">
        <v>699</v>
      </c>
      <c r="O285">
        <v>2022</v>
      </c>
    </row>
    <row r="286" spans="1:15" x14ac:dyDescent="0.25">
      <c r="A286" t="s">
        <v>2041</v>
      </c>
      <c r="B286" t="s">
        <v>2095</v>
      </c>
      <c r="C286" t="s">
        <v>590</v>
      </c>
      <c r="D286" t="s">
        <v>68</v>
      </c>
      <c r="E286" t="s">
        <v>307</v>
      </c>
      <c r="F286" t="s">
        <v>580</v>
      </c>
      <c r="G286" t="s">
        <v>1536</v>
      </c>
      <c r="H286" t="s">
        <v>1219</v>
      </c>
      <c r="I286" t="s">
        <v>389</v>
      </c>
      <c r="J286" t="s">
        <v>2096</v>
      </c>
      <c r="K286" t="s">
        <v>537</v>
      </c>
      <c r="L286" t="s">
        <v>511</v>
      </c>
      <c r="M286" t="s">
        <v>512</v>
      </c>
      <c r="N286" t="s">
        <v>1020</v>
      </c>
      <c r="O286">
        <v>2022</v>
      </c>
    </row>
    <row r="287" spans="1:15" x14ac:dyDescent="0.25">
      <c r="A287" t="s">
        <v>2041</v>
      </c>
      <c r="B287" t="s">
        <v>2097</v>
      </c>
      <c r="C287" t="s">
        <v>496</v>
      </c>
      <c r="D287" t="s">
        <v>162</v>
      </c>
      <c r="E287" t="s">
        <v>307</v>
      </c>
      <c r="F287" t="s">
        <v>475</v>
      </c>
      <c r="G287" t="s">
        <v>1983</v>
      </c>
      <c r="H287" t="s">
        <v>1219</v>
      </c>
      <c r="I287" t="s">
        <v>389</v>
      </c>
      <c r="J287" t="s">
        <v>941</v>
      </c>
      <c r="K287" t="s">
        <v>723</v>
      </c>
      <c r="L287" t="s">
        <v>724</v>
      </c>
      <c r="M287" t="s">
        <v>968</v>
      </c>
      <c r="N287" t="s">
        <v>619</v>
      </c>
      <c r="O287">
        <v>2022</v>
      </c>
    </row>
    <row r="288" spans="1:15" x14ac:dyDescent="0.25">
      <c r="A288" t="s">
        <v>2041</v>
      </c>
      <c r="B288" t="s">
        <v>2098</v>
      </c>
      <c r="C288" t="s">
        <v>549</v>
      </c>
      <c r="D288" t="s">
        <v>18</v>
      </c>
      <c r="E288" t="s">
        <v>307</v>
      </c>
      <c r="F288" t="s">
        <v>580</v>
      </c>
      <c r="G288" t="s">
        <v>1466</v>
      </c>
      <c r="H288" t="s">
        <v>1219</v>
      </c>
      <c r="I288" t="s">
        <v>1192</v>
      </c>
      <c r="J288" t="s">
        <v>2083</v>
      </c>
      <c r="K288" t="s">
        <v>537</v>
      </c>
      <c r="L288" t="s">
        <v>511</v>
      </c>
      <c r="M288" t="s">
        <v>512</v>
      </c>
      <c r="N288" t="s">
        <v>1020</v>
      </c>
      <c r="O288">
        <v>2022</v>
      </c>
    </row>
    <row r="289" spans="1:15" x14ac:dyDescent="0.25">
      <c r="A289" t="s">
        <v>2041</v>
      </c>
      <c r="B289" t="s">
        <v>2099</v>
      </c>
      <c r="C289" t="s">
        <v>1564</v>
      </c>
      <c r="D289" t="s">
        <v>162</v>
      </c>
      <c r="E289" t="s">
        <v>307</v>
      </c>
      <c r="F289" t="s">
        <v>475</v>
      </c>
      <c r="G289" t="s">
        <v>1741</v>
      </c>
      <c r="H289" t="s">
        <v>1375</v>
      </c>
      <c r="I289" t="s">
        <v>1192</v>
      </c>
      <c r="J289" t="s">
        <v>1294</v>
      </c>
      <c r="K289" t="s">
        <v>967</v>
      </c>
      <c r="L289" t="s">
        <v>617</v>
      </c>
      <c r="M289" t="s">
        <v>988</v>
      </c>
      <c r="N289" t="s">
        <v>699</v>
      </c>
      <c r="O289">
        <v>2022</v>
      </c>
    </row>
    <row r="290" spans="1:15" x14ac:dyDescent="0.25">
      <c r="A290" t="s">
        <v>2041</v>
      </c>
      <c r="B290" t="s">
        <v>2100</v>
      </c>
      <c r="C290" t="s">
        <v>518</v>
      </c>
      <c r="D290" t="s">
        <v>68</v>
      </c>
      <c r="E290" t="s">
        <v>307</v>
      </c>
      <c r="F290" t="s">
        <v>580</v>
      </c>
      <c r="G290" t="s">
        <v>1033</v>
      </c>
      <c r="H290" t="s">
        <v>1219</v>
      </c>
      <c r="I290" t="s">
        <v>807</v>
      </c>
      <c r="J290" t="s">
        <v>931</v>
      </c>
      <c r="K290" t="s">
        <v>510</v>
      </c>
      <c r="L290" t="s">
        <v>515</v>
      </c>
      <c r="M290" t="s">
        <v>932</v>
      </c>
      <c r="N290" t="s">
        <v>596</v>
      </c>
      <c r="O290">
        <v>2022</v>
      </c>
    </row>
    <row r="291" spans="1:15" x14ac:dyDescent="0.25">
      <c r="A291" t="s">
        <v>2041</v>
      </c>
      <c r="B291" t="s">
        <v>2101</v>
      </c>
      <c r="C291" t="s">
        <v>180</v>
      </c>
      <c r="D291" t="s">
        <v>18</v>
      </c>
      <c r="E291" t="s">
        <v>307</v>
      </c>
      <c r="F291" t="s">
        <v>580</v>
      </c>
      <c r="G291" t="s">
        <v>1277</v>
      </c>
      <c r="H291" t="s">
        <v>1219</v>
      </c>
      <c r="I291" t="s">
        <v>389</v>
      </c>
      <c r="J291" t="s">
        <v>1884</v>
      </c>
      <c r="K291" t="s">
        <v>689</v>
      </c>
      <c r="L291" t="s">
        <v>501</v>
      </c>
      <c r="M291" t="s">
        <v>1038</v>
      </c>
      <c r="N291" t="s">
        <v>513</v>
      </c>
      <c r="O291">
        <v>2022</v>
      </c>
    </row>
    <row r="292" spans="1:15" x14ac:dyDescent="0.25">
      <c r="A292" t="s">
        <v>2041</v>
      </c>
      <c r="B292" t="s">
        <v>2102</v>
      </c>
      <c r="C292" t="s">
        <v>421</v>
      </c>
      <c r="D292" t="s">
        <v>162</v>
      </c>
      <c r="E292" t="s">
        <v>307</v>
      </c>
      <c r="F292" t="s">
        <v>475</v>
      </c>
      <c r="G292" t="s">
        <v>1673</v>
      </c>
      <c r="H292" t="s">
        <v>1219</v>
      </c>
      <c r="I292" t="s">
        <v>389</v>
      </c>
      <c r="J292" t="s">
        <v>1300</v>
      </c>
      <c r="K292" t="s">
        <v>1885</v>
      </c>
      <c r="L292" t="s">
        <v>724</v>
      </c>
      <c r="M292" t="s">
        <v>968</v>
      </c>
      <c r="N292" t="s">
        <v>619</v>
      </c>
      <c r="O292">
        <v>2022</v>
      </c>
    </row>
    <row r="293" spans="1:15" x14ac:dyDescent="0.25">
      <c r="A293" t="s">
        <v>2041</v>
      </c>
      <c r="B293" t="s">
        <v>2103</v>
      </c>
      <c r="C293" t="s">
        <v>735</v>
      </c>
      <c r="D293" t="s">
        <v>162</v>
      </c>
      <c r="E293" t="s">
        <v>307</v>
      </c>
      <c r="F293" t="s">
        <v>20</v>
      </c>
      <c r="G293" t="s">
        <v>2104</v>
      </c>
      <c r="H293" t="s">
        <v>1219</v>
      </c>
      <c r="I293" t="s">
        <v>1192</v>
      </c>
      <c r="J293" t="s">
        <v>1297</v>
      </c>
      <c r="K293" t="s">
        <v>2094</v>
      </c>
      <c r="L293" t="s">
        <v>617</v>
      </c>
      <c r="M293" t="s">
        <v>698</v>
      </c>
      <c r="N293" t="s">
        <v>942</v>
      </c>
      <c r="O293">
        <v>2021</v>
      </c>
    </row>
    <row r="294" spans="1:15" x14ac:dyDescent="0.25">
      <c r="A294" t="s">
        <v>2041</v>
      </c>
      <c r="B294" t="s">
        <v>2105</v>
      </c>
      <c r="C294" t="s">
        <v>2106</v>
      </c>
      <c r="D294" t="s">
        <v>18</v>
      </c>
      <c r="E294" t="s">
        <v>307</v>
      </c>
      <c r="F294" t="s">
        <v>20</v>
      </c>
      <c r="G294" t="s">
        <v>1466</v>
      </c>
      <c r="H294" t="s">
        <v>1375</v>
      </c>
      <c r="I294" t="s">
        <v>1192</v>
      </c>
      <c r="J294" t="s">
        <v>1294</v>
      </c>
      <c r="K294" t="s">
        <v>697</v>
      </c>
      <c r="L294" t="s">
        <v>538</v>
      </c>
      <c r="M294" t="s">
        <v>610</v>
      </c>
      <c r="N294" t="s">
        <v>699</v>
      </c>
      <c r="O294">
        <v>2021</v>
      </c>
    </row>
    <row r="295" spans="1:15" x14ac:dyDescent="0.25">
      <c r="A295" t="s">
        <v>2041</v>
      </c>
      <c r="B295" t="s">
        <v>2107</v>
      </c>
      <c r="C295" t="s">
        <v>2106</v>
      </c>
      <c r="D295" t="s">
        <v>18</v>
      </c>
      <c r="E295" t="s">
        <v>307</v>
      </c>
      <c r="F295" t="s">
        <v>20</v>
      </c>
      <c r="G295" t="s">
        <v>1466</v>
      </c>
      <c r="H295" t="s">
        <v>1375</v>
      </c>
      <c r="I295" t="s">
        <v>1192</v>
      </c>
      <c r="J295" t="s">
        <v>1093</v>
      </c>
      <c r="K295" t="s">
        <v>1871</v>
      </c>
      <c r="L295" t="s">
        <v>511</v>
      </c>
      <c r="M295" t="s">
        <v>603</v>
      </c>
      <c r="N295" t="s">
        <v>959</v>
      </c>
      <c r="O295">
        <v>2021</v>
      </c>
    </row>
    <row r="296" spans="1:15" x14ac:dyDescent="0.25">
      <c r="A296" t="s">
        <v>2041</v>
      </c>
      <c r="B296" t="s">
        <v>2108</v>
      </c>
      <c r="C296" t="s">
        <v>421</v>
      </c>
      <c r="D296" t="s">
        <v>256</v>
      </c>
      <c r="E296" t="s">
        <v>307</v>
      </c>
      <c r="F296" t="s">
        <v>475</v>
      </c>
      <c r="G296" t="s">
        <v>2109</v>
      </c>
      <c r="H296" t="s">
        <v>1219</v>
      </c>
      <c r="I296" t="s">
        <v>389</v>
      </c>
      <c r="J296" t="s">
        <v>966</v>
      </c>
      <c r="K296" t="s">
        <v>2110</v>
      </c>
      <c r="L296" t="s">
        <v>2111</v>
      </c>
      <c r="M296" t="s">
        <v>2112</v>
      </c>
      <c r="N296" t="s">
        <v>732</v>
      </c>
      <c r="O296">
        <v>2020</v>
      </c>
    </row>
    <row r="297" spans="1:15" x14ac:dyDescent="0.25">
      <c r="A297" t="s">
        <v>2041</v>
      </c>
      <c r="B297" t="s">
        <v>2113</v>
      </c>
      <c r="C297" t="s">
        <v>1202</v>
      </c>
      <c r="D297" t="s">
        <v>162</v>
      </c>
      <c r="E297" t="s">
        <v>307</v>
      </c>
      <c r="F297" t="s">
        <v>475</v>
      </c>
      <c r="G297" t="s">
        <v>1673</v>
      </c>
      <c r="H297" t="s">
        <v>1375</v>
      </c>
      <c r="I297" t="s">
        <v>1192</v>
      </c>
      <c r="J297" t="s">
        <v>941</v>
      </c>
      <c r="K297" t="s">
        <v>1885</v>
      </c>
      <c r="L297" t="s">
        <v>724</v>
      </c>
      <c r="M297" t="s">
        <v>968</v>
      </c>
      <c r="N297" t="s">
        <v>619</v>
      </c>
      <c r="O297">
        <v>2021</v>
      </c>
    </row>
    <row r="298" spans="1:15" x14ac:dyDescent="0.25">
      <c r="A298" t="s">
        <v>2041</v>
      </c>
      <c r="B298" t="s">
        <v>2114</v>
      </c>
      <c r="C298" t="s">
        <v>980</v>
      </c>
      <c r="D298" t="s">
        <v>162</v>
      </c>
      <c r="E298" t="s">
        <v>307</v>
      </c>
      <c r="F298" t="s">
        <v>475</v>
      </c>
      <c r="G298" t="s">
        <v>2104</v>
      </c>
      <c r="H298" t="s">
        <v>1415</v>
      </c>
      <c r="I298" t="s">
        <v>389</v>
      </c>
      <c r="J298" t="s">
        <v>957</v>
      </c>
      <c r="K298" t="s">
        <v>967</v>
      </c>
      <c r="L298" t="s">
        <v>617</v>
      </c>
      <c r="M298" t="s">
        <v>988</v>
      </c>
      <c r="N298" t="s">
        <v>699</v>
      </c>
      <c r="O298">
        <v>2021</v>
      </c>
    </row>
    <row r="299" spans="1:15" x14ac:dyDescent="0.25">
      <c r="A299" t="s">
        <v>2041</v>
      </c>
      <c r="B299" t="s">
        <v>2115</v>
      </c>
      <c r="C299" t="s">
        <v>1564</v>
      </c>
      <c r="D299" t="s">
        <v>162</v>
      </c>
      <c r="E299" t="s">
        <v>307</v>
      </c>
      <c r="F299" t="s">
        <v>475</v>
      </c>
      <c r="G299" t="s">
        <v>2116</v>
      </c>
      <c r="H299" t="s">
        <v>1375</v>
      </c>
      <c r="I299" t="s">
        <v>1192</v>
      </c>
      <c r="J299" t="s">
        <v>1294</v>
      </c>
      <c r="K299" t="s">
        <v>2081</v>
      </c>
      <c r="L299" t="s">
        <v>538</v>
      </c>
      <c r="M299" t="s">
        <v>610</v>
      </c>
      <c r="N299" t="s">
        <v>959</v>
      </c>
      <c r="O299">
        <v>2021</v>
      </c>
    </row>
    <row r="300" spans="1:15" x14ac:dyDescent="0.25">
      <c r="A300" t="s">
        <v>2041</v>
      </c>
      <c r="B300" t="s">
        <v>2117</v>
      </c>
      <c r="C300" t="s">
        <v>735</v>
      </c>
      <c r="D300" t="s">
        <v>18</v>
      </c>
      <c r="E300" t="s">
        <v>307</v>
      </c>
      <c r="F300" t="s">
        <v>580</v>
      </c>
      <c r="G300" t="s">
        <v>1452</v>
      </c>
      <c r="H300" t="s">
        <v>1219</v>
      </c>
      <c r="I300" t="s">
        <v>807</v>
      </c>
      <c r="J300" t="s">
        <v>971</v>
      </c>
      <c r="K300" t="s">
        <v>537</v>
      </c>
      <c r="L300" t="s">
        <v>541</v>
      </c>
      <c r="M300" t="s">
        <v>1283</v>
      </c>
      <c r="N300" t="s">
        <v>604</v>
      </c>
      <c r="O300">
        <v>2021</v>
      </c>
    </row>
    <row r="301" spans="1:15" x14ac:dyDescent="0.25">
      <c r="A301" t="s">
        <v>2041</v>
      </c>
      <c r="B301" t="s">
        <v>2118</v>
      </c>
      <c r="C301" t="s">
        <v>421</v>
      </c>
      <c r="D301" t="s">
        <v>613</v>
      </c>
      <c r="E301" t="s">
        <v>508</v>
      </c>
      <c r="F301" t="s">
        <v>307</v>
      </c>
      <c r="G301" t="s">
        <v>2119</v>
      </c>
      <c r="H301" t="s">
        <v>1219</v>
      </c>
      <c r="I301" t="s">
        <v>23</v>
      </c>
      <c r="J301" t="s">
        <v>2120</v>
      </c>
      <c r="K301" t="s">
        <v>2121</v>
      </c>
      <c r="L301" t="s">
        <v>2122</v>
      </c>
      <c r="M301" t="s">
        <v>2123</v>
      </c>
      <c r="N301" t="s">
        <v>2124</v>
      </c>
      <c r="O301">
        <v>2020</v>
      </c>
    </row>
    <row r="302" spans="1:15" x14ac:dyDescent="0.25">
      <c r="A302" t="s">
        <v>2041</v>
      </c>
      <c r="B302" t="s">
        <v>2125</v>
      </c>
      <c r="C302" t="s">
        <v>851</v>
      </c>
      <c r="D302" t="s">
        <v>18</v>
      </c>
      <c r="E302" t="s">
        <v>307</v>
      </c>
      <c r="F302" t="s">
        <v>20</v>
      </c>
      <c r="G302" t="s">
        <v>1037</v>
      </c>
      <c r="H302" t="s">
        <v>1415</v>
      </c>
      <c r="I302" t="s">
        <v>807</v>
      </c>
      <c r="J302" t="s">
        <v>792</v>
      </c>
      <c r="K302" t="s">
        <v>537</v>
      </c>
      <c r="L302" t="s">
        <v>511</v>
      </c>
      <c r="M302" t="s">
        <v>512</v>
      </c>
      <c r="N302" t="s">
        <v>1020</v>
      </c>
      <c r="O302">
        <v>2020</v>
      </c>
    </row>
    <row r="303" spans="1:15" x14ac:dyDescent="0.25">
      <c r="A303" t="s">
        <v>2041</v>
      </c>
      <c r="B303" t="s">
        <v>2108</v>
      </c>
      <c r="C303" t="s">
        <v>421</v>
      </c>
      <c r="D303" t="s">
        <v>256</v>
      </c>
      <c r="E303" t="s">
        <v>307</v>
      </c>
      <c r="F303" t="s">
        <v>475</v>
      </c>
      <c r="G303" t="s">
        <v>2109</v>
      </c>
      <c r="H303" t="s">
        <v>1219</v>
      </c>
      <c r="I303" t="s">
        <v>389</v>
      </c>
      <c r="J303" t="s">
        <v>966</v>
      </c>
      <c r="K303" t="s">
        <v>2110</v>
      </c>
      <c r="L303" t="s">
        <v>2111</v>
      </c>
      <c r="M303" t="s">
        <v>2112</v>
      </c>
      <c r="N303" t="s">
        <v>732</v>
      </c>
      <c r="O303">
        <v>2020</v>
      </c>
    </row>
    <row r="304" spans="1:15" x14ac:dyDescent="0.25">
      <c r="A304" t="s">
        <v>2041</v>
      </c>
      <c r="B304" t="s">
        <v>2126</v>
      </c>
      <c r="C304" t="s">
        <v>851</v>
      </c>
      <c r="D304" t="s">
        <v>18</v>
      </c>
      <c r="E304" t="s">
        <v>585</v>
      </c>
      <c r="F304" t="s">
        <v>907</v>
      </c>
      <c r="G304" t="s">
        <v>1037</v>
      </c>
      <c r="H304" t="s">
        <v>1415</v>
      </c>
      <c r="I304" t="s">
        <v>2127</v>
      </c>
      <c r="J304" t="s">
        <v>931</v>
      </c>
      <c r="K304" t="s">
        <v>540</v>
      </c>
      <c r="L304" t="s">
        <v>501</v>
      </c>
      <c r="M304" t="s">
        <v>683</v>
      </c>
      <c r="N304" t="s">
        <v>513</v>
      </c>
      <c r="O304">
        <v>2020</v>
      </c>
    </row>
    <row r="305" spans="1:15" x14ac:dyDescent="0.25">
      <c r="A305" t="s">
        <v>2041</v>
      </c>
      <c r="B305" t="s">
        <v>2128</v>
      </c>
      <c r="C305" t="s">
        <v>851</v>
      </c>
      <c r="D305" t="s">
        <v>68</v>
      </c>
      <c r="E305" t="s">
        <v>585</v>
      </c>
      <c r="F305" t="s">
        <v>20</v>
      </c>
      <c r="G305" t="s">
        <v>2129</v>
      </c>
      <c r="H305" t="s">
        <v>82</v>
      </c>
      <c r="I305" t="s">
        <v>2130</v>
      </c>
      <c r="J305" t="s">
        <v>787</v>
      </c>
      <c r="K305" t="s">
        <v>529</v>
      </c>
      <c r="L305" t="s">
        <v>490</v>
      </c>
      <c r="M305" t="s">
        <v>502</v>
      </c>
      <c r="N305" t="s">
        <v>516</v>
      </c>
      <c r="O305">
        <v>2020</v>
      </c>
    </row>
    <row r="306" spans="1:15" x14ac:dyDescent="0.25">
      <c r="A306" t="s">
        <v>2041</v>
      </c>
      <c r="B306" t="s">
        <v>2131</v>
      </c>
      <c r="C306" t="s">
        <v>180</v>
      </c>
      <c r="D306" t="s">
        <v>162</v>
      </c>
      <c r="E306" t="s">
        <v>307</v>
      </c>
      <c r="F306" t="s">
        <v>585</v>
      </c>
      <c r="G306" t="s">
        <v>2104</v>
      </c>
      <c r="H306" t="s">
        <v>1415</v>
      </c>
      <c r="I306" t="s">
        <v>807</v>
      </c>
      <c r="J306" t="s">
        <v>957</v>
      </c>
      <c r="K306" t="s">
        <v>967</v>
      </c>
      <c r="L306" t="s">
        <v>617</v>
      </c>
      <c r="M306" t="s">
        <v>988</v>
      </c>
      <c r="N306" t="s">
        <v>699</v>
      </c>
      <c r="O306">
        <v>2020</v>
      </c>
    </row>
    <row r="307" spans="1:15" x14ac:dyDescent="0.25">
      <c r="A307" t="s">
        <v>2041</v>
      </c>
      <c r="B307" t="s">
        <v>2132</v>
      </c>
      <c r="C307" t="s">
        <v>735</v>
      </c>
      <c r="D307" t="s">
        <v>68</v>
      </c>
      <c r="E307" t="s">
        <v>20</v>
      </c>
      <c r="F307" t="s">
        <v>907</v>
      </c>
      <c r="G307" t="s">
        <v>2129</v>
      </c>
      <c r="H307" t="s">
        <v>82</v>
      </c>
      <c r="I307" t="s">
        <v>2130</v>
      </c>
      <c r="J307" t="s">
        <v>994</v>
      </c>
      <c r="K307" t="s">
        <v>489</v>
      </c>
      <c r="L307" t="s">
        <v>480</v>
      </c>
      <c r="M307" t="s">
        <v>1103</v>
      </c>
      <c r="N307" t="s">
        <v>503</v>
      </c>
      <c r="O307">
        <v>2020</v>
      </c>
    </row>
    <row r="308" spans="1:15" x14ac:dyDescent="0.25">
      <c r="A308" t="s">
        <v>2041</v>
      </c>
      <c r="B308" t="s">
        <v>2133</v>
      </c>
      <c r="C308" t="s">
        <v>421</v>
      </c>
      <c r="D308" t="s">
        <v>256</v>
      </c>
      <c r="E308" t="s">
        <v>307</v>
      </c>
      <c r="F308" t="s">
        <v>475</v>
      </c>
      <c r="G308" t="s">
        <v>2119</v>
      </c>
      <c r="H308" t="s">
        <v>1219</v>
      </c>
      <c r="I308" t="s">
        <v>389</v>
      </c>
      <c r="J308" t="s">
        <v>986</v>
      </c>
      <c r="K308" t="s">
        <v>1627</v>
      </c>
      <c r="L308" t="s">
        <v>1989</v>
      </c>
      <c r="M308" t="s">
        <v>731</v>
      </c>
      <c r="N308" t="s">
        <v>2001</v>
      </c>
      <c r="O308">
        <v>2020</v>
      </c>
    </row>
    <row r="309" spans="1:15" x14ac:dyDescent="0.25">
      <c r="A309" t="s">
        <v>1112</v>
      </c>
      <c r="B309" t="s">
        <v>1094</v>
      </c>
      <c r="C309" t="s">
        <v>1113</v>
      </c>
      <c r="D309" t="s">
        <v>18</v>
      </c>
      <c r="E309" t="s">
        <v>307</v>
      </c>
      <c r="F309" t="s">
        <v>475</v>
      </c>
      <c r="G309" t="s">
        <v>804</v>
      </c>
      <c r="H309" t="s">
        <v>1095</v>
      </c>
      <c r="I309" t="s">
        <v>338</v>
      </c>
      <c r="J309" t="s">
        <v>325</v>
      </c>
      <c r="K309" t="s">
        <v>862</v>
      </c>
      <c r="L309" t="s">
        <v>318</v>
      </c>
      <c r="M309" t="s">
        <v>481</v>
      </c>
      <c r="N309" t="s">
        <v>482</v>
      </c>
      <c r="O309">
        <v>2023</v>
      </c>
    </row>
    <row r="310" spans="1:15" x14ac:dyDescent="0.25">
      <c r="A310" t="s">
        <v>1112</v>
      </c>
      <c r="B310" t="s">
        <v>1096</v>
      </c>
      <c r="C310" t="s">
        <v>1114</v>
      </c>
      <c r="D310" t="s">
        <v>68</v>
      </c>
      <c r="E310" t="s">
        <v>307</v>
      </c>
      <c r="F310" t="s">
        <v>580</v>
      </c>
      <c r="G310" t="s">
        <v>639</v>
      </c>
      <c r="H310" t="s">
        <v>1095</v>
      </c>
      <c r="I310" t="s">
        <v>1108</v>
      </c>
      <c r="J310" t="s">
        <v>297</v>
      </c>
      <c r="K310" t="s">
        <v>1115</v>
      </c>
      <c r="L310" t="s">
        <v>326</v>
      </c>
      <c r="M310" t="s">
        <v>327</v>
      </c>
      <c r="N310" t="s">
        <v>320</v>
      </c>
      <c r="O310">
        <v>2024</v>
      </c>
    </row>
    <row r="311" spans="1:15" x14ac:dyDescent="0.25">
      <c r="A311" t="s">
        <v>1112</v>
      </c>
      <c r="B311" t="s">
        <v>1116</v>
      </c>
      <c r="C311" t="s">
        <v>1117</v>
      </c>
      <c r="D311" t="s">
        <v>68</v>
      </c>
      <c r="E311" t="s">
        <v>307</v>
      </c>
      <c r="F311" t="s">
        <v>580</v>
      </c>
      <c r="G311" t="s">
        <v>451</v>
      </c>
      <c r="H311" t="s">
        <v>1095</v>
      </c>
      <c r="I311" t="s">
        <v>1108</v>
      </c>
      <c r="J311" t="s">
        <v>303</v>
      </c>
      <c r="K311" t="s">
        <v>665</v>
      </c>
      <c r="L311" t="s">
        <v>856</v>
      </c>
      <c r="M311" t="s">
        <v>472</v>
      </c>
      <c r="N311" t="s">
        <v>583</v>
      </c>
      <c r="O311">
        <v>2024</v>
      </c>
    </row>
    <row r="312" spans="1:15" x14ac:dyDescent="0.25">
      <c r="A312" t="s">
        <v>1614</v>
      </c>
      <c r="B312" t="s">
        <v>1615</v>
      </c>
      <c r="C312" t="s">
        <v>1564</v>
      </c>
      <c r="D312" t="s">
        <v>68</v>
      </c>
      <c r="E312" t="s">
        <v>585</v>
      </c>
      <c r="F312" t="s">
        <v>580</v>
      </c>
      <c r="G312" t="s">
        <v>767</v>
      </c>
      <c r="H312" t="s">
        <v>1307</v>
      </c>
      <c r="I312" t="s">
        <v>858</v>
      </c>
      <c r="J312" t="s">
        <v>796</v>
      </c>
      <c r="K312" t="s">
        <v>665</v>
      </c>
      <c r="L312" t="s">
        <v>299</v>
      </c>
      <c r="M312" t="s">
        <v>331</v>
      </c>
      <c r="N312" t="s">
        <v>718</v>
      </c>
      <c r="O312">
        <v>2022</v>
      </c>
    </row>
    <row r="313" spans="1:15" x14ac:dyDescent="0.25">
      <c r="A313" t="s">
        <v>1614</v>
      </c>
      <c r="B313" t="s">
        <v>1616</v>
      </c>
      <c r="C313" t="s">
        <v>1564</v>
      </c>
      <c r="D313" t="s">
        <v>375</v>
      </c>
      <c r="E313" t="s">
        <v>585</v>
      </c>
      <c r="F313" t="s">
        <v>580</v>
      </c>
      <c r="G313" t="s">
        <v>767</v>
      </c>
      <c r="H313" t="s">
        <v>1307</v>
      </c>
      <c r="I313" t="s">
        <v>858</v>
      </c>
      <c r="J313" t="s">
        <v>227</v>
      </c>
      <c r="K313" t="s">
        <v>704</v>
      </c>
      <c r="L313" t="s">
        <v>304</v>
      </c>
      <c r="M313" t="s">
        <v>666</v>
      </c>
      <c r="N313" t="s">
        <v>301</v>
      </c>
      <c r="O313">
        <v>2022</v>
      </c>
    </row>
    <row r="314" spans="1:15" x14ac:dyDescent="0.25">
      <c r="A314" t="s">
        <v>1614</v>
      </c>
      <c r="B314" t="s">
        <v>1617</v>
      </c>
      <c r="C314" t="s">
        <v>1564</v>
      </c>
      <c r="D314" t="s">
        <v>759</v>
      </c>
      <c r="E314" t="s">
        <v>585</v>
      </c>
      <c r="F314" t="s">
        <v>580</v>
      </c>
      <c r="G314" t="s">
        <v>767</v>
      </c>
      <c r="H314" t="s">
        <v>1307</v>
      </c>
      <c r="I314" t="s">
        <v>858</v>
      </c>
      <c r="J314" t="s">
        <v>233</v>
      </c>
      <c r="K314" t="s">
        <v>577</v>
      </c>
      <c r="L314" t="s">
        <v>772</v>
      </c>
      <c r="M314" t="s">
        <v>300</v>
      </c>
      <c r="N314" t="s">
        <v>777</v>
      </c>
      <c r="O314">
        <v>2022</v>
      </c>
    </row>
    <row r="315" spans="1:15" x14ac:dyDescent="0.25">
      <c r="A315" t="s">
        <v>1614</v>
      </c>
      <c r="B315" t="s">
        <v>1618</v>
      </c>
      <c r="C315" t="s">
        <v>549</v>
      </c>
      <c r="D315" t="s">
        <v>162</v>
      </c>
      <c r="E315" t="s">
        <v>307</v>
      </c>
      <c r="F315" t="s">
        <v>20</v>
      </c>
      <c r="G315" t="s">
        <v>1619</v>
      </c>
      <c r="H315" t="s">
        <v>1219</v>
      </c>
      <c r="I315" t="s">
        <v>248</v>
      </c>
      <c r="J315" t="s">
        <v>792</v>
      </c>
      <c r="K315" t="s">
        <v>967</v>
      </c>
      <c r="L315" t="s">
        <v>541</v>
      </c>
      <c r="M315" t="s">
        <v>512</v>
      </c>
      <c r="N315" t="s">
        <v>1020</v>
      </c>
      <c r="O315">
        <v>2022</v>
      </c>
    </row>
    <row r="316" spans="1:15" x14ac:dyDescent="0.25">
      <c r="A316" t="s">
        <v>1614</v>
      </c>
      <c r="B316" t="s">
        <v>1620</v>
      </c>
      <c r="C316" t="s">
        <v>549</v>
      </c>
      <c r="D316" t="s">
        <v>18</v>
      </c>
      <c r="E316" t="s">
        <v>307</v>
      </c>
      <c r="F316" t="s">
        <v>20</v>
      </c>
      <c r="G316" t="s">
        <v>1619</v>
      </c>
      <c r="H316" t="s">
        <v>1219</v>
      </c>
      <c r="I316" t="s">
        <v>248</v>
      </c>
      <c r="J316" t="s">
        <v>931</v>
      </c>
      <c r="K316" t="s">
        <v>537</v>
      </c>
      <c r="L316" t="s">
        <v>501</v>
      </c>
      <c r="M316" t="s">
        <v>683</v>
      </c>
      <c r="N316" t="s">
        <v>1621</v>
      </c>
      <c r="O316">
        <v>2022</v>
      </c>
    </row>
    <row r="317" spans="1:15" x14ac:dyDescent="0.25">
      <c r="A317" t="s">
        <v>1614</v>
      </c>
      <c r="B317" t="s">
        <v>1622</v>
      </c>
      <c r="C317" t="s">
        <v>764</v>
      </c>
      <c r="D317" t="s">
        <v>18</v>
      </c>
      <c r="E317" t="s">
        <v>585</v>
      </c>
      <c r="F317" t="s">
        <v>907</v>
      </c>
      <c r="G317" t="s">
        <v>1623</v>
      </c>
      <c r="H317" t="s">
        <v>1219</v>
      </c>
      <c r="I317" t="s">
        <v>379</v>
      </c>
      <c r="J317" t="s">
        <v>787</v>
      </c>
      <c r="K317" t="s">
        <v>510</v>
      </c>
      <c r="L317" t="s">
        <v>506</v>
      </c>
      <c r="M317" t="s">
        <v>502</v>
      </c>
      <c r="N317" t="s">
        <v>1624</v>
      </c>
      <c r="O317">
        <v>2021</v>
      </c>
    </row>
    <row r="318" spans="1:15" x14ac:dyDescent="0.25">
      <c r="A318" t="s">
        <v>1614</v>
      </c>
      <c r="B318" t="s">
        <v>1625</v>
      </c>
      <c r="C318" t="s">
        <v>496</v>
      </c>
      <c r="D318" t="s">
        <v>613</v>
      </c>
      <c r="E318" t="s">
        <v>508</v>
      </c>
      <c r="F318" t="s">
        <v>475</v>
      </c>
      <c r="G318" t="s">
        <v>1626</v>
      </c>
      <c r="H318" t="s">
        <v>1219</v>
      </c>
      <c r="I318" t="s">
        <v>791</v>
      </c>
      <c r="J318" t="s">
        <v>966</v>
      </c>
      <c r="K318" t="s">
        <v>1627</v>
      </c>
      <c r="L318" t="s">
        <v>617</v>
      </c>
      <c r="M318" t="s">
        <v>698</v>
      </c>
      <c r="N318" t="s">
        <v>942</v>
      </c>
      <c r="O318">
        <v>2021</v>
      </c>
    </row>
    <row r="319" spans="1:15" x14ac:dyDescent="0.25">
      <c r="A319" t="s">
        <v>1614</v>
      </c>
      <c r="B319" t="s">
        <v>1628</v>
      </c>
      <c r="C319" t="s">
        <v>764</v>
      </c>
      <c r="D319" t="s">
        <v>162</v>
      </c>
      <c r="E319" t="s">
        <v>307</v>
      </c>
      <c r="F319" t="s">
        <v>20</v>
      </c>
      <c r="G319" t="s">
        <v>1629</v>
      </c>
      <c r="H319" t="s">
        <v>1219</v>
      </c>
      <c r="I319" t="s">
        <v>248</v>
      </c>
      <c r="J319" t="s">
        <v>792</v>
      </c>
      <c r="K319" t="s">
        <v>697</v>
      </c>
      <c r="L319" t="s">
        <v>541</v>
      </c>
      <c r="M319" t="s">
        <v>512</v>
      </c>
      <c r="N319" t="s">
        <v>1020</v>
      </c>
      <c r="O319">
        <v>2021</v>
      </c>
    </row>
    <row r="320" spans="1:15" x14ac:dyDescent="0.25">
      <c r="A320" t="s">
        <v>1614</v>
      </c>
      <c r="B320" t="s">
        <v>1630</v>
      </c>
      <c r="C320" t="s">
        <v>131</v>
      </c>
      <c r="D320" t="s">
        <v>162</v>
      </c>
      <c r="E320" t="s">
        <v>585</v>
      </c>
      <c r="F320" t="s">
        <v>475</v>
      </c>
      <c r="G320" t="s">
        <v>1631</v>
      </c>
      <c r="H320" t="s">
        <v>1632</v>
      </c>
      <c r="I320" t="s">
        <v>940</v>
      </c>
      <c r="J320" t="s">
        <v>957</v>
      </c>
      <c r="K320" t="s">
        <v>967</v>
      </c>
      <c r="L320" t="s">
        <v>511</v>
      </c>
      <c r="M320" t="s">
        <v>603</v>
      </c>
      <c r="N320" t="s">
        <v>604</v>
      </c>
      <c r="O320">
        <v>2019</v>
      </c>
    </row>
    <row r="321" spans="1:15" x14ac:dyDescent="0.25">
      <c r="A321" t="s">
        <v>1614</v>
      </c>
      <c r="B321" t="s">
        <v>1633</v>
      </c>
      <c r="C321" t="s">
        <v>131</v>
      </c>
      <c r="D321" t="s">
        <v>256</v>
      </c>
      <c r="E321" t="s">
        <v>508</v>
      </c>
      <c r="F321" t="s">
        <v>475</v>
      </c>
      <c r="G321" t="s">
        <v>1634</v>
      </c>
      <c r="H321" t="s">
        <v>1259</v>
      </c>
      <c r="I321" t="s">
        <v>1635</v>
      </c>
      <c r="J321" t="s">
        <v>966</v>
      </c>
      <c r="K321" t="s">
        <v>723</v>
      </c>
      <c r="L321" t="s">
        <v>617</v>
      </c>
      <c r="M321" t="s">
        <v>698</v>
      </c>
      <c r="N321" t="s">
        <v>942</v>
      </c>
      <c r="O321">
        <v>2019</v>
      </c>
    </row>
    <row r="322" spans="1:15" x14ac:dyDescent="0.25">
      <c r="A322" t="s">
        <v>1614</v>
      </c>
      <c r="B322" t="s">
        <v>1636</v>
      </c>
      <c r="C322" t="s">
        <v>208</v>
      </c>
      <c r="D322" t="s">
        <v>162</v>
      </c>
      <c r="E322" t="s">
        <v>585</v>
      </c>
      <c r="F322" t="s">
        <v>585</v>
      </c>
      <c r="G322" t="s">
        <v>924</v>
      </c>
      <c r="H322" t="s">
        <v>1632</v>
      </c>
      <c r="I322" t="s">
        <v>572</v>
      </c>
      <c r="J322" t="s">
        <v>792</v>
      </c>
      <c r="K322" t="s">
        <v>958</v>
      </c>
      <c r="L322" t="s">
        <v>501</v>
      </c>
      <c r="M322" t="s">
        <v>932</v>
      </c>
      <c r="N322" t="s">
        <v>596</v>
      </c>
      <c r="O322">
        <v>2019</v>
      </c>
    </row>
    <row r="323" spans="1:15" x14ac:dyDescent="0.25">
      <c r="A323" t="s">
        <v>1614</v>
      </c>
      <c r="B323" t="s">
        <v>1637</v>
      </c>
      <c r="C323" t="s">
        <v>208</v>
      </c>
      <c r="D323" t="s">
        <v>18</v>
      </c>
      <c r="E323" t="s">
        <v>585</v>
      </c>
      <c r="F323" t="s">
        <v>585</v>
      </c>
      <c r="G323" t="s">
        <v>924</v>
      </c>
      <c r="H323" t="s">
        <v>1632</v>
      </c>
      <c r="I323" t="s">
        <v>572</v>
      </c>
      <c r="J323" t="s">
        <v>931</v>
      </c>
      <c r="K323" t="s">
        <v>540</v>
      </c>
      <c r="L323" t="s">
        <v>506</v>
      </c>
      <c r="M323" t="s">
        <v>502</v>
      </c>
      <c r="N323" t="s">
        <v>513</v>
      </c>
      <c r="O323">
        <v>2019</v>
      </c>
    </row>
    <row r="324" spans="1:15" x14ac:dyDescent="0.25">
      <c r="A324" t="s">
        <v>1614</v>
      </c>
      <c r="B324" t="s">
        <v>1638</v>
      </c>
      <c r="C324" t="s">
        <v>789</v>
      </c>
      <c r="D324" t="s">
        <v>18</v>
      </c>
      <c r="E324" t="s">
        <v>461</v>
      </c>
      <c r="F324" t="s">
        <v>20</v>
      </c>
      <c r="G324" t="s">
        <v>834</v>
      </c>
      <c r="H324" t="s">
        <v>1259</v>
      </c>
      <c r="I324" t="s">
        <v>1012</v>
      </c>
      <c r="J324" t="s">
        <v>325</v>
      </c>
      <c r="K324" t="s">
        <v>776</v>
      </c>
      <c r="L324" t="s">
        <v>1639</v>
      </c>
      <c r="M324" t="s">
        <v>319</v>
      </c>
      <c r="N324" t="s">
        <v>978</v>
      </c>
      <c r="O324">
        <v>2019</v>
      </c>
    </row>
    <row r="325" spans="1:15" x14ac:dyDescent="0.25">
      <c r="A325" t="s">
        <v>1614</v>
      </c>
      <c r="B325" t="s">
        <v>1640</v>
      </c>
      <c r="C325" t="s">
        <v>789</v>
      </c>
      <c r="D325" t="s">
        <v>68</v>
      </c>
      <c r="E325" t="s">
        <v>461</v>
      </c>
      <c r="F325" t="s">
        <v>20</v>
      </c>
      <c r="G325" t="s">
        <v>834</v>
      </c>
      <c r="H325" t="s">
        <v>1259</v>
      </c>
      <c r="I325" t="s">
        <v>1012</v>
      </c>
      <c r="J325" t="s">
        <v>297</v>
      </c>
      <c r="K325" t="s">
        <v>716</v>
      </c>
      <c r="L325" t="s">
        <v>299</v>
      </c>
      <c r="M325" t="s">
        <v>1641</v>
      </c>
      <c r="N325" t="s">
        <v>332</v>
      </c>
      <c r="O325">
        <v>2019</v>
      </c>
    </row>
    <row r="326" spans="1:15" x14ac:dyDescent="0.25">
      <c r="A326" t="s">
        <v>1614</v>
      </c>
      <c r="B326" t="s">
        <v>1642</v>
      </c>
      <c r="C326" t="s">
        <v>851</v>
      </c>
      <c r="D326" t="s">
        <v>18</v>
      </c>
      <c r="E326" t="s">
        <v>585</v>
      </c>
      <c r="F326" t="s">
        <v>585</v>
      </c>
      <c r="G326" t="s">
        <v>924</v>
      </c>
      <c r="H326" t="s">
        <v>1643</v>
      </c>
      <c r="I326" t="s">
        <v>1012</v>
      </c>
      <c r="J326" t="s">
        <v>310</v>
      </c>
      <c r="K326" t="s">
        <v>1644</v>
      </c>
      <c r="L326" t="s">
        <v>1645</v>
      </c>
      <c r="M326" t="s">
        <v>491</v>
      </c>
      <c r="N326" t="s">
        <v>503</v>
      </c>
      <c r="O326">
        <v>2018</v>
      </c>
    </row>
    <row r="327" spans="1:15" x14ac:dyDescent="0.25">
      <c r="A327" t="s">
        <v>1646</v>
      </c>
      <c r="B327" t="s">
        <v>1647</v>
      </c>
      <c r="C327" t="s">
        <v>394</v>
      </c>
      <c r="D327" t="s">
        <v>68</v>
      </c>
      <c r="E327" t="s">
        <v>461</v>
      </c>
      <c r="F327" t="s">
        <v>580</v>
      </c>
      <c r="G327" t="s">
        <v>1648</v>
      </c>
      <c r="H327" t="s">
        <v>1219</v>
      </c>
      <c r="I327" t="s">
        <v>44</v>
      </c>
      <c r="J327" t="s">
        <v>796</v>
      </c>
      <c r="K327" t="s">
        <v>917</v>
      </c>
      <c r="L327" t="s">
        <v>471</v>
      </c>
      <c r="M327" t="s">
        <v>331</v>
      </c>
      <c r="N327" t="s">
        <v>718</v>
      </c>
      <c r="O327">
        <v>2024</v>
      </c>
    </row>
    <row r="328" spans="1:15" x14ac:dyDescent="0.25">
      <c r="A328" t="s">
        <v>1646</v>
      </c>
      <c r="B328" t="s">
        <v>1649</v>
      </c>
      <c r="C328" t="s">
        <v>394</v>
      </c>
      <c r="D328" t="s">
        <v>375</v>
      </c>
      <c r="E328" t="s">
        <v>461</v>
      </c>
      <c r="F328" t="s">
        <v>580</v>
      </c>
      <c r="G328" t="s">
        <v>1648</v>
      </c>
      <c r="H328" t="s">
        <v>1219</v>
      </c>
      <c r="I328" t="s">
        <v>44</v>
      </c>
      <c r="J328" t="s">
        <v>227</v>
      </c>
      <c r="K328" t="s">
        <v>746</v>
      </c>
      <c r="L328" t="s">
        <v>751</v>
      </c>
      <c r="M328" t="s">
        <v>666</v>
      </c>
      <c r="N328" t="s">
        <v>301</v>
      </c>
      <c r="O328">
        <v>2024</v>
      </c>
    </row>
    <row r="329" spans="1:15" x14ac:dyDescent="0.25">
      <c r="A329" t="s">
        <v>1646</v>
      </c>
      <c r="B329" t="s">
        <v>1650</v>
      </c>
      <c r="C329" t="s">
        <v>1157</v>
      </c>
      <c r="D329" t="s">
        <v>68</v>
      </c>
      <c r="E329" t="s">
        <v>580</v>
      </c>
      <c r="F329" t="s">
        <v>580</v>
      </c>
      <c r="G329" t="s">
        <v>1172</v>
      </c>
      <c r="H329" t="s">
        <v>82</v>
      </c>
      <c r="I329" t="s">
        <v>44</v>
      </c>
      <c r="J329" t="s">
        <v>231</v>
      </c>
      <c r="K329" t="s">
        <v>746</v>
      </c>
      <c r="L329" t="s">
        <v>717</v>
      </c>
      <c r="M329" t="s">
        <v>666</v>
      </c>
      <c r="N329" t="s">
        <v>301</v>
      </c>
      <c r="O329">
        <v>2024</v>
      </c>
    </row>
    <row r="330" spans="1:15" x14ac:dyDescent="0.25">
      <c r="A330" t="s">
        <v>1646</v>
      </c>
      <c r="B330" t="s">
        <v>1651</v>
      </c>
      <c r="C330" t="s">
        <v>1157</v>
      </c>
      <c r="D330" t="s">
        <v>375</v>
      </c>
      <c r="E330" t="s">
        <v>580</v>
      </c>
      <c r="F330" t="s">
        <v>580</v>
      </c>
      <c r="G330" t="s">
        <v>1172</v>
      </c>
      <c r="H330" t="s">
        <v>82</v>
      </c>
      <c r="I330" t="s">
        <v>44</v>
      </c>
      <c r="J330" t="s">
        <v>343</v>
      </c>
      <c r="K330" t="s">
        <v>776</v>
      </c>
      <c r="L330" t="s">
        <v>299</v>
      </c>
      <c r="M330" t="s">
        <v>300</v>
      </c>
      <c r="N330" t="s">
        <v>777</v>
      </c>
      <c r="O330">
        <v>2024</v>
      </c>
    </row>
    <row r="331" spans="1:15" x14ac:dyDescent="0.25">
      <c r="A331" t="s">
        <v>1646</v>
      </c>
      <c r="B331" t="s">
        <v>1652</v>
      </c>
      <c r="C331" t="s">
        <v>559</v>
      </c>
      <c r="D331" t="s">
        <v>68</v>
      </c>
      <c r="E331" t="s">
        <v>461</v>
      </c>
      <c r="F331" t="s">
        <v>580</v>
      </c>
      <c r="G331" t="s">
        <v>767</v>
      </c>
      <c r="H331" t="s">
        <v>1653</v>
      </c>
      <c r="I331" t="s">
        <v>1654</v>
      </c>
      <c r="J331" t="s">
        <v>765</v>
      </c>
      <c r="K331" t="s">
        <v>577</v>
      </c>
      <c r="L331" t="s">
        <v>108</v>
      </c>
      <c r="M331" t="s">
        <v>56</v>
      </c>
      <c r="N331" t="s">
        <v>72</v>
      </c>
      <c r="O331">
        <v>2023</v>
      </c>
    </row>
    <row r="332" spans="1:15" x14ac:dyDescent="0.25">
      <c r="A332" t="s">
        <v>1646</v>
      </c>
      <c r="B332" t="s">
        <v>1655</v>
      </c>
      <c r="C332" t="s">
        <v>559</v>
      </c>
      <c r="D332" t="s">
        <v>375</v>
      </c>
      <c r="E332" t="s">
        <v>461</v>
      </c>
      <c r="F332" t="s">
        <v>580</v>
      </c>
      <c r="G332" t="s">
        <v>767</v>
      </c>
      <c r="H332" t="s">
        <v>1653</v>
      </c>
      <c r="I332" t="s">
        <v>1654</v>
      </c>
      <c r="J332" t="s">
        <v>238</v>
      </c>
      <c r="K332" t="s">
        <v>574</v>
      </c>
      <c r="L332" t="s">
        <v>38</v>
      </c>
      <c r="M332" t="s">
        <v>77</v>
      </c>
      <c r="N332" t="s">
        <v>89</v>
      </c>
      <c r="O332">
        <v>2023</v>
      </c>
    </row>
    <row r="333" spans="1:15" x14ac:dyDescent="0.25">
      <c r="A333" t="s">
        <v>1646</v>
      </c>
      <c r="B333" t="s">
        <v>1656</v>
      </c>
      <c r="C333" t="s">
        <v>1657</v>
      </c>
      <c r="D333" t="s">
        <v>68</v>
      </c>
      <c r="E333" t="s">
        <v>585</v>
      </c>
      <c r="F333" t="s">
        <v>580</v>
      </c>
      <c r="G333" t="s">
        <v>680</v>
      </c>
      <c r="H333" t="s">
        <v>1219</v>
      </c>
      <c r="I333" t="s">
        <v>248</v>
      </c>
      <c r="J333" t="s">
        <v>297</v>
      </c>
      <c r="K333" t="s">
        <v>489</v>
      </c>
      <c r="L333" t="s">
        <v>480</v>
      </c>
      <c r="M333" t="s">
        <v>491</v>
      </c>
      <c r="N333" t="s">
        <v>503</v>
      </c>
      <c r="O333">
        <v>2023</v>
      </c>
    </row>
    <row r="334" spans="1:15" x14ac:dyDescent="0.25">
      <c r="A334" t="s">
        <v>1646</v>
      </c>
      <c r="B334" t="s">
        <v>1658</v>
      </c>
      <c r="C334" t="s">
        <v>1657</v>
      </c>
      <c r="D334" t="s">
        <v>375</v>
      </c>
      <c r="E334" t="s">
        <v>585</v>
      </c>
      <c r="F334" t="s">
        <v>580</v>
      </c>
      <c r="G334" t="s">
        <v>680</v>
      </c>
      <c r="H334" t="s">
        <v>1219</v>
      </c>
      <c r="I334" t="s">
        <v>248</v>
      </c>
      <c r="J334" t="s">
        <v>303</v>
      </c>
      <c r="K334" t="s">
        <v>479</v>
      </c>
      <c r="L334" t="s">
        <v>484</v>
      </c>
      <c r="M334" t="s">
        <v>481</v>
      </c>
      <c r="N334" t="s">
        <v>482</v>
      </c>
      <c r="O334">
        <v>2023</v>
      </c>
    </row>
    <row r="335" spans="1:15" x14ac:dyDescent="0.25">
      <c r="A335" t="s">
        <v>1646</v>
      </c>
      <c r="B335" t="s">
        <v>1659</v>
      </c>
      <c r="C335" t="s">
        <v>421</v>
      </c>
      <c r="D335" t="s">
        <v>162</v>
      </c>
      <c r="E335" t="s">
        <v>585</v>
      </c>
      <c r="F335" t="s">
        <v>580</v>
      </c>
      <c r="G335" t="s">
        <v>1452</v>
      </c>
      <c r="H335" t="s">
        <v>1219</v>
      </c>
      <c r="I335" t="s">
        <v>379</v>
      </c>
      <c r="J335" t="s">
        <v>310</v>
      </c>
      <c r="K335" t="s">
        <v>505</v>
      </c>
      <c r="L335" t="s">
        <v>501</v>
      </c>
      <c r="M335" t="s">
        <v>512</v>
      </c>
      <c r="N335" t="s">
        <v>596</v>
      </c>
      <c r="O335">
        <v>2023</v>
      </c>
    </row>
    <row r="336" spans="1:15" x14ac:dyDescent="0.25">
      <c r="A336" t="s">
        <v>1646</v>
      </c>
      <c r="B336" t="s">
        <v>1660</v>
      </c>
      <c r="C336" t="s">
        <v>421</v>
      </c>
      <c r="D336" t="s">
        <v>18</v>
      </c>
      <c r="E336" t="s">
        <v>585</v>
      </c>
      <c r="F336" t="s">
        <v>580</v>
      </c>
      <c r="G336" t="s">
        <v>1452</v>
      </c>
      <c r="H336" t="s">
        <v>1219</v>
      </c>
      <c r="I336" t="s">
        <v>379</v>
      </c>
      <c r="J336" t="s">
        <v>827</v>
      </c>
      <c r="K336" t="s">
        <v>494</v>
      </c>
      <c r="L336" t="s">
        <v>506</v>
      </c>
      <c r="M336" t="s">
        <v>502</v>
      </c>
      <c r="N336" t="s">
        <v>513</v>
      </c>
      <c r="O336">
        <v>2023</v>
      </c>
    </row>
    <row r="337" spans="1:15" x14ac:dyDescent="0.25">
      <c r="A337" t="s">
        <v>1646</v>
      </c>
      <c r="B337" t="s">
        <v>1661</v>
      </c>
      <c r="C337" t="s">
        <v>809</v>
      </c>
      <c r="D337" t="s">
        <v>18</v>
      </c>
      <c r="E337" t="s">
        <v>1662</v>
      </c>
      <c r="F337" t="s">
        <v>20</v>
      </c>
      <c r="G337" t="s">
        <v>1663</v>
      </c>
      <c r="H337" t="s">
        <v>1653</v>
      </c>
      <c r="I337" t="s">
        <v>572</v>
      </c>
      <c r="J337" t="s">
        <v>787</v>
      </c>
      <c r="K337" t="s">
        <v>489</v>
      </c>
      <c r="L337" t="s">
        <v>515</v>
      </c>
      <c r="M337" t="s">
        <v>491</v>
      </c>
      <c r="N337" t="s">
        <v>503</v>
      </c>
      <c r="O337">
        <v>2024</v>
      </c>
    </row>
    <row r="338" spans="1:15" x14ac:dyDescent="0.25">
      <c r="A338" t="s">
        <v>1646</v>
      </c>
      <c r="B338" t="s">
        <v>1664</v>
      </c>
      <c r="C338" t="s">
        <v>809</v>
      </c>
      <c r="D338" t="s">
        <v>68</v>
      </c>
      <c r="E338" t="s">
        <v>1662</v>
      </c>
      <c r="F338" t="s">
        <v>20</v>
      </c>
      <c r="G338" t="s">
        <v>1663</v>
      </c>
      <c r="H338" t="s">
        <v>1653</v>
      </c>
      <c r="I338" t="s">
        <v>572</v>
      </c>
      <c r="J338" t="s">
        <v>994</v>
      </c>
      <c r="K338" t="s">
        <v>479</v>
      </c>
      <c r="L338" t="s">
        <v>490</v>
      </c>
      <c r="M338" t="s">
        <v>481</v>
      </c>
      <c r="N338" t="s">
        <v>482</v>
      </c>
      <c r="O338">
        <v>2024</v>
      </c>
    </row>
    <row r="339" spans="1:15" x14ac:dyDescent="0.25">
      <c r="A339" t="s">
        <v>1646</v>
      </c>
      <c r="B339" t="s">
        <v>1665</v>
      </c>
      <c r="C339" t="s">
        <v>825</v>
      </c>
      <c r="D339" t="s">
        <v>18</v>
      </c>
      <c r="E339" t="s">
        <v>461</v>
      </c>
      <c r="F339" t="s">
        <v>907</v>
      </c>
      <c r="G339" t="s">
        <v>680</v>
      </c>
      <c r="H339" t="s">
        <v>1219</v>
      </c>
      <c r="I339" t="s">
        <v>44</v>
      </c>
      <c r="J339" t="s">
        <v>316</v>
      </c>
      <c r="K339" t="s">
        <v>465</v>
      </c>
      <c r="L339" t="s">
        <v>466</v>
      </c>
      <c r="M339" t="s">
        <v>327</v>
      </c>
      <c r="N339" t="s">
        <v>320</v>
      </c>
      <c r="O339">
        <v>2024</v>
      </c>
    </row>
    <row r="340" spans="1:15" x14ac:dyDescent="0.25">
      <c r="A340" t="s">
        <v>1646</v>
      </c>
      <c r="B340" t="s">
        <v>1666</v>
      </c>
      <c r="C340" t="s">
        <v>825</v>
      </c>
      <c r="D340" t="s">
        <v>68</v>
      </c>
      <c r="E340" t="s">
        <v>461</v>
      </c>
      <c r="F340" t="s">
        <v>907</v>
      </c>
      <c r="G340" t="s">
        <v>680</v>
      </c>
      <c r="H340" t="s">
        <v>1219</v>
      </c>
      <c r="I340" t="s">
        <v>44</v>
      </c>
      <c r="J340" t="s">
        <v>818</v>
      </c>
      <c r="K340" t="s">
        <v>917</v>
      </c>
      <c r="L340" t="s">
        <v>544</v>
      </c>
      <c r="M340" t="s">
        <v>472</v>
      </c>
      <c r="N340" t="s">
        <v>583</v>
      </c>
      <c r="O340">
        <v>2024</v>
      </c>
    </row>
    <row r="341" spans="1:15" x14ac:dyDescent="0.25">
      <c r="A341" t="s">
        <v>1646</v>
      </c>
      <c r="B341" t="s">
        <v>1667</v>
      </c>
      <c r="C341" t="s">
        <v>549</v>
      </c>
      <c r="D341" t="s">
        <v>162</v>
      </c>
      <c r="E341" t="s">
        <v>307</v>
      </c>
      <c r="F341" t="s">
        <v>20</v>
      </c>
      <c r="G341" t="s">
        <v>1619</v>
      </c>
      <c r="H341" t="s">
        <v>1219</v>
      </c>
      <c r="I341" t="s">
        <v>248</v>
      </c>
      <c r="J341" t="s">
        <v>792</v>
      </c>
      <c r="K341" t="s">
        <v>697</v>
      </c>
      <c r="L341" t="s">
        <v>541</v>
      </c>
      <c r="M341" t="s">
        <v>512</v>
      </c>
      <c r="N341" t="s">
        <v>1020</v>
      </c>
      <c r="O341">
        <v>2023</v>
      </c>
    </row>
    <row r="342" spans="1:15" x14ac:dyDescent="0.25">
      <c r="A342" t="s">
        <v>1646</v>
      </c>
      <c r="B342" t="s">
        <v>1668</v>
      </c>
      <c r="C342" t="s">
        <v>549</v>
      </c>
      <c r="D342" t="s">
        <v>18</v>
      </c>
      <c r="E342" t="s">
        <v>307</v>
      </c>
      <c r="F342" t="s">
        <v>20</v>
      </c>
      <c r="G342" t="s">
        <v>1619</v>
      </c>
      <c r="H342" t="s">
        <v>1219</v>
      </c>
      <c r="I342" t="s">
        <v>248</v>
      </c>
      <c r="J342" t="s">
        <v>931</v>
      </c>
      <c r="K342" t="s">
        <v>958</v>
      </c>
      <c r="L342" t="s">
        <v>501</v>
      </c>
      <c r="M342" t="s">
        <v>683</v>
      </c>
      <c r="N342" t="s">
        <v>1621</v>
      </c>
      <c r="O342">
        <v>2023</v>
      </c>
    </row>
    <row r="343" spans="1:15" x14ac:dyDescent="0.25">
      <c r="A343" t="s">
        <v>1646</v>
      </c>
      <c r="B343" t="s">
        <v>1669</v>
      </c>
      <c r="C343" t="s">
        <v>59</v>
      </c>
      <c r="D343" t="s">
        <v>162</v>
      </c>
      <c r="E343" t="s">
        <v>585</v>
      </c>
      <c r="F343" t="s">
        <v>580</v>
      </c>
      <c r="G343" t="s">
        <v>1623</v>
      </c>
      <c r="H343" t="s">
        <v>1219</v>
      </c>
      <c r="I343" t="s">
        <v>389</v>
      </c>
      <c r="J343" t="s">
        <v>787</v>
      </c>
      <c r="K343" t="s">
        <v>529</v>
      </c>
      <c r="L343" t="s">
        <v>490</v>
      </c>
      <c r="M343" t="s">
        <v>502</v>
      </c>
      <c r="N343" t="s">
        <v>1624</v>
      </c>
      <c r="O343">
        <v>2022</v>
      </c>
    </row>
    <row r="344" spans="1:15" x14ac:dyDescent="0.25">
      <c r="A344" t="s">
        <v>1646</v>
      </c>
      <c r="B344" t="s">
        <v>1670</v>
      </c>
      <c r="C344" t="s">
        <v>59</v>
      </c>
      <c r="D344" t="s">
        <v>18</v>
      </c>
      <c r="E344" t="s">
        <v>585</v>
      </c>
      <c r="F344" t="s">
        <v>580</v>
      </c>
      <c r="G344" t="s">
        <v>1623</v>
      </c>
      <c r="H344" t="s">
        <v>1219</v>
      </c>
      <c r="I344" t="s">
        <v>389</v>
      </c>
      <c r="J344" t="s">
        <v>994</v>
      </c>
      <c r="K344" t="s">
        <v>489</v>
      </c>
      <c r="L344" t="s">
        <v>480</v>
      </c>
      <c r="M344" t="s">
        <v>1103</v>
      </c>
      <c r="N344" t="s">
        <v>1671</v>
      </c>
      <c r="O344">
        <v>2022</v>
      </c>
    </row>
    <row r="345" spans="1:15" x14ac:dyDescent="0.25">
      <c r="A345" t="s">
        <v>1646</v>
      </c>
      <c r="B345" t="s">
        <v>1672</v>
      </c>
      <c r="C345" t="s">
        <v>42</v>
      </c>
      <c r="D345" t="s">
        <v>256</v>
      </c>
      <c r="E345" t="s">
        <v>508</v>
      </c>
      <c r="F345" t="s">
        <v>475</v>
      </c>
      <c r="G345" t="s">
        <v>1673</v>
      </c>
      <c r="H345" t="s">
        <v>1219</v>
      </c>
      <c r="I345" t="s">
        <v>248</v>
      </c>
      <c r="J345" t="s">
        <v>957</v>
      </c>
      <c r="K345" t="s">
        <v>723</v>
      </c>
      <c r="L345" t="s">
        <v>617</v>
      </c>
      <c r="M345" t="s">
        <v>698</v>
      </c>
      <c r="N345" t="s">
        <v>942</v>
      </c>
      <c r="O345">
        <v>2022</v>
      </c>
    </row>
    <row r="346" spans="1:15" x14ac:dyDescent="0.25">
      <c r="A346" t="s">
        <v>1646</v>
      </c>
      <c r="B346" t="s">
        <v>1674</v>
      </c>
      <c r="C346" t="s">
        <v>42</v>
      </c>
      <c r="D346" t="s">
        <v>162</v>
      </c>
      <c r="E346" t="s">
        <v>508</v>
      </c>
      <c r="F346" t="s">
        <v>475</v>
      </c>
      <c r="G346" t="s">
        <v>1673</v>
      </c>
      <c r="H346" t="s">
        <v>1219</v>
      </c>
      <c r="I346" t="s">
        <v>248</v>
      </c>
      <c r="J346" t="s">
        <v>792</v>
      </c>
      <c r="K346" t="s">
        <v>697</v>
      </c>
      <c r="L346" t="s">
        <v>511</v>
      </c>
      <c r="M346" t="s">
        <v>603</v>
      </c>
      <c r="N346" t="s">
        <v>959</v>
      </c>
      <c r="O346">
        <v>2022</v>
      </c>
    </row>
    <row r="347" spans="1:15" x14ac:dyDescent="0.25">
      <c r="A347" t="s">
        <v>1646</v>
      </c>
      <c r="B347" t="s">
        <v>1675</v>
      </c>
      <c r="C347" t="s">
        <v>735</v>
      </c>
      <c r="D347" t="s">
        <v>68</v>
      </c>
      <c r="E347" t="s">
        <v>585</v>
      </c>
      <c r="F347" t="s">
        <v>580</v>
      </c>
      <c r="G347" t="s">
        <v>1676</v>
      </c>
      <c r="H347" t="s">
        <v>1219</v>
      </c>
      <c r="I347" t="s">
        <v>807</v>
      </c>
      <c r="J347" t="s">
        <v>303</v>
      </c>
      <c r="K347" t="s">
        <v>746</v>
      </c>
      <c r="L347" t="s">
        <v>318</v>
      </c>
      <c r="M347" t="s">
        <v>1385</v>
      </c>
      <c r="N347" t="s">
        <v>1677</v>
      </c>
      <c r="O347">
        <v>2024</v>
      </c>
    </row>
    <row r="348" spans="1:15" x14ac:dyDescent="0.25">
      <c r="A348" t="s">
        <v>1646</v>
      </c>
      <c r="B348" t="s">
        <v>1678</v>
      </c>
      <c r="C348" t="s">
        <v>735</v>
      </c>
      <c r="D348" t="s">
        <v>68</v>
      </c>
      <c r="E348" t="s">
        <v>585</v>
      </c>
      <c r="F348" t="s">
        <v>580</v>
      </c>
      <c r="G348" t="s">
        <v>1676</v>
      </c>
      <c r="H348" t="s">
        <v>1219</v>
      </c>
      <c r="I348" t="s">
        <v>807</v>
      </c>
      <c r="J348" t="s">
        <v>861</v>
      </c>
      <c r="K348" t="s">
        <v>776</v>
      </c>
      <c r="L348" t="s">
        <v>717</v>
      </c>
      <c r="M348" t="s">
        <v>1679</v>
      </c>
      <c r="N348" t="s">
        <v>1680</v>
      </c>
      <c r="O348">
        <v>2024</v>
      </c>
    </row>
    <row r="349" spans="1:15" x14ac:dyDescent="0.25">
      <c r="A349" t="s">
        <v>1646</v>
      </c>
      <c r="B349" t="s">
        <v>1681</v>
      </c>
      <c r="C349" t="s">
        <v>496</v>
      </c>
      <c r="D349" t="s">
        <v>68</v>
      </c>
      <c r="E349" t="s">
        <v>461</v>
      </c>
      <c r="F349" t="s">
        <v>907</v>
      </c>
      <c r="G349" t="s">
        <v>855</v>
      </c>
      <c r="H349" t="s">
        <v>82</v>
      </c>
      <c r="I349" t="s">
        <v>44</v>
      </c>
      <c r="J349" t="s">
        <v>297</v>
      </c>
      <c r="K349" t="s">
        <v>917</v>
      </c>
      <c r="L349" t="s">
        <v>471</v>
      </c>
      <c r="M349" t="s">
        <v>1417</v>
      </c>
      <c r="N349" t="s">
        <v>1278</v>
      </c>
      <c r="O349">
        <v>2024</v>
      </c>
    </row>
    <row r="350" spans="1:15" x14ac:dyDescent="0.25">
      <c r="A350" t="s">
        <v>1646</v>
      </c>
      <c r="B350" t="s">
        <v>1682</v>
      </c>
      <c r="C350" t="s">
        <v>496</v>
      </c>
      <c r="D350" t="s">
        <v>375</v>
      </c>
      <c r="E350" t="s">
        <v>461</v>
      </c>
      <c r="F350" t="s">
        <v>907</v>
      </c>
      <c r="G350" t="s">
        <v>855</v>
      </c>
      <c r="H350" t="s">
        <v>82</v>
      </c>
      <c r="I350" t="s">
        <v>44</v>
      </c>
      <c r="J350" t="s">
        <v>303</v>
      </c>
      <c r="K350" t="s">
        <v>746</v>
      </c>
      <c r="L350" t="s">
        <v>751</v>
      </c>
      <c r="M350" t="s">
        <v>1510</v>
      </c>
      <c r="N350" t="s">
        <v>1683</v>
      </c>
      <c r="O350">
        <v>2024</v>
      </c>
    </row>
    <row r="351" spans="1:15" x14ac:dyDescent="0.25">
      <c r="A351" t="s">
        <v>1646</v>
      </c>
      <c r="B351" t="s">
        <v>1684</v>
      </c>
      <c r="C351" t="s">
        <v>97</v>
      </c>
      <c r="D351" t="s">
        <v>68</v>
      </c>
      <c r="E351" t="s">
        <v>461</v>
      </c>
      <c r="F351" t="s">
        <v>580</v>
      </c>
      <c r="G351" t="s">
        <v>1685</v>
      </c>
      <c r="H351" t="s">
        <v>1686</v>
      </c>
      <c r="I351" t="s">
        <v>463</v>
      </c>
      <c r="J351" t="s">
        <v>861</v>
      </c>
      <c r="K351" t="s">
        <v>776</v>
      </c>
      <c r="L351" t="s">
        <v>717</v>
      </c>
      <c r="M351" t="s">
        <v>1359</v>
      </c>
      <c r="N351" t="s">
        <v>1323</v>
      </c>
      <c r="O351">
        <v>2024</v>
      </c>
    </row>
    <row r="352" spans="1:15" x14ac:dyDescent="0.25">
      <c r="A352" t="s">
        <v>1646</v>
      </c>
      <c r="B352" t="s">
        <v>1687</v>
      </c>
      <c r="C352" t="s">
        <v>97</v>
      </c>
      <c r="D352" t="s">
        <v>375</v>
      </c>
      <c r="E352" t="s">
        <v>461</v>
      </c>
      <c r="F352" t="s">
        <v>580</v>
      </c>
      <c r="G352" t="s">
        <v>1685</v>
      </c>
      <c r="H352" t="s">
        <v>1686</v>
      </c>
      <c r="I352" t="s">
        <v>463</v>
      </c>
      <c r="J352" t="s">
        <v>836</v>
      </c>
      <c r="K352" t="s">
        <v>716</v>
      </c>
      <c r="L352" t="s">
        <v>299</v>
      </c>
      <c r="M352" t="s">
        <v>1688</v>
      </c>
      <c r="N352" t="s">
        <v>1689</v>
      </c>
      <c r="O352">
        <v>2024</v>
      </c>
    </row>
    <row r="353" spans="1:15" x14ac:dyDescent="0.25">
      <c r="A353" t="s">
        <v>1646</v>
      </c>
      <c r="B353" t="s">
        <v>1690</v>
      </c>
      <c r="C353" t="s">
        <v>1036</v>
      </c>
      <c r="D353" t="s">
        <v>68</v>
      </c>
      <c r="E353" t="s">
        <v>585</v>
      </c>
      <c r="F353" t="s">
        <v>580</v>
      </c>
      <c r="G353" t="s">
        <v>1691</v>
      </c>
      <c r="H353" t="s">
        <v>1219</v>
      </c>
      <c r="I353" t="s">
        <v>786</v>
      </c>
      <c r="J353" t="s">
        <v>325</v>
      </c>
      <c r="K353" t="s">
        <v>525</v>
      </c>
      <c r="L353" t="s">
        <v>466</v>
      </c>
      <c r="M353" t="s">
        <v>1394</v>
      </c>
      <c r="N353" t="s">
        <v>1270</v>
      </c>
      <c r="O353">
        <v>2024</v>
      </c>
    </row>
    <row r="354" spans="1:15" x14ac:dyDescent="0.25">
      <c r="A354" t="s">
        <v>1646</v>
      </c>
      <c r="B354" t="s">
        <v>1692</v>
      </c>
      <c r="C354" t="s">
        <v>1036</v>
      </c>
      <c r="D354" t="s">
        <v>68</v>
      </c>
      <c r="E354" t="s">
        <v>585</v>
      </c>
      <c r="F354" t="s">
        <v>580</v>
      </c>
      <c r="G354" t="s">
        <v>1691</v>
      </c>
      <c r="H354" t="s">
        <v>1219</v>
      </c>
      <c r="I354" t="s">
        <v>786</v>
      </c>
      <c r="J354" t="s">
        <v>297</v>
      </c>
      <c r="K354" t="s">
        <v>917</v>
      </c>
      <c r="L354" t="s">
        <v>471</v>
      </c>
      <c r="M354" t="s">
        <v>1385</v>
      </c>
      <c r="N354" t="s">
        <v>1677</v>
      </c>
      <c r="O354">
        <v>2024</v>
      </c>
    </row>
    <row r="355" spans="1:15" x14ac:dyDescent="0.25">
      <c r="A355" t="s">
        <v>1646</v>
      </c>
      <c r="B355" t="s">
        <v>1693</v>
      </c>
      <c r="C355" t="s">
        <v>235</v>
      </c>
      <c r="D355" t="s">
        <v>162</v>
      </c>
      <c r="E355" t="s">
        <v>585</v>
      </c>
      <c r="F355" t="s">
        <v>580</v>
      </c>
      <c r="G355" t="s">
        <v>1694</v>
      </c>
      <c r="H355" t="s">
        <v>1219</v>
      </c>
      <c r="I355" t="s">
        <v>750</v>
      </c>
      <c r="J355" t="s">
        <v>310</v>
      </c>
      <c r="K355" t="s">
        <v>546</v>
      </c>
      <c r="L355" t="s">
        <v>490</v>
      </c>
      <c r="M355" t="s">
        <v>1434</v>
      </c>
      <c r="N355" t="s">
        <v>1301</v>
      </c>
      <c r="O355">
        <v>2024</v>
      </c>
    </row>
    <row r="356" spans="1:15" x14ac:dyDescent="0.25">
      <c r="A356" t="s">
        <v>1646</v>
      </c>
      <c r="B356" t="s">
        <v>1695</v>
      </c>
      <c r="C356" t="s">
        <v>235</v>
      </c>
      <c r="D356" t="s">
        <v>68</v>
      </c>
      <c r="E356" t="s">
        <v>585</v>
      </c>
      <c r="F356" t="s">
        <v>580</v>
      </c>
      <c r="G356" t="s">
        <v>1694</v>
      </c>
      <c r="H356" t="s">
        <v>1219</v>
      </c>
      <c r="I356" t="s">
        <v>750</v>
      </c>
      <c r="J356" t="s">
        <v>316</v>
      </c>
      <c r="K356" t="s">
        <v>479</v>
      </c>
      <c r="L356" t="s">
        <v>637</v>
      </c>
      <c r="M356" t="s">
        <v>1403</v>
      </c>
      <c r="N356" t="s">
        <v>1696</v>
      </c>
      <c r="O356">
        <v>2024</v>
      </c>
    </row>
    <row r="357" spans="1:15" x14ac:dyDescent="0.25">
      <c r="A357" t="s">
        <v>1646</v>
      </c>
      <c r="B357" t="s">
        <v>1697</v>
      </c>
      <c r="C357" t="s">
        <v>774</v>
      </c>
      <c r="D357" t="s">
        <v>18</v>
      </c>
      <c r="E357" t="s">
        <v>585</v>
      </c>
      <c r="F357" t="s">
        <v>580</v>
      </c>
      <c r="G357" t="s">
        <v>1698</v>
      </c>
      <c r="H357" t="s">
        <v>1219</v>
      </c>
      <c r="I357" t="s">
        <v>248</v>
      </c>
      <c r="J357" t="s">
        <v>316</v>
      </c>
      <c r="K357" t="s">
        <v>479</v>
      </c>
      <c r="L357" t="s">
        <v>637</v>
      </c>
      <c r="M357" t="s">
        <v>1403</v>
      </c>
      <c r="N357" t="s">
        <v>1696</v>
      </c>
      <c r="O357">
        <v>2024</v>
      </c>
    </row>
    <row r="358" spans="1:15" x14ac:dyDescent="0.25">
      <c r="A358" t="s">
        <v>1646</v>
      </c>
      <c r="B358" t="s">
        <v>1699</v>
      </c>
      <c r="C358" t="s">
        <v>774</v>
      </c>
      <c r="D358" t="s">
        <v>68</v>
      </c>
      <c r="E358" t="s">
        <v>585</v>
      </c>
      <c r="F358" t="s">
        <v>580</v>
      </c>
      <c r="G358" t="s">
        <v>1698</v>
      </c>
      <c r="H358" t="s">
        <v>1219</v>
      </c>
      <c r="I358" t="s">
        <v>248</v>
      </c>
      <c r="J358" t="s">
        <v>325</v>
      </c>
      <c r="K358" t="s">
        <v>525</v>
      </c>
      <c r="L358" t="s">
        <v>466</v>
      </c>
      <c r="M358" t="s">
        <v>1417</v>
      </c>
      <c r="N358" t="s">
        <v>1278</v>
      </c>
      <c r="O358">
        <v>2024</v>
      </c>
    </row>
    <row r="359" spans="1:15" x14ac:dyDescent="0.25">
      <c r="A359" t="s">
        <v>1646</v>
      </c>
      <c r="B359" t="s">
        <v>1700</v>
      </c>
      <c r="C359" t="s">
        <v>809</v>
      </c>
      <c r="D359" t="s">
        <v>68</v>
      </c>
      <c r="E359" t="s">
        <v>461</v>
      </c>
      <c r="F359" t="s">
        <v>580</v>
      </c>
      <c r="G359" t="s">
        <v>1701</v>
      </c>
      <c r="H359" t="s">
        <v>1225</v>
      </c>
      <c r="I359" t="s">
        <v>44</v>
      </c>
      <c r="J359" t="s">
        <v>836</v>
      </c>
      <c r="K359" t="s">
        <v>716</v>
      </c>
      <c r="L359" t="s">
        <v>299</v>
      </c>
      <c r="M359" t="s">
        <v>1688</v>
      </c>
      <c r="N359" t="s">
        <v>1689</v>
      </c>
      <c r="O359">
        <v>2024</v>
      </c>
    </row>
    <row r="360" spans="1:15" x14ac:dyDescent="0.25">
      <c r="A360" t="s">
        <v>1646</v>
      </c>
      <c r="B360" t="s">
        <v>1702</v>
      </c>
      <c r="C360" t="s">
        <v>809</v>
      </c>
      <c r="D360" t="s">
        <v>375</v>
      </c>
      <c r="E360" t="s">
        <v>461</v>
      </c>
      <c r="F360" t="s">
        <v>580</v>
      </c>
      <c r="G360" t="s">
        <v>1701</v>
      </c>
      <c r="H360" t="s">
        <v>1225</v>
      </c>
      <c r="I360" t="s">
        <v>44</v>
      </c>
      <c r="J360" t="s">
        <v>745</v>
      </c>
      <c r="K360" t="s">
        <v>665</v>
      </c>
      <c r="L360" t="s">
        <v>1109</v>
      </c>
      <c r="M360" t="s">
        <v>1349</v>
      </c>
      <c r="N360" t="s">
        <v>1703</v>
      </c>
      <c r="O360">
        <v>2024</v>
      </c>
    </row>
    <row r="361" spans="1:15" x14ac:dyDescent="0.25">
      <c r="A361" t="s">
        <v>1646</v>
      </c>
      <c r="B361" t="s">
        <v>1704</v>
      </c>
      <c r="C361" t="s">
        <v>213</v>
      </c>
      <c r="D361" t="s">
        <v>375</v>
      </c>
      <c r="E361" t="s">
        <v>461</v>
      </c>
      <c r="F361" t="s">
        <v>580</v>
      </c>
      <c r="G361" t="s">
        <v>767</v>
      </c>
      <c r="H361" t="s">
        <v>1259</v>
      </c>
      <c r="I361" t="s">
        <v>1705</v>
      </c>
      <c r="J361" t="s">
        <v>45</v>
      </c>
      <c r="K361" t="s">
        <v>65</v>
      </c>
      <c r="L361" t="s">
        <v>123</v>
      </c>
      <c r="M361" t="s">
        <v>88</v>
      </c>
      <c r="N361" t="s">
        <v>129</v>
      </c>
      <c r="O361">
        <v>2024</v>
      </c>
    </row>
    <row r="362" spans="1:15" x14ac:dyDescent="0.25">
      <c r="A362" t="s">
        <v>1646</v>
      </c>
      <c r="B362" t="s">
        <v>1706</v>
      </c>
      <c r="C362" t="s">
        <v>235</v>
      </c>
      <c r="D362" t="s">
        <v>68</v>
      </c>
      <c r="E362" t="s">
        <v>461</v>
      </c>
      <c r="F362" t="s">
        <v>580</v>
      </c>
      <c r="G362" t="s">
        <v>1648</v>
      </c>
      <c r="H362" t="s">
        <v>1707</v>
      </c>
      <c r="I362" t="s">
        <v>1708</v>
      </c>
      <c r="J362" t="s">
        <v>765</v>
      </c>
      <c r="K362" t="s">
        <v>25</v>
      </c>
      <c r="L362" t="s">
        <v>108</v>
      </c>
      <c r="M362" t="s">
        <v>56</v>
      </c>
      <c r="N362" t="s">
        <v>72</v>
      </c>
      <c r="O362">
        <v>2024</v>
      </c>
    </row>
    <row r="363" spans="1:15" x14ac:dyDescent="0.25">
      <c r="A363" t="s">
        <v>1646</v>
      </c>
      <c r="B363" t="s">
        <v>1709</v>
      </c>
      <c r="C363" t="s">
        <v>815</v>
      </c>
      <c r="D363" t="s">
        <v>68</v>
      </c>
      <c r="E363" t="s">
        <v>461</v>
      </c>
      <c r="F363" t="s">
        <v>580</v>
      </c>
      <c r="G363" t="s">
        <v>1698</v>
      </c>
      <c r="H363" t="s">
        <v>1219</v>
      </c>
      <c r="I363" t="s">
        <v>858</v>
      </c>
      <c r="J363" t="s">
        <v>297</v>
      </c>
      <c r="K363" t="s">
        <v>917</v>
      </c>
      <c r="L363" t="s">
        <v>471</v>
      </c>
      <c r="M363" t="s">
        <v>1385</v>
      </c>
      <c r="N363" t="s">
        <v>1677</v>
      </c>
      <c r="O363">
        <v>2024</v>
      </c>
    </row>
    <row r="364" spans="1:15" x14ac:dyDescent="0.25">
      <c r="A364" t="s">
        <v>1646</v>
      </c>
      <c r="B364" t="s">
        <v>1710</v>
      </c>
      <c r="C364" t="s">
        <v>815</v>
      </c>
      <c r="D364" t="s">
        <v>375</v>
      </c>
      <c r="E364" t="s">
        <v>461</v>
      </c>
      <c r="F364" t="s">
        <v>580</v>
      </c>
      <c r="G364" t="s">
        <v>1698</v>
      </c>
      <c r="H364" t="s">
        <v>1219</v>
      </c>
      <c r="I364" t="s">
        <v>858</v>
      </c>
      <c r="J364" t="s">
        <v>303</v>
      </c>
      <c r="K364" t="s">
        <v>746</v>
      </c>
      <c r="L364" t="s">
        <v>751</v>
      </c>
      <c r="M364" t="s">
        <v>1679</v>
      </c>
      <c r="N364" t="s">
        <v>1680</v>
      </c>
      <c r="O364">
        <v>2024</v>
      </c>
    </row>
    <row r="365" spans="1:15" x14ac:dyDescent="0.25">
      <c r="A365" t="s">
        <v>1646</v>
      </c>
      <c r="B365" t="s">
        <v>1711</v>
      </c>
      <c r="C365" t="s">
        <v>825</v>
      </c>
      <c r="D365" t="s">
        <v>68</v>
      </c>
      <c r="E365" t="s">
        <v>461</v>
      </c>
      <c r="F365" t="s">
        <v>580</v>
      </c>
      <c r="G365" t="s">
        <v>1401</v>
      </c>
      <c r="H365" t="s">
        <v>110</v>
      </c>
      <c r="I365" t="s">
        <v>248</v>
      </c>
      <c r="J365" t="s">
        <v>325</v>
      </c>
      <c r="K365" t="s">
        <v>525</v>
      </c>
      <c r="L365" t="s">
        <v>466</v>
      </c>
      <c r="M365" t="s">
        <v>1417</v>
      </c>
      <c r="N365" t="s">
        <v>1278</v>
      </c>
      <c r="O365">
        <v>2024</v>
      </c>
    </row>
    <row r="366" spans="1:15" x14ac:dyDescent="0.25">
      <c r="A366" t="s">
        <v>1646</v>
      </c>
      <c r="B366" t="s">
        <v>1712</v>
      </c>
      <c r="C366" t="s">
        <v>825</v>
      </c>
      <c r="D366" t="s">
        <v>375</v>
      </c>
      <c r="E366" t="s">
        <v>461</v>
      </c>
      <c r="F366" t="s">
        <v>580</v>
      </c>
      <c r="G366" t="s">
        <v>1401</v>
      </c>
      <c r="H366" t="s">
        <v>110</v>
      </c>
      <c r="I366" t="s">
        <v>248</v>
      </c>
      <c r="J366" t="s">
        <v>297</v>
      </c>
      <c r="K366" t="s">
        <v>917</v>
      </c>
      <c r="L366" t="s">
        <v>471</v>
      </c>
      <c r="M366" t="s">
        <v>1510</v>
      </c>
      <c r="N366" t="s">
        <v>1683</v>
      </c>
      <c r="O366">
        <v>2024</v>
      </c>
    </row>
    <row r="367" spans="1:15" x14ac:dyDescent="0.25">
      <c r="A367" t="s">
        <v>1646</v>
      </c>
      <c r="B367" t="s">
        <v>1713</v>
      </c>
      <c r="C367" t="s">
        <v>809</v>
      </c>
      <c r="D367" t="s">
        <v>162</v>
      </c>
      <c r="E367" t="s">
        <v>307</v>
      </c>
      <c r="F367" t="s">
        <v>475</v>
      </c>
      <c r="G367" t="s">
        <v>1714</v>
      </c>
      <c r="H367" t="s">
        <v>1219</v>
      </c>
      <c r="I367" t="s">
        <v>248</v>
      </c>
      <c r="J367" t="s">
        <v>792</v>
      </c>
      <c r="K367" t="s">
        <v>697</v>
      </c>
      <c r="L367" t="s">
        <v>617</v>
      </c>
      <c r="M367" t="s">
        <v>1487</v>
      </c>
      <c r="N367" t="s">
        <v>1715</v>
      </c>
      <c r="O367">
        <v>2024</v>
      </c>
    </row>
    <row r="368" spans="1:15" x14ac:dyDescent="0.25">
      <c r="A368" t="s">
        <v>1646</v>
      </c>
      <c r="B368" t="s">
        <v>1716</v>
      </c>
      <c r="C368" t="s">
        <v>809</v>
      </c>
      <c r="D368" t="s">
        <v>162</v>
      </c>
      <c r="E368" t="s">
        <v>307</v>
      </c>
      <c r="F368" t="s">
        <v>475</v>
      </c>
      <c r="G368" t="s">
        <v>1714</v>
      </c>
      <c r="H368" t="s">
        <v>1219</v>
      </c>
      <c r="I368" t="s">
        <v>248</v>
      </c>
      <c r="J368" t="s">
        <v>931</v>
      </c>
      <c r="K368" t="s">
        <v>958</v>
      </c>
      <c r="L368" t="s">
        <v>511</v>
      </c>
      <c r="M368" t="s">
        <v>1449</v>
      </c>
      <c r="N368" t="s">
        <v>1717</v>
      </c>
      <c r="O368">
        <v>2024</v>
      </c>
    </row>
    <row r="369" spans="1:15" x14ac:dyDescent="0.25">
      <c r="A369" t="s">
        <v>1646</v>
      </c>
      <c r="B369" t="s">
        <v>1718</v>
      </c>
      <c r="C369" t="s">
        <v>17</v>
      </c>
      <c r="D369" t="s">
        <v>68</v>
      </c>
      <c r="E369" t="s">
        <v>461</v>
      </c>
      <c r="F369" t="s">
        <v>580</v>
      </c>
      <c r="G369" t="s">
        <v>1701</v>
      </c>
      <c r="H369" t="s">
        <v>1225</v>
      </c>
      <c r="I369" t="s">
        <v>44</v>
      </c>
      <c r="J369" t="s">
        <v>836</v>
      </c>
      <c r="K369" t="s">
        <v>716</v>
      </c>
      <c r="L369" t="s">
        <v>299</v>
      </c>
      <c r="M369" t="s">
        <v>1688</v>
      </c>
      <c r="N369" t="s">
        <v>1689</v>
      </c>
      <c r="O369">
        <v>2024</v>
      </c>
    </row>
    <row r="370" spans="1:15" x14ac:dyDescent="0.25">
      <c r="A370" t="s">
        <v>1646</v>
      </c>
      <c r="B370" t="s">
        <v>1719</v>
      </c>
      <c r="C370" t="s">
        <v>17</v>
      </c>
      <c r="D370" t="s">
        <v>375</v>
      </c>
      <c r="E370" t="s">
        <v>461</v>
      </c>
      <c r="F370" t="s">
        <v>580</v>
      </c>
      <c r="G370" t="s">
        <v>1701</v>
      </c>
      <c r="H370" t="s">
        <v>1225</v>
      </c>
      <c r="I370" t="s">
        <v>44</v>
      </c>
      <c r="J370" t="s">
        <v>745</v>
      </c>
      <c r="K370" t="s">
        <v>665</v>
      </c>
      <c r="L370" t="s">
        <v>1109</v>
      </c>
      <c r="M370" t="s">
        <v>1349</v>
      </c>
      <c r="N370" t="s">
        <v>1703</v>
      </c>
      <c r="O370">
        <v>2024</v>
      </c>
    </row>
    <row r="371" spans="1:15" x14ac:dyDescent="0.25">
      <c r="A371" t="s">
        <v>1646</v>
      </c>
      <c r="B371" t="s">
        <v>1720</v>
      </c>
      <c r="C371" t="s">
        <v>549</v>
      </c>
      <c r="D371" t="s">
        <v>375</v>
      </c>
      <c r="E371" t="s">
        <v>1721</v>
      </c>
      <c r="F371" t="s">
        <v>897</v>
      </c>
      <c r="G371" t="s">
        <v>737</v>
      </c>
      <c r="H371" t="s">
        <v>1219</v>
      </c>
      <c r="I371" t="s">
        <v>553</v>
      </c>
      <c r="J371" t="s">
        <v>762</v>
      </c>
      <c r="K371" t="s">
        <v>121</v>
      </c>
      <c r="L371" t="s">
        <v>158</v>
      </c>
      <c r="M371" t="s">
        <v>641</v>
      </c>
      <c r="N371" t="s">
        <v>642</v>
      </c>
      <c r="O371">
        <v>2024</v>
      </c>
    </row>
    <row r="372" spans="1:15" x14ac:dyDescent="0.25">
      <c r="A372" t="s">
        <v>1646</v>
      </c>
      <c r="B372" t="s">
        <v>1722</v>
      </c>
      <c r="C372" t="s">
        <v>421</v>
      </c>
      <c r="D372" t="s">
        <v>18</v>
      </c>
      <c r="E372" t="s">
        <v>585</v>
      </c>
      <c r="F372" t="s">
        <v>580</v>
      </c>
      <c r="G372" t="s">
        <v>1723</v>
      </c>
      <c r="H372" t="s">
        <v>1219</v>
      </c>
      <c r="I372" t="s">
        <v>379</v>
      </c>
      <c r="J372" t="s">
        <v>325</v>
      </c>
      <c r="K372" t="s">
        <v>525</v>
      </c>
      <c r="L372" t="s">
        <v>466</v>
      </c>
      <c r="M372" t="s">
        <v>1417</v>
      </c>
      <c r="N372" t="s">
        <v>1278</v>
      </c>
      <c r="O372">
        <v>2024</v>
      </c>
    </row>
    <row r="373" spans="1:15" x14ac:dyDescent="0.25">
      <c r="A373" t="s">
        <v>1646</v>
      </c>
      <c r="B373" t="s">
        <v>1724</v>
      </c>
      <c r="C373" t="s">
        <v>421</v>
      </c>
      <c r="D373" t="s">
        <v>68</v>
      </c>
      <c r="E373" t="s">
        <v>585</v>
      </c>
      <c r="F373" t="s">
        <v>580</v>
      </c>
      <c r="G373" t="s">
        <v>1723</v>
      </c>
      <c r="H373" t="s">
        <v>1219</v>
      </c>
      <c r="I373" t="s">
        <v>379</v>
      </c>
      <c r="J373" t="s">
        <v>297</v>
      </c>
      <c r="K373" t="s">
        <v>917</v>
      </c>
      <c r="L373" t="s">
        <v>471</v>
      </c>
      <c r="M373" t="s">
        <v>1510</v>
      </c>
      <c r="N373" t="s">
        <v>1683</v>
      </c>
      <c r="O373">
        <v>2024</v>
      </c>
    </row>
    <row r="374" spans="1:15" x14ac:dyDescent="0.25">
      <c r="A374" t="s">
        <v>1646</v>
      </c>
      <c r="B374" t="s">
        <v>1725</v>
      </c>
      <c r="C374" t="s">
        <v>549</v>
      </c>
      <c r="D374" t="s">
        <v>375</v>
      </c>
      <c r="E374" t="s">
        <v>1721</v>
      </c>
      <c r="F374" t="s">
        <v>897</v>
      </c>
      <c r="G374" t="s">
        <v>737</v>
      </c>
      <c r="H374" t="s">
        <v>1219</v>
      </c>
      <c r="I374" t="s">
        <v>553</v>
      </c>
      <c r="J374" t="s">
        <v>762</v>
      </c>
      <c r="K374" t="s">
        <v>121</v>
      </c>
      <c r="L374" t="s">
        <v>158</v>
      </c>
      <c r="M374" t="s">
        <v>641</v>
      </c>
      <c r="N374" t="s">
        <v>642</v>
      </c>
      <c r="O374">
        <v>2024</v>
      </c>
    </row>
    <row r="375" spans="1:15" x14ac:dyDescent="0.25">
      <c r="A375" t="s">
        <v>1646</v>
      </c>
      <c r="B375" t="s">
        <v>1726</v>
      </c>
      <c r="C375" t="s">
        <v>394</v>
      </c>
      <c r="D375" t="s">
        <v>68</v>
      </c>
      <c r="E375" t="s">
        <v>461</v>
      </c>
      <c r="F375" t="s">
        <v>580</v>
      </c>
      <c r="G375" t="s">
        <v>1727</v>
      </c>
      <c r="H375" t="s">
        <v>63</v>
      </c>
      <c r="I375" t="s">
        <v>775</v>
      </c>
      <c r="J375" t="s">
        <v>745</v>
      </c>
      <c r="K375" t="s">
        <v>665</v>
      </c>
      <c r="L375" t="s">
        <v>883</v>
      </c>
      <c r="M375" t="s">
        <v>167</v>
      </c>
      <c r="N375" t="s">
        <v>168</v>
      </c>
      <c r="O375">
        <v>2022</v>
      </c>
    </row>
    <row r="376" spans="1:15" x14ac:dyDescent="0.25">
      <c r="A376" t="s">
        <v>1646</v>
      </c>
      <c r="B376" t="s">
        <v>1728</v>
      </c>
      <c r="C376" t="s">
        <v>394</v>
      </c>
      <c r="D376" t="s">
        <v>375</v>
      </c>
      <c r="E376" t="s">
        <v>461</v>
      </c>
      <c r="F376" t="s">
        <v>580</v>
      </c>
      <c r="G376" t="s">
        <v>1727</v>
      </c>
      <c r="H376" t="s">
        <v>63</v>
      </c>
      <c r="I376" t="s">
        <v>775</v>
      </c>
      <c r="J376" t="s">
        <v>1141</v>
      </c>
      <c r="K376" t="s">
        <v>704</v>
      </c>
      <c r="L376" t="s">
        <v>711</v>
      </c>
      <c r="M376" t="s">
        <v>289</v>
      </c>
      <c r="N376" t="s">
        <v>28</v>
      </c>
      <c r="O376">
        <v>2022</v>
      </c>
    </row>
    <row r="377" spans="1:15" x14ac:dyDescent="0.25">
      <c r="A377" t="s">
        <v>1646</v>
      </c>
      <c r="B377" t="s">
        <v>1729</v>
      </c>
      <c r="C377" t="s">
        <v>864</v>
      </c>
      <c r="D377" t="s">
        <v>18</v>
      </c>
      <c r="E377" t="s">
        <v>461</v>
      </c>
      <c r="F377" t="s">
        <v>907</v>
      </c>
      <c r="G377" t="s">
        <v>1730</v>
      </c>
      <c r="H377" t="s">
        <v>1731</v>
      </c>
      <c r="I377" t="s">
        <v>860</v>
      </c>
      <c r="J377" t="s">
        <v>303</v>
      </c>
      <c r="K377" t="s">
        <v>746</v>
      </c>
      <c r="L377" t="s">
        <v>471</v>
      </c>
      <c r="M377" t="s">
        <v>331</v>
      </c>
      <c r="N377" t="s">
        <v>332</v>
      </c>
      <c r="O377">
        <v>2022</v>
      </c>
    </row>
    <row r="378" spans="1:15" x14ac:dyDescent="0.25">
      <c r="A378" t="s">
        <v>1646</v>
      </c>
      <c r="B378" t="s">
        <v>1732</v>
      </c>
      <c r="C378" t="s">
        <v>864</v>
      </c>
      <c r="D378" t="s">
        <v>68</v>
      </c>
      <c r="E378" t="s">
        <v>461</v>
      </c>
      <c r="F378" t="s">
        <v>907</v>
      </c>
      <c r="G378" t="s">
        <v>1730</v>
      </c>
      <c r="H378" t="s">
        <v>1731</v>
      </c>
      <c r="I378" t="s">
        <v>860</v>
      </c>
      <c r="J378" t="s">
        <v>861</v>
      </c>
      <c r="K378" t="s">
        <v>776</v>
      </c>
      <c r="L378" t="s">
        <v>751</v>
      </c>
      <c r="M378" t="s">
        <v>666</v>
      </c>
      <c r="N378" t="s">
        <v>667</v>
      </c>
      <c r="O378">
        <v>2022</v>
      </c>
    </row>
    <row r="379" spans="1:15" x14ac:dyDescent="0.25">
      <c r="A379" t="s">
        <v>1646</v>
      </c>
      <c r="B379" t="s">
        <v>1733</v>
      </c>
      <c r="C379" t="s">
        <v>815</v>
      </c>
      <c r="D379" t="s">
        <v>18</v>
      </c>
      <c r="E379" t="s">
        <v>585</v>
      </c>
      <c r="F379" t="s">
        <v>580</v>
      </c>
      <c r="G379" t="s">
        <v>1730</v>
      </c>
      <c r="H379" t="s">
        <v>1219</v>
      </c>
      <c r="I379" t="s">
        <v>389</v>
      </c>
      <c r="J379" t="s">
        <v>818</v>
      </c>
      <c r="K379" t="s">
        <v>494</v>
      </c>
      <c r="L379" t="s">
        <v>484</v>
      </c>
      <c r="M379" t="s">
        <v>327</v>
      </c>
      <c r="N379" t="s">
        <v>320</v>
      </c>
      <c r="O379">
        <v>2022</v>
      </c>
    </row>
    <row r="380" spans="1:15" x14ac:dyDescent="0.25">
      <c r="A380" t="s">
        <v>1646</v>
      </c>
      <c r="B380" t="s">
        <v>1734</v>
      </c>
      <c r="C380" t="s">
        <v>815</v>
      </c>
      <c r="D380" t="s">
        <v>68</v>
      </c>
      <c r="E380" t="s">
        <v>585</v>
      </c>
      <c r="F380" t="s">
        <v>580</v>
      </c>
      <c r="G380" t="s">
        <v>1730</v>
      </c>
      <c r="H380" t="s">
        <v>1219</v>
      </c>
      <c r="I380" t="s">
        <v>389</v>
      </c>
      <c r="J380" t="s">
        <v>1088</v>
      </c>
      <c r="K380" t="s">
        <v>917</v>
      </c>
      <c r="L380" t="s">
        <v>312</v>
      </c>
      <c r="M380" t="s">
        <v>472</v>
      </c>
      <c r="N380" t="s">
        <v>583</v>
      </c>
      <c r="O380">
        <v>2022</v>
      </c>
    </row>
    <row r="381" spans="1:15" x14ac:dyDescent="0.25">
      <c r="A381" t="s">
        <v>1646</v>
      </c>
      <c r="B381" t="s">
        <v>1735</v>
      </c>
      <c r="C381" t="s">
        <v>820</v>
      </c>
      <c r="D381" t="s">
        <v>162</v>
      </c>
      <c r="E381" t="s">
        <v>585</v>
      </c>
      <c r="F381" t="s">
        <v>580</v>
      </c>
      <c r="G381" t="s">
        <v>1736</v>
      </c>
      <c r="H381" t="s">
        <v>1219</v>
      </c>
      <c r="I381" t="s">
        <v>248</v>
      </c>
      <c r="J381" t="s">
        <v>827</v>
      </c>
      <c r="K381" t="s">
        <v>489</v>
      </c>
      <c r="L381" t="s">
        <v>490</v>
      </c>
      <c r="M381" t="s">
        <v>481</v>
      </c>
      <c r="N381" t="s">
        <v>482</v>
      </c>
      <c r="O381">
        <v>2022</v>
      </c>
    </row>
    <row r="382" spans="1:15" x14ac:dyDescent="0.25">
      <c r="A382" t="s">
        <v>1646</v>
      </c>
      <c r="B382" t="s">
        <v>1737</v>
      </c>
      <c r="C382" t="s">
        <v>820</v>
      </c>
      <c r="D382" t="s">
        <v>18</v>
      </c>
      <c r="E382" t="s">
        <v>585</v>
      </c>
      <c r="F382" t="s">
        <v>580</v>
      </c>
      <c r="G382" t="s">
        <v>1736</v>
      </c>
      <c r="H382" t="s">
        <v>1219</v>
      </c>
      <c r="I382" t="s">
        <v>248</v>
      </c>
      <c r="J382" t="s">
        <v>818</v>
      </c>
      <c r="K382" t="s">
        <v>494</v>
      </c>
      <c r="L382" t="s">
        <v>637</v>
      </c>
      <c r="M382" t="s">
        <v>327</v>
      </c>
      <c r="N382" t="s">
        <v>320</v>
      </c>
      <c r="O382">
        <v>2022</v>
      </c>
    </row>
    <row r="383" spans="1:15" x14ac:dyDescent="0.25">
      <c r="A383" t="s">
        <v>1646</v>
      </c>
      <c r="B383" t="s">
        <v>1738</v>
      </c>
      <c r="C383" t="s">
        <v>612</v>
      </c>
      <c r="D383" t="s">
        <v>162</v>
      </c>
      <c r="E383" t="s">
        <v>585</v>
      </c>
      <c r="F383" t="s">
        <v>580</v>
      </c>
      <c r="G383" t="s">
        <v>1169</v>
      </c>
      <c r="H383" t="s">
        <v>1219</v>
      </c>
      <c r="I383" t="s">
        <v>463</v>
      </c>
      <c r="J383" t="s">
        <v>994</v>
      </c>
      <c r="K383" t="s">
        <v>689</v>
      </c>
      <c r="L383" t="s">
        <v>515</v>
      </c>
      <c r="M383" t="s">
        <v>491</v>
      </c>
      <c r="N383" t="s">
        <v>503</v>
      </c>
      <c r="O383">
        <v>2022</v>
      </c>
    </row>
    <row r="384" spans="1:15" x14ac:dyDescent="0.25">
      <c r="A384" t="s">
        <v>1646</v>
      </c>
      <c r="B384" t="s">
        <v>1739</v>
      </c>
      <c r="C384" t="s">
        <v>820</v>
      </c>
      <c r="D384" t="s">
        <v>162</v>
      </c>
      <c r="E384" t="s">
        <v>585</v>
      </c>
      <c r="F384" t="s">
        <v>580</v>
      </c>
      <c r="G384" t="s">
        <v>1169</v>
      </c>
      <c r="H384" t="s">
        <v>1219</v>
      </c>
      <c r="I384" t="s">
        <v>248</v>
      </c>
      <c r="J384" t="s">
        <v>787</v>
      </c>
      <c r="K384" t="s">
        <v>510</v>
      </c>
      <c r="L384" t="s">
        <v>541</v>
      </c>
      <c r="M384" t="s">
        <v>1103</v>
      </c>
      <c r="N384" t="s">
        <v>516</v>
      </c>
      <c r="O384">
        <v>2022</v>
      </c>
    </row>
    <row r="385" spans="1:15" x14ac:dyDescent="0.25">
      <c r="A385" t="s">
        <v>1646</v>
      </c>
      <c r="B385" t="s">
        <v>1740</v>
      </c>
      <c r="C385" t="s">
        <v>789</v>
      </c>
      <c r="D385" t="s">
        <v>256</v>
      </c>
      <c r="E385" t="s">
        <v>307</v>
      </c>
      <c r="F385" t="s">
        <v>585</v>
      </c>
      <c r="G385" t="s">
        <v>1741</v>
      </c>
      <c r="H385" t="s">
        <v>1219</v>
      </c>
      <c r="I385" t="s">
        <v>248</v>
      </c>
      <c r="J385" t="s">
        <v>792</v>
      </c>
      <c r="K385" t="s">
        <v>697</v>
      </c>
      <c r="L385" t="s">
        <v>617</v>
      </c>
      <c r="M385" t="s">
        <v>512</v>
      </c>
      <c r="N385" t="s">
        <v>1020</v>
      </c>
      <c r="O385">
        <v>2022</v>
      </c>
    </row>
    <row r="386" spans="1:15" x14ac:dyDescent="0.25">
      <c r="A386" t="s">
        <v>1646</v>
      </c>
      <c r="B386" t="s">
        <v>1742</v>
      </c>
      <c r="C386" t="s">
        <v>1743</v>
      </c>
      <c r="D386" t="s">
        <v>613</v>
      </c>
      <c r="E386" t="s">
        <v>508</v>
      </c>
      <c r="F386" t="s">
        <v>585</v>
      </c>
      <c r="G386" t="s">
        <v>1741</v>
      </c>
      <c r="H386" t="s">
        <v>1731</v>
      </c>
      <c r="I386" t="s">
        <v>248</v>
      </c>
      <c r="J386" t="s">
        <v>957</v>
      </c>
      <c r="K386" t="s">
        <v>723</v>
      </c>
      <c r="L386" t="s">
        <v>724</v>
      </c>
      <c r="M386" t="s">
        <v>603</v>
      </c>
      <c r="N386" t="s">
        <v>604</v>
      </c>
      <c r="O386">
        <v>2022</v>
      </c>
    </row>
    <row r="387" spans="1:15" x14ac:dyDescent="0.25">
      <c r="A387" t="s">
        <v>1646</v>
      </c>
      <c r="B387" t="s">
        <v>1744</v>
      </c>
      <c r="C387" t="s">
        <v>1743</v>
      </c>
      <c r="D387" t="s">
        <v>162</v>
      </c>
      <c r="E387" t="s">
        <v>508</v>
      </c>
      <c r="F387" t="s">
        <v>585</v>
      </c>
      <c r="G387" t="s">
        <v>1741</v>
      </c>
      <c r="H387" t="s">
        <v>1731</v>
      </c>
      <c r="I387" t="s">
        <v>248</v>
      </c>
      <c r="J387" t="s">
        <v>971</v>
      </c>
      <c r="K387" t="s">
        <v>967</v>
      </c>
      <c r="L387" t="s">
        <v>617</v>
      </c>
      <c r="M387" t="s">
        <v>512</v>
      </c>
      <c r="N387" t="s">
        <v>1020</v>
      </c>
      <c r="O387">
        <v>2022</v>
      </c>
    </row>
    <row r="388" spans="1:15" x14ac:dyDescent="0.25">
      <c r="A388" t="s">
        <v>1646</v>
      </c>
      <c r="B388" t="s">
        <v>1745</v>
      </c>
      <c r="C388" t="s">
        <v>789</v>
      </c>
      <c r="D388" t="s">
        <v>162</v>
      </c>
      <c r="E388" t="s">
        <v>585</v>
      </c>
      <c r="F388" t="s">
        <v>580</v>
      </c>
      <c r="G388" t="s">
        <v>1741</v>
      </c>
      <c r="H388" t="s">
        <v>1219</v>
      </c>
      <c r="I388" t="s">
        <v>248</v>
      </c>
      <c r="J388" t="s">
        <v>931</v>
      </c>
      <c r="K388" t="s">
        <v>537</v>
      </c>
      <c r="L388" t="s">
        <v>511</v>
      </c>
      <c r="M388" t="s">
        <v>502</v>
      </c>
      <c r="N388" t="s">
        <v>513</v>
      </c>
      <c r="O388">
        <v>2022</v>
      </c>
    </row>
    <row r="389" spans="1:15" x14ac:dyDescent="0.25">
      <c r="A389" t="s">
        <v>1865</v>
      </c>
      <c r="B389" t="s">
        <v>1866</v>
      </c>
      <c r="C389" t="s">
        <v>1017</v>
      </c>
      <c r="D389" t="s">
        <v>162</v>
      </c>
      <c r="E389" t="s">
        <v>307</v>
      </c>
      <c r="F389" t="s">
        <v>580</v>
      </c>
      <c r="G389" t="s">
        <v>1867</v>
      </c>
      <c r="H389" t="s">
        <v>1219</v>
      </c>
      <c r="I389" t="s">
        <v>919</v>
      </c>
      <c r="J389" t="s">
        <v>1088</v>
      </c>
      <c r="K389" t="s">
        <v>546</v>
      </c>
      <c r="L389" t="s">
        <v>501</v>
      </c>
      <c r="M389" t="s">
        <v>683</v>
      </c>
      <c r="N389" t="s">
        <v>1621</v>
      </c>
      <c r="O389">
        <v>2023</v>
      </c>
    </row>
    <row r="390" spans="1:15" x14ac:dyDescent="0.25">
      <c r="A390" t="s">
        <v>1865</v>
      </c>
      <c r="B390" t="s">
        <v>1868</v>
      </c>
      <c r="C390" t="s">
        <v>1793</v>
      </c>
      <c r="D390" t="s">
        <v>162</v>
      </c>
      <c r="E390" t="s">
        <v>307</v>
      </c>
      <c r="F390" t="s">
        <v>20</v>
      </c>
      <c r="G390" t="s">
        <v>1869</v>
      </c>
      <c r="H390" t="s">
        <v>1828</v>
      </c>
      <c r="I390" t="s">
        <v>791</v>
      </c>
      <c r="J390" t="s">
        <v>1870</v>
      </c>
      <c r="K390" t="s">
        <v>1871</v>
      </c>
      <c r="L390" t="s">
        <v>617</v>
      </c>
      <c r="M390" t="s">
        <v>610</v>
      </c>
      <c r="N390" t="s">
        <v>1872</v>
      </c>
      <c r="O390">
        <v>2021</v>
      </c>
    </row>
    <row r="391" spans="1:15" x14ac:dyDescent="0.25">
      <c r="A391" t="s">
        <v>1865</v>
      </c>
      <c r="B391" t="s">
        <v>1873</v>
      </c>
      <c r="C391" t="s">
        <v>1793</v>
      </c>
      <c r="D391" t="s">
        <v>162</v>
      </c>
      <c r="E391" t="s">
        <v>307</v>
      </c>
      <c r="F391" t="s">
        <v>20</v>
      </c>
      <c r="G391" t="s">
        <v>1869</v>
      </c>
      <c r="H391" t="s">
        <v>1828</v>
      </c>
      <c r="I391" t="s">
        <v>791</v>
      </c>
      <c r="J391" t="s">
        <v>827</v>
      </c>
      <c r="K391" t="s">
        <v>958</v>
      </c>
      <c r="L391" t="s">
        <v>511</v>
      </c>
      <c r="M391" t="s">
        <v>1283</v>
      </c>
      <c r="N391" t="s">
        <v>604</v>
      </c>
      <c r="O391">
        <v>2021</v>
      </c>
    </row>
    <row r="392" spans="1:15" x14ac:dyDescent="0.25">
      <c r="A392" t="s">
        <v>1865</v>
      </c>
      <c r="B392" t="s">
        <v>1874</v>
      </c>
      <c r="C392" t="s">
        <v>474</v>
      </c>
      <c r="D392" t="s">
        <v>256</v>
      </c>
      <c r="E392" t="s">
        <v>307</v>
      </c>
      <c r="F392" t="s">
        <v>580</v>
      </c>
      <c r="G392" t="s">
        <v>1626</v>
      </c>
      <c r="H392" t="s">
        <v>1219</v>
      </c>
      <c r="I392" t="s">
        <v>791</v>
      </c>
      <c r="J392" t="s">
        <v>787</v>
      </c>
      <c r="K392" t="s">
        <v>723</v>
      </c>
      <c r="L392" t="s">
        <v>724</v>
      </c>
      <c r="M392" t="s">
        <v>968</v>
      </c>
      <c r="N392" t="s">
        <v>619</v>
      </c>
      <c r="O392">
        <v>2023</v>
      </c>
    </row>
    <row r="393" spans="1:15" x14ac:dyDescent="0.25">
      <c r="A393" t="s">
        <v>1865</v>
      </c>
      <c r="B393" t="s">
        <v>1875</v>
      </c>
      <c r="C393" t="s">
        <v>474</v>
      </c>
      <c r="D393" t="s">
        <v>162</v>
      </c>
      <c r="E393" t="s">
        <v>307</v>
      </c>
      <c r="F393" t="s">
        <v>580</v>
      </c>
      <c r="G393" t="s">
        <v>1626</v>
      </c>
      <c r="H393" t="s">
        <v>1219</v>
      </c>
      <c r="I393" t="s">
        <v>791</v>
      </c>
      <c r="J393" t="s">
        <v>994</v>
      </c>
      <c r="K393" t="s">
        <v>967</v>
      </c>
      <c r="L393" t="s">
        <v>617</v>
      </c>
      <c r="M393" t="s">
        <v>988</v>
      </c>
      <c r="N393" t="s">
        <v>942</v>
      </c>
      <c r="O393">
        <v>2023</v>
      </c>
    </row>
    <row r="394" spans="1:15" x14ac:dyDescent="0.25">
      <c r="A394" t="s">
        <v>1865</v>
      </c>
      <c r="B394" t="s">
        <v>1876</v>
      </c>
      <c r="C394" t="s">
        <v>496</v>
      </c>
      <c r="D394" t="s">
        <v>162</v>
      </c>
      <c r="E394" t="s">
        <v>307</v>
      </c>
      <c r="F394" t="s">
        <v>580</v>
      </c>
      <c r="G394" t="s">
        <v>1714</v>
      </c>
      <c r="H394" t="s">
        <v>1828</v>
      </c>
      <c r="I394" t="s">
        <v>248</v>
      </c>
      <c r="J394" t="s">
        <v>1877</v>
      </c>
      <c r="K394" t="s">
        <v>697</v>
      </c>
      <c r="L394" t="s">
        <v>538</v>
      </c>
      <c r="M394" t="s">
        <v>610</v>
      </c>
      <c r="N394" t="s">
        <v>1878</v>
      </c>
      <c r="O394">
        <v>2022</v>
      </c>
    </row>
    <row r="395" spans="1:15" x14ac:dyDescent="0.25">
      <c r="A395" t="s">
        <v>1865</v>
      </c>
      <c r="B395" t="s">
        <v>1879</v>
      </c>
      <c r="C395" t="s">
        <v>496</v>
      </c>
      <c r="D395" t="s">
        <v>18</v>
      </c>
      <c r="E395" t="s">
        <v>307</v>
      </c>
      <c r="F395" t="s">
        <v>580</v>
      </c>
      <c r="G395" t="s">
        <v>1714</v>
      </c>
      <c r="H395" t="s">
        <v>1828</v>
      </c>
      <c r="I395" t="s">
        <v>248</v>
      </c>
      <c r="J395" t="s">
        <v>1461</v>
      </c>
      <c r="K395" t="s">
        <v>958</v>
      </c>
      <c r="L395" t="s">
        <v>541</v>
      </c>
      <c r="M395" t="s">
        <v>1283</v>
      </c>
      <c r="N395" t="s">
        <v>604</v>
      </c>
      <c r="O395">
        <v>2022</v>
      </c>
    </row>
    <row r="396" spans="1:15" x14ac:dyDescent="0.25">
      <c r="A396" t="s">
        <v>1865</v>
      </c>
      <c r="B396" t="s">
        <v>1880</v>
      </c>
      <c r="C396" t="s">
        <v>496</v>
      </c>
      <c r="D396" t="s">
        <v>613</v>
      </c>
      <c r="E396" t="s">
        <v>307</v>
      </c>
      <c r="F396" t="s">
        <v>475</v>
      </c>
      <c r="G396" t="s">
        <v>1626</v>
      </c>
      <c r="H396" t="s">
        <v>1219</v>
      </c>
      <c r="I396" t="s">
        <v>248</v>
      </c>
      <c r="J396" t="s">
        <v>931</v>
      </c>
      <c r="K396" t="s">
        <v>729</v>
      </c>
      <c r="L396" t="s">
        <v>730</v>
      </c>
      <c r="M396" t="s">
        <v>1881</v>
      </c>
      <c r="N396" t="s">
        <v>1882</v>
      </c>
      <c r="O396">
        <v>2023</v>
      </c>
    </row>
    <row r="397" spans="1:15" x14ac:dyDescent="0.25">
      <c r="A397" t="s">
        <v>1865</v>
      </c>
      <c r="B397" t="s">
        <v>1883</v>
      </c>
      <c r="C397" t="s">
        <v>496</v>
      </c>
      <c r="D397" t="s">
        <v>256</v>
      </c>
      <c r="E397" t="s">
        <v>307</v>
      </c>
      <c r="F397" t="s">
        <v>475</v>
      </c>
      <c r="G397" t="s">
        <v>1626</v>
      </c>
      <c r="H397" t="s">
        <v>1219</v>
      </c>
      <c r="I397" t="s">
        <v>248</v>
      </c>
      <c r="J397" t="s">
        <v>1884</v>
      </c>
      <c r="K397" t="s">
        <v>1885</v>
      </c>
      <c r="L397" t="s">
        <v>724</v>
      </c>
      <c r="M397" t="s">
        <v>968</v>
      </c>
      <c r="N397" t="s">
        <v>619</v>
      </c>
      <c r="O397">
        <v>2023</v>
      </c>
    </row>
    <row r="398" spans="1:15" x14ac:dyDescent="0.25">
      <c r="A398" t="s">
        <v>1865</v>
      </c>
      <c r="B398" t="s">
        <v>1886</v>
      </c>
      <c r="C398" t="s">
        <v>549</v>
      </c>
      <c r="D398" t="s">
        <v>18</v>
      </c>
      <c r="E398" t="s">
        <v>585</v>
      </c>
      <c r="F398" t="s">
        <v>20</v>
      </c>
      <c r="G398" t="s">
        <v>785</v>
      </c>
      <c r="H398" t="s">
        <v>1219</v>
      </c>
      <c r="I398" t="s">
        <v>912</v>
      </c>
      <c r="J398" t="s">
        <v>297</v>
      </c>
      <c r="K398" t="s">
        <v>479</v>
      </c>
      <c r="L398" t="s">
        <v>480</v>
      </c>
      <c r="M398" t="s">
        <v>1038</v>
      </c>
      <c r="N398" t="s">
        <v>513</v>
      </c>
      <c r="O398">
        <v>2022</v>
      </c>
    </row>
    <row r="399" spans="1:15" x14ac:dyDescent="0.25">
      <c r="A399" t="s">
        <v>1865</v>
      </c>
      <c r="B399" t="s">
        <v>1906</v>
      </c>
      <c r="C399" t="s">
        <v>1524</v>
      </c>
      <c r="D399" t="s">
        <v>162</v>
      </c>
      <c r="E399" t="s">
        <v>307</v>
      </c>
      <c r="F399" t="s">
        <v>307</v>
      </c>
      <c r="G399" t="s">
        <v>1469</v>
      </c>
      <c r="H399" t="s">
        <v>1907</v>
      </c>
      <c r="I399" t="s">
        <v>1100</v>
      </c>
      <c r="J399" t="s">
        <v>1908</v>
      </c>
      <c r="K399" t="s">
        <v>529</v>
      </c>
      <c r="L399" t="s">
        <v>1909</v>
      </c>
      <c r="M399" t="s">
        <v>2371</v>
      </c>
      <c r="N399" t="s">
        <v>1910</v>
      </c>
      <c r="O399">
        <v>2022</v>
      </c>
    </row>
    <row r="400" spans="1:15" x14ac:dyDescent="0.25">
      <c r="A400" t="s">
        <v>733</v>
      </c>
      <c r="B400" t="s">
        <v>734</v>
      </c>
      <c r="C400" t="s">
        <v>735</v>
      </c>
      <c r="D400" t="s">
        <v>375</v>
      </c>
      <c r="E400" t="s">
        <v>461</v>
      </c>
      <c r="F400" t="s">
        <v>736</v>
      </c>
      <c r="G400" t="s">
        <v>737</v>
      </c>
      <c r="H400" t="s">
        <v>378</v>
      </c>
      <c r="I400" t="s">
        <v>44</v>
      </c>
      <c r="J400" t="s">
        <v>238</v>
      </c>
      <c r="K400" t="s">
        <v>101</v>
      </c>
      <c r="L400" t="s">
        <v>108</v>
      </c>
      <c r="M400" t="s">
        <v>27</v>
      </c>
      <c r="N400" t="s">
        <v>40</v>
      </c>
      <c r="O400">
        <v>2024</v>
      </c>
    </row>
    <row r="401" spans="1:15" x14ac:dyDescent="0.25">
      <c r="A401" t="s">
        <v>733</v>
      </c>
      <c r="B401" t="s">
        <v>738</v>
      </c>
      <c r="C401" t="s">
        <v>42</v>
      </c>
      <c r="D401" t="s">
        <v>375</v>
      </c>
      <c r="E401" t="s">
        <v>585</v>
      </c>
      <c r="F401" t="s">
        <v>527</v>
      </c>
      <c r="G401" t="s">
        <v>401</v>
      </c>
      <c r="H401" t="s">
        <v>422</v>
      </c>
      <c r="I401" t="s">
        <v>44</v>
      </c>
      <c r="J401" t="s">
        <v>231</v>
      </c>
      <c r="K401" t="s">
        <v>665</v>
      </c>
      <c r="L401" t="s">
        <v>711</v>
      </c>
      <c r="M401" t="s">
        <v>167</v>
      </c>
      <c r="N401" t="s">
        <v>168</v>
      </c>
      <c r="O401">
        <v>2024</v>
      </c>
    </row>
    <row r="402" spans="1:15" x14ac:dyDescent="0.25">
      <c r="A402" t="s">
        <v>733</v>
      </c>
      <c r="B402" t="s">
        <v>739</v>
      </c>
      <c r="C402" t="s">
        <v>735</v>
      </c>
      <c r="D402" t="s">
        <v>375</v>
      </c>
      <c r="E402" t="s">
        <v>585</v>
      </c>
      <c r="F402" t="s">
        <v>736</v>
      </c>
      <c r="G402" t="s">
        <v>451</v>
      </c>
      <c r="H402" t="s">
        <v>378</v>
      </c>
      <c r="I402" t="s">
        <v>44</v>
      </c>
      <c r="J402" t="s">
        <v>233</v>
      </c>
      <c r="K402" t="s">
        <v>704</v>
      </c>
      <c r="L402" t="s">
        <v>740</v>
      </c>
      <c r="M402" t="s">
        <v>167</v>
      </c>
      <c r="N402" t="s">
        <v>28</v>
      </c>
      <c r="O402">
        <v>2023</v>
      </c>
    </row>
    <row r="403" spans="1:15" x14ac:dyDescent="0.25">
      <c r="A403" t="s">
        <v>733</v>
      </c>
      <c r="B403" t="s">
        <v>741</v>
      </c>
      <c r="C403" t="s">
        <v>518</v>
      </c>
      <c r="D403" t="s">
        <v>375</v>
      </c>
      <c r="E403" t="s">
        <v>585</v>
      </c>
      <c r="F403" t="s">
        <v>527</v>
      </c>
      <c r="G403" t="s">
        <v>451</v>
      </c>
      <c r="H403" t="s">
        <v>378</v>
      </c>
      <c r="I403" t="s">
        <v>44</v>
      </c>
      <c r="J403" t="s">
        <v>227</v>
      </c>
      <c r="K403" t="s">
        <v>716</v>
      </c>
      <c r="L403" t="s">
        <v>330</v>
      </c>
      <c r="M403" t="s">
        <v>300</v>
      </c>
      <c r="N403" t="s">
        <v>229</v>
      </c>
      <c r="O403">
        <v>2023</v>
      </c>
    </row>
    <row r="404" spans="1:15" x14ac:dyDescent="0.25">
      <c r="A404" t="s">
        <v>733</v>
      </c>
      <c r="B404" t="s">
        <v>742</v>
      </c>
      <c r="C404" t="s">
        <v>496</v>
      </c>
      <c r="D404" t="s">
        <v>375</v>
      </c>
      <c r="E404" t="s">
        <v>585</v>
      </c>
      <c r="F404" t="s">
        <v>527</v>
      </c>
      <c r="G404" t="s">
        <v>743</v>
      </c>
      <c r="H404" t="s">
        <v>378</v>
      </c>
      <c r="I404" t="s">
        <v>744</v>
      </c>
      <c r="J404" t="s">
        <v>745</v>
      </c>
      <c r="K404" t="s">
        <v>746</v>
      </c>
      <c r="L404" t="s">
        <v>326</v>
      </c>
      <c r="M404" t="s">
        <v>331</v>
      </c>
      <c r="N404" t="s">
        <v>667</v>
      </c>
      <c r="O404">
        <v>2023</v>
      </c>
    </row>
    <row r="405" spans="1:15" x14ac:dyDescent="0.25">
      <c r="A405" t="s">
        <v>733</v>
      </c>
      <c r="B405" t="s">
        <v>747</v>
      </c>
      <c r="C405" t="s">
        <v>748</v>
      </c>
      <c r="D405" t="s">
        <v>68</v>
      </c>
      <c r="E405" t="s">
        <v>585</v>
      </c>
      <c r="F405" t="s">
        <v>497</v>
      </c>
      <c r="G405" t="s">
        <v>749</v>
      </c>
      <c r="H405" t="s">
        <v>378</v>
      </c>
      <c r="I405" t="s">
        <v>750</v>
      </c>
      <c r="J405" t="s">
        <v>464</v>
      </c>
      <c r="K405" t="s">
        <v>479</v>
      </c>
      <c r="L405" t="s">
        <v>751</v>
      </c>
      <c r="M405" t="s">
        <v>327</v>
      </c>
      <c r="N405" t="s">
        <v>320</v>
      </c>
      <c r="O405">
        <v>2023</v>
      </c>
    </row>
    <row r="406" spans="1:15" x14ac:dyDescent="0.25">
      <c r="A406" t="s">
        <v>733</v>
      </c>
      <c r="B406" t="s">
        <v>752</v>
      </c>
      <c r="C406" t="s">
        <v>421</v>
      </c>
      <c r="D406" t="s">
        <v>68</v>
      </c>
      <c r="E406" t="s">
        <v>585</v>
      </c>
      <c r="F406" t="s">
        <v>753</v>
      </c>
      <c r="G406" t="s">
        <v>680</v>
      </c>
      <c r="H406" t="s">
        <v>378</v>
      </c>
      <c r="I406" t="s">
        <v>750</v>
      </c>
      <c r="J406" t="s">
        <v>316</v>
      </c>
      <c r="K406" t="s">
        <v>529</v>
      </c>
      <c r="L406" t="s">
        <v>522</v>
      </c>
      <c r="M406" t="s">
        <v>491</v>
      </c>
      <c r="N406" t="s">
        <v>314</v>
      </c>
      <c r="O406">
        <v>2023</v>
      </c>
    </row>
    <row r="407" spans="1:15" x14ac:dyDescent="0.25">
      <c r="A407" t="s">
        <v>733</v>
      </c>
      <c r="B407" t="s">
        <v>754</v>
      </c>
      <c r="C407" t="s">
        <v>559</v>
      </c>
      <c r="D407" t="s">
        <v>68</v>
      </c>
      <c r="E407" t="s">
        <v>585</v>
      </c>
      <c r="F407" t="s">
        <v>755</v>
      </c>
      <c r="G407" t="s">
        <v>756</v>
      </c>
      <c r="H407" t="s">
        <v>378</v>
      </c>
      <c r="I407" t="s">
        <v>750</v>
      </c>
      <c r="J407" t="s">
        <v>757</v>
      </c>
      <c r="K407" t="s">
        <v>689</v>
      </c>
      <c r="L407" t="s">
        <v>484</v>
      </c>
      <c r="M407" t="s">
        <v>502</v>
      </c>
      <c r="N407" t="s">
        <v>516</v>
      </c>
      <c r="O407">
        <v>2023</v>
      </c>
    </row>
    <row r="408" spans="1:15" x14ac:dyDescent="0.25">
      <c r="A408" t="s">
        <v>733</v>
      </c>
      <c r="B408" t="s">
        <v>758</v>
      </c>
      <c r="C408" t="s">
        <v>190</v>
      </c>
      <c r="D408" t="s">
        <v>759</v>
      </c>
      <c r="E408" t="s">
        <v>461</v>
      </c>
      <c r="F408" t="s">
        <v>760</v>
      </c>
      <c r="G408" t="s">
        <v>401</v>
      </c>
      <c r="H408" t="s">
        <v>388</v>
      </c>
      <c r="I408" t="s">
        <v>761</v>
      </c>
      <c r="J408" t="s">
        <v>762</v>
      </c>
      <c r="K408" t="s">
        <v>101</v>
      </c>
      <c r="L408" t="s">
        <v>55</v>
      </c>
      <c r="M408" t="s">
        <v>77</v>
      </c>
      <c r="N408" t="s">
        <v>272</v>
      </c>
      <c r="O408">
        <v>2024</v>
      </c>
    </row>
    <row r="409" spans="1:15" x14ac:dyDescent="0.25">
      <c r="A409" t="s">
        <v>733</v>
      </c>
      <c r="B409" t="s">
        <v>763</v>
      </c>
      <c r="C409" t="s">
        <v>764</v>
      </c>
      <c r="D409" t="s">
        <v>375</v>
      </c>
      <c r="E409" t="s">
        <v>461</v>
      </c>
      <c r="F409" t="s">
        <v>736</v>
      </c>
      <c r="G409" t="s">
        <v>451</v>
      </c>
      <c r="H409" t="s">
        <v>378</v>
      </c>
      <c r="I409" t="s">
        <v>44</v>
      </c>
      <c r="J409" t="s">
        <v>765</v>
      </c>
      <c r="K409" t="s">
        <v>574</v>
      </c>
      <c r="L409" t="s">
        <v>740</v>
      </c>
      <c r="M409" t="s">
        <v>39</v>
      </c>
      <c r="N409" t="s">
        <v>173</v>
      </c>
      <c r="O409">
        <v>2022</v>
      </c>
    </row>
    <row r="410" spans="1:15" x14ac:dyDescent="0.25">
      <c r="A410" t="s">
        <v>733</v>
      </c>
      <c r="B410" t="s">
        <v>766</v>
      </c>
      <c r="C410" t="s">
        <v>42</v>
      </c>
      <c r="D410" t="s">
        <v>375</v>
      </c>
      <c r="E410" t="s">
        <v>585</v>
      </c>
      <c r="F410" t="s">
        <v>527</v>
      </c>
      <c r="G410" t="s">
        <v>767</v>
      </c>
      <c r="H410" t="s">
        <v>422</v>
      </c>
      <c r="I410" t="s">
        <v>44</v>
      </c>
      <c r="J410" t="s">
        <v>233</v>
      </c>
      <c r="K410" t="s">
        <v>704</v>
      </c>
      <c r="L410" t="s">
        <v>768</v>
      </c>
      <c r="M410" t="s">
        <v>289</v>
      </c>
      <c r="N410" t="s">
        <v>769</v>
      </c>
      <c r="O410">
        <v>2022</v>
      </c>
    </row>
    <row r="411" spans="1:15" x14ac:dyDescent="0.25">
      <c r="A411" t="s">
        <v>733</v>
      </c>
      <c r="B411" t="s">
        <v>770</v>
      </c>
      <c r="C411" t="s">
        <v>559</v>
      </c>
      <c r="D411" t="s">
        <v>375</v>
      </c>
      <c r="E411" t="s">
        <v>585</v>
      </c>
      <c r="F411" t="s">
        <v>771</v>
      </c>
      <c r="G411" t="s">
        <v>639</v>
      </c>
      <c r="H411" t="s">
        <v>422</v>
      </c>
      <c r="I411" t="s">
        <v>44</v>
      </c>
      <c r="J411" t="s">
        <v>233</v>
      </c>
      <c r="K411" t="s">
        <v>577</v>
      </c>
      <c r="L411" t="s">
        <v>772</v>
      </c>
      <c r="M411" t="s">
        <v>167</v>
      </c>
      <c r="N411" t="s">
        <v>28</v>
      </c>
      <c r="O411">
        <v>2021</v>
      </c>
    </row>
    <row r="412" spans="1:15" x14ac:dyDescent="0.25">
      <c r="A412" t="s">
        <v>733</v>
      </c>
      <c r="B412" t="s">
        <v>773</v>
      </c>
      <c r="C412" t="s">
        <v>774</v>
      </c>
      <c r="D412" t="s">
        <v>68</v>
      </c>
      <c r="E412" t="s">
        <v>585</v>
      </c>
      <c r="F412" t="s">
        <v>771</v>
      </c>
      <c r="G412" t="s">
        <v>639</v>
      </c>
      <c r="H412" t="s">
        <v>422</v>
      </c>
      <c r="I412" t="s">
        <v>775</v>
      </c>
      <c r="J412" t="s">
        <v>288</v>
      </c>
      <c r="K412" t="s">
        <v>776</v>
      </c>
      <c r="L412" t="s">
        <v>304</v>
      </c>
      <c r="M412" t="s">
        <v>300</v>
      </c>
      <c r="N412" t="s">
        <v>777</v>
      </c>
      <c r="O412">
        <v>2021</v>
      </c>
    </row>
    <row r="413" spans="1:15" x14ac:dyDescent="0.25">
      <c r="A413" t="s">
        <v>733</v>
      </c>
      <c r="B413" t="s">
        <v>778</v>
      </c>
      <c r="C413" t="s">
        <v>180</v>
      </c>
      <c r="D413" t="s">
        <v>759</v>
      </c>
      <c r="E413" t="s">
        <v>461</v>
      </c>
      <c r="F413" t="s">
        <v>736</v>
      </c>
      <c r="G413" t="s">
        <v>401</v>
      </c>
      <c r="H413" t="s">
        <v>378</v>
      </c>
      <c r="I413" t="s">
        <v>44</v>
      </c>
      <c r="J413" t="s">
        <v>238</v>
      </c>
      <c r="K413" t="s">
        <v>101</v>
      </c>
      <c r="L413" t="s">
        <v>340</v>
      </c>
      <c r="M413" t="s">
        <v>39</v>
      </c>
      <c r="N413" t="s">
        <v>57</v>
      </c>
      <c r="O413">
        <v>2023</v>
      </c>
    </row>
    <row r="414" spans="1:15" x14ac:dyDescent="0.25">
      <c r="A414" t="s">
        <v>733</v>
      </c>
      <c r="B414" t="s">
        <v>779</v>
      </c>
      <c r="C414" t="s">
        <v>496</v>
      </c>
      <c r="D414" t="s">
        <v>68</v>
      </c>
      <c r="E414" t="s">
        <v>461</v>
      </c>
      <c r="F414" t="s">
        <v>527</v>
      </c>
      <c r="G414" t="s">
        <v>780</v>
      </c>
      <c r="H414" t="s">
        <v>422</v>
      </c>
      <c r="I414" t="s">
        <v>781</v>
      </c>
      <c r="J414" t="s">
        <v>325</v>
      </c>
      <c r="K414" t="s">
        <v>582</v>
      </c>
      <c r="L414" t="s">
        <v>471</v>
      </c>
      <c r="M414" t="s">
        <v>327</v>
      </c>
      <c r="N414" t="s">
        <v>583</v>
      </c>
      <c r="O414">
        <v>2022</v>
      </c>
    </row>
    <row r="415" spans="1:15" x14ac:dyDescent="0.25">
      <c r="A415" t="s">
        <v>733</v>
      </c>
      <c r="B415" t="s">
        <v>782</v>
      </c>
      <c r="C415" t="s">
        <v>496</v>
      </c>
      <c r="D415" t="s">
        <v>68</v>
      </c>
      <c r="E415" t="s">
        <v>461</v>
      </c>
      <c r="F415" t="s">
        <v>527</v>
      </c>
      <c r="G415" t="s">
        <v>783</v>
      </c>
      <c r="H415" t="s">
        <v>422</v>
      </c>
      <c r="I415" t="s">
        <v>781</v>
      </c>
      <c r="J415" t="s">
        <v>316</v>
      </c>
      <c r="K415" t="s">
        <v>465</v>
      </c>
      <c r="L415" t="s">
        <v>312</v>
      </c>
      <c r="M415" t="s">
        <v>481</v>
      </c>
      <c r="N415" t="s">
        <v>320</v>
      </c>
      <c r="O415">
        <v>2021</v>
      </c>
    </row>
    <row r="416" spans="1:15" x14ac:dyDescent="0.25">
      <c r="A416" t="s">
        <v>733</v>
      </c>
      <c r="B416" t="s">
        <v>784</v>
      </c>
      <c r="C416" t="s">
        <v>213</v>
      </c>
      <c r="D416" t="s">
        <v>162</v>
      </c>
      <c r="E416" t="s">
        <v>585</v>
      </c>
      <c r="F416" t="s">
        <v>535</v>
      </c>
      <c r="G416" t="s">
        <v>785</v>
      </c>
      <c r="H416" t="s">
        <v>378</v>
      </c>
      <c r="I416" t="s">
        <v>786</v>
      </c>
      <c r="J416" t="s">
        <v>787</v>
      </c>
      <c r="K416" t="s">
        <v>540</v>
      </c>
      <c r="L416" t="s">
        <v>511</v>
      </c>
      <c r="M416" t="s">
        <v>512</v>
      </c>
      <c r="N416" t="s">
        <v>596</v>
      </c>
      <c r="O416">
        <v>2021</v>
      </c>
    </row>
    <row r="417" spans="1:15" x14ac:dyDescent="0.25">
      <c r="A417" t="s">
        <v>733</v>
      </c>
      <c r="B417" t="s">
        <v>788</v>
      </c>
      <c r="C417" t="s">
        <v>789</v>
      </c>
      <c r="D417" t="s">
        <v>162</v>
      </c>
      <c r="E417" t="s">
        <v>307</v>
      </c>
      <c r="F417" t="s">
        <v>535</v>
      </c>
      <c r="G417" t="s">
        <v>790</v>
      </c>
      <c r="H417" t="s">
        <v>378</v>
      </c>
      <c r="I417" t="s">
        <v>791</v>
      </c>
      <c r="J417" t="s">
        <v>792</v>
      </c>
      <c r="K417" t="s">
        <v>537</v>
      </c>
      <c r="L417" t="s">
        <v>538</v>
      </c>
      <c r="M417" t="s">
        <v>603</v>
      </c>
      <c r="N417" t="s">
        <v>604</v>
      </c>
      <c r="O417">
        <v>2020</v>
      </c>
    </row>
    <row r="418" spans="1:15" x14ac:dyDescent="0.25">
      <c r="A418" t="s">
        <v>733</v>
      </c>
      <c r="B418" t="s">
        <v>793</v>
      </c>
      <c r="C418" t="s">
        <v>235</v>
      </c>
      <c r="D418" t="s">
        <v>375</v>
      </c>
      <c r="E418" t="s">
        <v>585</v>
      </c>
      <c r="F418" t="s">
        <v>794</v>
      </c>
      <c r="G418" t="s">
        <v>795</v>
      </c>
      <c r="H418" t="s">
        <v>422</v>
      </c>
      <c r="I418" t="s">
        <v>775</v>
      </c>
      <c r="J418" t="s">
        <v>796</v>
      </c>
      <c r="K418" t="s">
        <v>797</v>
      </c>
      <c r="L418" t="s">
        <v>304</v>
      </c>
      <c r="M418" t="s">
        <v>289</v>
      </c>
      <c r="N418" t="s">
        <v>34</v>
      </c>
      <c r="O418">
        <v>2020</v>
      </c>
    </row>
    <row r="419" spans="1:15" x14ac:dyDescent="0.25">
      <c r="A419" t="s">
        <v>733</v>
      </c>
      <c r="B419" t="s">
        <v>798</v>
      </c>
      <c r="C419" t="s">
        <v>559</v>
      </c>
      <c r="D419" t="s">
        <v>68</v>
      </c>
      <c r="E419" t="s">
        <v>585</v>
      </c>
      <c r="F419" t="s">
        <v>771</v>
      </c>
      <c r="G419" t="s">
        <v>639</v>
      </c>
      <c r="H419" t="s">
        <v>422</v>
      </c>
      <c r="I419" t="s">
        <v>775</v>
      </c>
      <c r="J419" t="s">
        <v>227</v>
      </c>
      <c r="K419" t="s">
        <v>665</v>
      </c>
      <c r="L419" t="s">
        <v>772</v>
      </c>
      <c r="M419" t="s">
        <v>712</v>
      </c>
      <c r="N419" t="s">
        <v>28</v>
      </c>
      <c r="O419">
        <v>2021</v>
      </c>
    </row>
    <row r="420" spans="1:15" x14ac:dyDescent="0.25">
      <c r="A420" t="s">
        <v>733</v>
      </c>
      <c r="B420" t="s">
        <v>799</v>
      </c>
      <c r="C420" t="s">
        <v>235</v>
      </c>
      <c r="D420" t="s">
        <v>375</v>
      </c>
      <c r="E420" t="s">
        <v>585</v>
      </c>
      <c r="F420" t="s">
        <v>794</v>
      </c>
      <c r="G420" t="s">
        <v>795</v>
      </c>
      <c r="H420" t="s">
        <v>422</v>
      </c>
      <c r="I420" t="s">
        <v>775</v>
      </c>
      <c r="J420" t="s">
        <v>745</v>
      </c>
      <c r="K420" t="s">
        <v>800</v>
      </c>
      <c r="L420" t="s">
        <v>326</v>
      </c>
      <c r="M420" t="s">
        <v>300</v>
      </c>
      <c r="N420" t="s">
        <v>229</v>
      </c>
      <c r="O420">
        <v>2020</v>
      </c>
    </row>
    <row r="421" spans="1:15" x14ac:dyDescent="0.25">
      <c r="A421" t="s">
        <v>733</v>
      </c>
      <c r="B421" t="s">
        <v>801</v>
      </c>
      <c r="C421" t="s">
        <v>42</v>
      </c>
      <c r="D421" t="s">
        <v>375</v>
      </c>
      <c r="E421" t="s">
        <v>585</v>
      </c>
      <c r="F421" t="s">
        <v>527</v>
      </c>
      <c r="G421" t="s">
        <v>767</v>
      </c>
      <c r="H421" t="s">
        <v>422</v>
      </c>
      <c r="I421" t="s">
        <v>44</v>
      </c>
      <c r="J421" t="s">
        <v>233</v>
      </c>
      <c r="K421" t="s">
        <v>704</v>
      </c>
      <c r="L421" t="s">
        <v>768</v>
      </c>
      <c r="M421" t="s">
        <v>289</v>
      </c>
      <c r="N421" t="s">
        <v>769</v>
      </c>
      <c r="O421">
        <v>2022</v>
      </c>
    </row>
    <row r="422" spans="1:15" x14ac:dyDescent="0.25">
      <c r="A422" t="s">
        <v>733</v>
      </c>
      <c r="B422" t="s">
        <v>802</v>
      </c>
      <c r="C422" t="s">
        <v>213</v>
      </c>
      <c r="D422" t="s">
        <v>68</v>
      </c>
      <c r="E422" t="s">
        <v>585</v>
      </c>
      <c r="F422" t="s">
        <v>803</v>
      </c>
      <c r="G422" t="s">
        <v>804</v>
      </c>
      <c r="H422" t="s">
        <v>422</v>
      </c>
      <c r="I422" t="s">
        <v>775</v>
      </c>
      <c r="J422" t="s">
        <v>227</v>
      </c>
      <c r="K422" t="s">
        <v>776</v>
      </c>
      <c r="L422" t="s">
        <v>326</v>
      </c>
      <c r="M422" t="s">
        <v>300</v>
      </c>
      <c r="N422" t="s">
        <v>229</v>
      </c>
      <c r="O422">
        <v>2021</v>
      </c>
    </row>
    <row r="423" spans="1:15" x14ac:dyDescent="0.25">
      <c r="A423" t="s">
        <v>733</v>
      </c>
      <c r="B423" t="s">
        <v>805</v>
      </c>
      <c r="C423" t="s">
        <v>474</v>
      </c>
      <c r="D423" t="s">
        <v>375</v>
      </c>
      <c r="E423" t="s">
        <v>585</v>
      </c>
      <c r="F423" t="s">
        <v>760</v>
      </c>
      <c r="G423" t="s">
        <v>795</v>
      </c>
      <c r="H423" t="s">
        <v>806</v>
      </c>
      <c r="I423" t="s">
        <v>807</v>
      </c>
      <c r="J423" t="s">
        <v>227</v>
      </c>
      <c r="K423" t="s">
        <v>704</v>
      </c>
      <c r="L423" t="s">
        <v>740</v>
      </c>
      <c r="M423" t="s">
        <v>289</v>
      </c>
      <c r="N423" t="s">
        <v>34</v>
      </c>
      <c r="O423">
        <v>2020</v>
      </c>
    </row>
    <row r="424" spans="1:15" x14ac:dyDescent="0.25">
      <c r="A424" t="s">
        <v>733</v>
      </c>
      <c r="B424" t="s">
        <v>808</v>
      </c>
      <c r="C424" t="s">
        <v>809</v>
      </c>
      <c r="D424" t="s">
        <v>68</v>
      </c>
      <c r="E424" t="s">
        <v>585</v>
      </c>
      <c r="F424" t="s">
        <v>794</v>
      </c>
      <c r="G424" t="s">
        <v>795</v>
      </c>
      <c r="H424" t="s">
        <v>560</v>
      </c>
      <c r="I424" t="s">
        <v>775</v>
      </c>
      <c r="J424" t="s">
        <v>745</v>
      </c>
      <c r="K424" t="s">
        <v>810</v>
      </c>
      <c r="L424" t="s">
        <v>326</v>
      </c>
      <c r="M424" t="s">
        <v>167</v>
      </c>
      <c r="N424" t="s">
        <v>229</v>
      </c>
      <c r="O424">
        <v>2020</v>
      </c>
    </row>
    <row r="425" spans="1:15" x14ac:dyDescent="0.25">
      <c r="A425" t="s">
        <v>733</v>
      </c>
      <c r="B425" t="s">
        <v>811</v>
      </c>
      <c r="C425" t="s">
        <v>421</v>
      </c>
      <c r="D425" t="s">
        <v>18</v>
      </c>
      <c r="E425" t="s">
        <v>585</v>
      </c>
      <c r="F425" t="s">
        <v>755</v>
      </c>
      <c r="G425" t="s">
        <v>812</v>
      </c>
      <c r="H425" t="s">
        <v>378</v>
      </c>
      <c r="I425" t="s">
        <v>813</v>
      </c>
      <c r="J425" t="s">
        <v>310</v>
      </c>
      <c r="K425" t="s">
        <v>489</v>
      </c>
      <c r="L425" t="s">
        <v>480</v>
      </c>
      <c r="M425" t="s">
        <v>502</v>
      </c>
      <c r="N425" t="s">
        <v>516</v>
      </c>
      <c r="O425">
        <v>2022</v>
      </c>
    </row>
    <row r="426" spans="1:15" x14ac:dyDescent="0.25">
      <c r="A426" t="s">
        <v>733</v>
      </c>
      <c r="B426" t="s">
        <v>814</v>
      </c>
      <c r="C426" t="s">
        <v>815</v>
      </c>
      <c r="D426" t="s">
        <v>68</v>
      </c>
      <c r="E426" t="s">
        <v>585</v>
      </c>
      <c r="F426" t="s">
        <v>816</v>
      </c>
      <c r="G426" t="s">
        <v>817</v>
      </c>
      <c r="H426" t="s">
        <v>422</v>
      </c>
      <c r="I426" t="s">
        <v>781</v>
      </c>
      <c r="J426" t="s">
        <v>818</v>
      </c>
      <c r="K426" t="s">
        <v>521</v>
      </c>
      <c r="L426" t="s">
        <v>471</v>
      </c>
      <c r="M426" t="s">
        <v>491</v>
      </c>
      <c r="N426" t="s">
        <v>482</v>
      </c>
      <c r="O426">
        <v>2022</v>
      </c>
    </row>
    <row r="427" spans="1:15" x14ac:dyDescent="0.25">
      <c r="A427" t="s">
        <v>733</v>
      </c>
      <c r="B427" t="s">
        <v>819</v>
      </c>
      <c r="C427" t="s">
        <v>820</v>
      </c>
      <c r="D427" t="s">
        <v>18</v>
      </c>
      <c r="E427" t="s">
        <v>585</v>
      </c>
      <c r="F427" t="s">
        <v>803</v>
      </c>
      <c r="G427" t="s">
        <v>821</v>
      </c>
      <c r="H427" t="s">
        <v>822</v>
      </c>
      <c r="I427" t="s">
        <v>823</v>
      </c>
      <c r="J427" t="s">
        <v>310</v>
      </c>
      <c r="K427" t="s">
        <v>479</v>
      </c>
      <c r="L427" t="s">
        <v>522</v>
      </c>
      <c r="M427" t="s">
        <v>481</v>
      </c>
      <c r="N427" t="s">
        <v>320</v>
      </c>
      <c r="O427">
        <v>2020</v>
      </c>
    </row>
    <row r="428" spans="1:15" x14ac:dyDescent="0.25">
      <c r="A428" t="s">
        <v>733</v>
      </c>
      <c r="B428" t="s">
        <v>824</v>
      </c>
      <c r="C428" t="s">
        <v>825</v>
      </c>
      <c r="D428" t="s">
        <v>18</v>
      </c>
      <c r="E428" t="s">
        <v>585</v>
      </c>
      <c r="F428" t="s">
        <v>816</v>
      </c>
      <c r="G428" t="s">
        <v>826</v>
      </c>
      <c r="H428" t="s">
        <v>422</v>
      </c>
      <c r="I428" t="s">
        <v>781</v>
      </c>
      <c r="J428" t="s">
        <v>827</v>
      </c>
      <c r="K428" t="s">
        <v>494</v>
      </c>
      <c r="L428" t="s">
        <v>471</v>
      </c>
      <c r="M428" t="s">
        <v>491</v>
      </c>
      <c r="N428" t="s">
        <v>320</v>
      </c>
      <c r="O428">
        <v>2021</v>
      </c>
    </row>
    <row r="429" spans="1:15" x14ac:dyDescent="0.25">
      <c r="A429" t="s">
        <v>733</v>
      </c>
      <c r="B429" t="s">
        <v>828</v>
      </c>
      <c r="C429" t="s">
        <v>213</v>
      </c>
      <c r="D429" t="s">
        <v>68</v>
      </c>
      <c r="E429" t="s">
        <v>461</v>
      </c>
      <c r="F429" t="s">
        <v>527</v>
      </c>
      <c r="G429" t="s">
        <v>783</v>
      </c>
      <c r="H429" t="s">
        <v>422</v>
      </c>
      <c r="I429" t="s">
        <v>781</v>
      </c>
      <c r="J429" t="s">
        <v>325</v>
      </c>
      <c r="K429" t="s">
        <v>465</v>
      </c>
      <c r="L429" t="s">
        <v>471</v>
      </c>
      <c r="M429" t="s">
        <v>327</v>
      </c>
      <c r="N429" t="s">
        <v>583</v>
      </c>
      <c r="O429">
        <v>2021</v>
      </c>
    </row>
    <row r="430" spans="1:15" x14ac:dyDescent="0.25">
      <c r="A430" t="s">
        <v>733</v>
      </c>
      <c r="B430" t="s">
        <v>829</v>
      </c>
      <c r="C430" t="s">
        <v>789</v>
      </c>
      <c r="D430" t="s">
        <v>162</v>
      </c>
      <c r="E430" t="s">
        <v>307</v>
      </c>
      <c r="F430" t="s">
        <v>535</v>
      </c>
      <c r="G430" t="s">
        <v>790</v>
      </c>
      <c r="H430" t="s">
        <v>378</v>
      </c>
      <c r="I430" t="s">
        <v>791</v>
      </c>
      <c r="J430" t="s">
        <v>792</v>
      </c>
      <c r="K430" t="s">
        <v>537</v>
      </c>
      <c r="L430" t="s">
        <v>538</v>
      </c>
      <c r="M430" t="s">
        <v>603</v>
      </c>
      <c r="N430" t="s">
        <v>604</v>
      </c>
      <c r="O430">
        <v>2020</v>
      </c>
    </row>
    <row r="431" spans="1:15" x14ac:dyDescent="0.25">
      <c r="A431" t="s">
        <v>733</v>
      </c>
      <c r="B431" t="s">
        <v>830</v>
      </c>
      <c r="C431" t="s">
        <v>496</v>
      </c>
      <c r="D431" t="s">
        <v>18</v>
      </c>
      <c r="E431" t="s">
        <v>585</v>
      </c>
      <c r="F431" t="s">
        <v>816</v>
      </c>
      <c r="G431" t="s">
        <v>831</v>
      </c>
      <c r="H431" t="s">
        <v>560</v>
      </c>
      <c r="I431" t="s">
        <v>786</v>
      </c>
      <c r="J431" t="s">
        <v>310</v>
      </c>
      <c r="K431" t="s">
        <v>489</v>
      </c>
      <c r="L431" t="s">
        <v>480</v>
      </c>
      <c r="M431" t="s">
        <v>491</v>
      </c>
      <c r="N431" t="s">
        <v>503</v>
      </c>
      <c r="O431">
        <v>2020</v>
      </c>
    </row>
    <row r="432" spans="1:15" x14ac:dyDescent="0.25">
      <c r="A432" t="s">
        <v>733</v>
      </c>
      <c r="B432" t="s">
        <v>832</v>
      </c>
      <c r="C432" t="s">
        <v>559</v>
      </c>
      <c r="D432" t="s">
        <v>68</v>
      </c>
      <c r="E432" t="s">
        <v>585</v>
      </c>
      <c r="F432" t="s">
        <v>803</v>
      </c>
      <c r="G432" t="s">
        <v>795</v>
      </c>
      <c r="H432" t="s">
        <v>560</v>
      </c>
      <c r="I432" t="s">
        <v>775</v>
      </c>
      <c r="J432" t="s">
        <v>745</v>
      </c>
      <c r="K432" t="s">
        <v>810</v>
      </c>
      <c r="L432" t="s">
        <v>326</v>
      </c>
      <c r="M432" t="s">
        <v>712</v>
      </c>
      <c r="N432" t="s">
        <v>229</v>
      </c>
      <c r="O432">
        <v>2020</v>
      </c>
    </row>
    <row r="433" spans="1:15" x14ac:dyDescent="0.25">
      <c r="A433" t="s">
        <v>733</v>
      </c>
      <c r="B433" t="s">
        <v>833</v>
      </c>
      <c r="C433" t="s">
        <v>496</v>
      </c>
      <c r="D433" t="s">
        <v>18</v>
      </c>
      <c r="E433" t="s">
        <v>585</v>
      </c>
      <c r="F433" t="s">
        <v>803</v>
      </c>
      <c r="G433" t="s">
        <v>834</v>
      </c>
      <c r="H433" t="s">
        <v>446</v>
      </c>
      <c r="I433" t="s">
        <v>835</v>
      </c>
      <c r="J433" t="s">
        <v>836</v>
      </c>
      <c r="K433" t="s">
        <v>837</v>
      </c>
      <c r="L433" t="s">
        <v>838</v>
      </c>
      <c r="M433" t="s">
        <v>300</v>
      </c>
      <c r="N433" t="s">
        <v>839</v>
      </c>
      <c r="O433">
        <v>2020</v>
      </c>
    </row>
    <row r="434" spans="1:15" x14ac:dyDescent="0.25">
      <c r="A434" t="s">
        <v>733</v>
      </c>
      <c r="B434" t="s">
        <v>840</v>
      </c>
      <c r="C434" t="s">
        <v>789</v>
      </c>
      <c r="D434" t="s">
        <v>841</v>
      </c>
      <c r="E434" t="s">
        <v>585</v>
      </c>
      <c r="F434" t="s">
        <v>842</v>
      </c>
      <c r="G434" t="s">
        <v>843</v>
      </c>
      <c r="H434" t="s">
        <v>446</v>
      </c>
      <c r="I434" t="s">
        <v>835</v>
      </c>
      <c r="J434" t="s">
        <v>288</v>
      </c>
      <c r="K434" t="s">
        <v>844</v>
      </c>
      <c r="L434" t="s">
        <v>768</v>
      </c>
      <c r="M434" t="s">
        <v>27</v>
      </c>
      <c r="N434" t="s">
        <v>173</v>
      </c>
      <c r="O434">
        <v>2018</v>
      </c>
    </row>
    <row r="435" spans="1:15" x14ac:dyDescent="0.25">
      <c r="A435" t="s">
        <v>733</v>
      </c>
      <c r="B435" t="s">
        <v>845</v>
      </c>
      <c r="C435" t="s">
        <v>846</v>
      </c>
      <c r="D435" t="s">
        <v>18</v>
      </c>
      <c r="E435" t="s">
        <v>585</v>
      </c>
      <c r="F435" t="s">
        <v>847</v>
      </c>
      <c r="G435" t="s">
        <v>848</v>
      </c>
      <c r="H435" t="s">
        <v>609</v>
      </c>
      <c r="I435" t="s">
        <v>849</v>
      </c>
      <c r="J435" t="s">
        <v>303</v>
      </c>
      <c r="K435" t="s">
        <v>746</v>
      </c>
      <c r="L435" t="s">
        <v>326</v>
      </c>
      <c r="M435" t="s">
        <v>712</v>
      </c>
      <c r="N435" t="s">
        <v>229</v>
      </c>
      <c r="O435">
        <v>2017</v>
      </c>
    </row>
    <row r="436" spans="1:15" x14ac:dyDescent="0.25">
      <c r="A436" t="s">
        <v>733</v>
      </c>
      <c r="B436" t="s">
        <v>850</v>
      </c>
      <c r="C436" t="s">
        <v>851</v>
      </c>
      <c r="D436" t="s">
        <v>68</v>
      </c>
      <c r="E436" t="s">
        <v>585</v>
      </c>
      <c r="F436" t="s">
        <v>527</v>
      </c>
      <c r="G436" t="s">
        <v>401</v>
      </c>
      <c r="H436" t="s">
        <v>422</v>
      </c>
      <c r="I436" t="s">
        <v>44</v>
      </c>
      <c r="J436" t="s">
        <v>238</v>
      </c>
      <c r="K436" t="s">
        <v>101</v>
      </c>
      <c r="L436" t="s">
        <v>38</v>
      </c>
      <c r="M436" t="s">
        <v>33</v>
      </c>
      <c r="N436" t="s">
        <v>57</v>
      </c>
      <c r="O436">
        <v>2023</v>
      </c>
    </row>
    <row r="437" spans="1:15" x14ac:dyDescent="0.25">
      <c r="A437" t="s">
        <v>733</v>
      </c>
      <c r="B437" t="s">
        <v>852</v>
      </c>
      <c r="C437" t="s">
        <v>518</v>
      </c>
      <c r="D437" t="s">
        <v>375</v>
      </c>
      <c r="E437" t="s">
        <v>461</v>
      </c>
      <c r="F437" t="s">
        <v>736</v>
      </c>
      <c r="G437" t="s">
        <v>401</v>
      </c>
      <c r="H437" t="s">
        <v>378</v>
      </c>
      <c r="I437" t="s">
        <v>44</v>
      </c>
      <c r="J437" t="s">
        <v>765</v>
      </c>
      <c r="K437" t="s">
        <v>101</v>
      </c>
      <c r="L437" t="s">
        <v>108</v>
      </c>
      <c r="M437" t="s">
        <v>27</v>
      </c>
      <c r="N437" t="s">
        <v>66</v>
      </c>
      <c r="O437">
        <v>2023</v>
      </c>
    </row>
    <row r="438" spans="1:15" x14ac:dyDescent="0.25">
      <c r="A438" t="s">
        <v>733</v>
      </c>
      <c r="B438" t="s">
        <v>853</v>
      </c>
      <c r="C438" t="s">
        <v>735</v>
      </c>
      <c r="D438" t="s">
        <v>68</v>
      </c>
      <c r="E438" t="s">
        <v>585</v>
      </c>
      <c r="F438" t="s">
        <v>854</v>
      </c>
      <c r="G438" t="s">
        <v>855</v>
      </c>
      <c r="H438" t="s">
        <v>422</v>
      </c>
      <c r="I438" t="s">
        <v>44</v>
      </c>
      <c r="J438" t="s">
        <v>231</v>
      </c>
      <c r="K438" t="s">
        <v>665</v>
      </c>
      <c r="L438" t="s">
        <v>856</v>
      </c>
      <c r="M438" t="s">
        <v>300</v>
      </c>
      <c r="N438" t="s">
        <v>229</v>
      </c>
      <c r="O438">
        <v>2022</v>
      </c>
    </row>
    <row r="439" spans="1:15" x14ac:dyDescent="0.25">
      <c r="A439" t="s">
        <v>733</v>
      </c>
      <c r="B439" t="s">
        <v>857</v>
      </c>
      <c r="C439" t="s">
        <v>59</v>
      </c>
      <c r="D439" t="s">
        <v>375</v>
      </c>
      <c r="E439" t="s">
        <v>585</v>
      </c>
      <c r="F439" t="s">
        <v>476</v>
      </c>
      <c r="G439" t="s">
        <v>834</v>
      </c>
      <c r="H439" t="s">
        <v>395</v>
      </c>
      <c r="I439" t="s">
        <v>858</v>
      </c>
      <c r="J439" t="s">
        <v>231</v>
      </c>
      <c r="K439" t="s">
        <v>577</v>
      </c>
      <c r="L439" t="s">
        <v>768</v>
      </c>
      <c r="M439" t="s">
        <v>27</v>
      </c>
      <c r="N439" t="s">
        <v>173</v>
      </c>
      <c r="O439">
        <v>2019</v>
      </c>
    </row>
    <row r="440" spans="1:15" x14ac:dyDescent="0.25">
      <c r="A440" t="s">
        <v>733</v>
      </c>
      <c r="B440" t="s">
        <v>859</v>
      </c>
      <c r="C440" t="s">
        <v>266</v>
      </c>
      <c r="D440" t="s">
        <v>18</v>
      </c>
      <c r="E440" t="s">
        <v>585</v>
      </c>
      <c r="F440" t="s">
        <v>842</v>
      </c>
      <c r="G440" t="s">
        <v>843</v>
      </c>
      <c r="H440" t="s">
        <v>609</v>
      </c>
      <c r="I440" t="s">
        <v>860</v>
      </c>
      <c r="J440" t="s">
        <v>861</v>
      </c>
      <c r="K440" t="s">
        <v>862</v>
      </c>
      <c r="L440" t="s">
        <v>326</v>
      </c>
      <c r="M440" t="s">
        <v>300</v>
      </c>
      <c r="N440" t="s">
        <v>229</v>
      </c>
      <c r="O440">
        <v>2018</v>
      </c>
    </row>
    <row r="441" spans="1:15" x14ac:dyDescent="0.25">
      <c r="A441" t="s">
        <v>733</v>
      </c>
      <c r="B441" t="s">
        <v>863</v>
      </c>
      <c r="C441" t="s">
        <v>864</v>
      </c>
      <c r="D441" t="s">
        <v>68</v>
      </c>
      <c r="E441" t="s">
        <v>585</v>
      </c>
      <c r="F441" t="s">
        <v>842</v>
      </c>
      <c r="G441" t="s">
        <v>848</v>
      </c>
      <c r="H441" t="s">
        <v>609</v>
      </c>
      <c r="I441" t="s">
        <v>601</v>
      </c>
      <c r="J441" t="s">
        <v>865</v>
      </c>
      <c r="K441" t="s">
        <v>866</v>
      </c>
      <c r="L441" t="s">
        <v>299</v>
      </c>
      <c r="M441" t="s">
        <v>300</v>
      </c>
      <c r="N441" t="s">
        <v>839</v>
      </c>
      <c r="O441">
        <v>2017</v>
      </c>
    </row>
    <row r="442" spans="1:15" x14ac:dyDescent="0.25">
      <c r="A442" t="s">
        <v>733</v>
      </c>
      <c r="B442" t="s">
        <v>867</v>
      </c>
      <c r="C442" t="s">
        <v>496</v>
      </c>
      <c r="D442" t="s">
        <v>68</v>
      </c>
      <c r="E442" t="s">
        <v>461</v>
      </c>
      <c r="F442" t="s">
        <v>816</v>
      </c>
      <c r="G442" t="s">
        <v>821</v>
      </c>
      <c r="H442" t="s">
        <v>395</v>
      </c>
      <c r="I442" t="s">
        <v>823</v>
      </c>
      <c r="J442" t="s">
        <v>325</v>
      </c>
      <c r="K442" t="s">
        <v>494</v>
      </c>
      <c r="L442" t="s">
        <v>471</v>
      </c>
      <c r="M442" t="s">
        <v>491</v>
      </c>
      <c r="N442" t="s">
        <v>482</v>
      </c>
      <c r="O442">
        <v>2020</v>
      </c>
    </row>
    <row r="443" spans="1:15" x14ac:dyDescent="0.25">
      <c r="A443" t="s">
        <v>733</v>
      </c>
      <c r="B443" t="s">
        <v>868</v>
      </c>
      <c r="C443" t="s">
        <v>474</v>
      </c>
      <c r="D443" t="s">
        <v>375</v>
      </c>
      <c r="E443" t="s">
        <v>585</v>
      </c>
      <c r="F443" t="s">
        <v>476</v>
      </c>
      <c r="G443" t="s">
        <v>795</v>
      </c>
      <c r="H443" t="s">
        <v>806</v>
      </c>
      <c r="I443" t="s">
        <v>807</v>
      </c>
      <c r="J443" t="s">
        <v>231</v>
      </c>
      <c r="K443" t="s">
        <v>577</v>
      </c>
      <c r="L443" t="s">
        <v>740</v>
      </c>
      <c r="M443" t="s">
        <v>39</v>
      </c>
      <c r="N443" t="s">
        <v>57</v>
      </c>
      <c r="O443">
        <v>2020</v>
      </c>
    </row>
    <row r="444" spans="1:15" x14ac:dyDescent="0.25">
      <c r="A444" t="s">
        <v>733</v>
      </c>
      <c r="B444" t="s">
        <v>869</v>
      </c>
      <c r="C444" t="s">
        <v>235</v>
      </c>
      <c r="D444" t="s">
        <v>375</v>
      </c>
      <c r="E444" t="s">
        <v>585</v>
      </c>
      <c r="F444" t="s">
        <v>794</v>
      </c>
      <c r="G444" t="s">
        <v>795</v>
      </c>
      <c r="H444" t="s">
        <v>422</v>
      </c>
      <c r="I444" t="s">
        <v>775</v>
      </c>
      <c r="J444" t="s">
        <v>231</v>
      </c>
      <c r="K444" t="s">
        <v>870</v>
      </c>
      <c r="L444" t="s">
        <v>768</v>
      </c>
      <c r="M444" t="s">
        <v>27</v>
      </c>
      <c r="N444" t="s">
        <v>173</v>
      </c>
      <c r="O444">
        <v>2020</v>
      </c>
    </row>
    <row r="445" spans="1:15" x14ac:dyDescent="0.25">
      <c r="A445" t="s">
        <v>733</v>
      </c>
      <c r="B445" t="s">
        <v>871</v>
      </c>
      <c r="C445" t="s">
        <v>59</v>
      </c>
      <c r="D445" t="s">
        <v>375</v>
      </c>
      <c r="E445" t="s">
        <v>585</v>
      </c>
      <c r="F445" t="s">
        <v>476</v>
      </c>
      <c r="G445" t="s">
        <v>834</v>
      </c>
      <c r="H445" t="s">
        <v>872</v>
      </c>
      <c r="I445" t="s">
        <v>858</v>
      </c>
      <c r="J445" t="s">
        <v>233</v>
      </c>
      <c r="K445" t="s">
        <v>135</v>
      </c>
      <c r="L445" t="s">
        <v>102</v>
      </c>
      <c r="M445" t="s">
        <v>39</v>
      </c>
      <c r="N445" t="s">
        <v>84</v>
      </c>
      <c r="O445">
        <v>2019</v>
      </c>
    </row>
    <row r="446" spans="1:15" x14ac:dyDescent="0.25">
      <c r="A446" t="s">
        <v>733</v>
      </c>
      <c r="B446" t="s">
        <v>873</v>
      </c>
      <c r="C446" t="s">
        <v>851</v>
      </c>
      <c r="D446" t="s">
        <v>375</v>
      </c>
      <c r="E446" t="s">
        <v>461</v>
      </c>
      <c r="F446" t="s">
        <v>527</v>
      </c>
      <c r="G446" t="s">
        <v>737</v>
      </c>
      <c r="H446" t="s">
        <v>378</v>
      </c>
      <c r="I446" t="s">
        <v>44</v>
      </c>
      <c r="J446" t="s">
        <v>874</v>
      </c>
      <c r="K446" t="s">
        <v>101</v>
      </c>
      <c r="L446" t="s">
        <v>38</v>
      </c>
      <c r="M446" t="s">
        <v>33</v>
      </c>
      <c r="N446" t="s">
        <v>72</v>
      </c>
      <c r="O446">
        <v>2023</v>
      </c>
    </row>
    <row r="447" spans="1:15" x14ac:dyDescent="0.25">
      <c r="A447" t="s">
        <v>733</v>
      </c>
      <c r="B447" t="s">
        <v>875</v>
      </c>
      <c r="C447" t="s">
        <v>518</v>
      </c>
      <c r="D447" t="s">
        <v>68</v>
      </c>
      <c r="E447" t="s">
        <v>585</v>
      </c>
      <c r="F447" t="s">
        <v>816</v>
      </c>
      <c r="G447" t="s">
        <v>401</v>
      </c>
      <c r="H447" t="s">
        <v>388</v>
      </c>
      <c r="I447" t="s">
        <v>775</v>
      </c>
      <c r="J447" t="s">
        <v>765</v>
      </c>
      <c r="K447" t="s">
        <v>135</v>
      </c>
      <c r="L447" t="s">
        <v>108</v>
      </c>
      <c r="M447" t="s">
        <v>27</v>
      </c>
      <c r="N447" t="s">
        <v>66</v>
      </c>
      <c r="O447">
        <v>2023</v>
      </c>
    </row>
    <row r="448" spans="1:15" x14ac:dyDescent="0.25">
      <c r="A448" t="s">
        <v>733</v>
      </c>
      <c r="B448" t="s">
        <v>876</v>
      </c>
      <c r="C448" t="s">
        <v>877</v>
      </c>
      <c r="D448" t="s">
        <v>375</v>
      </c>
      <c r="E448" t="s">
        <v>461</v>
      </c>
      <c r="F448" t="s">
        <v>736</v>
      </c>
      <c r="G448" t="s">
        <v>401</v>
      </c>
      <c r="H448" t="s">
        <v>378</v>
      </c>
      <c r="I448" t="s">
        <v>44</v>
      </c>
      <c r="J448" t="s">
        <v>238</v>
      </c>
      <c r="K448" t="s">
        <v>101</v>
      </c>
      <c r="L448" t="s">
        <v>46</v>
      </c>
      <c r="M448" t="s">
        <v>39</v>
      </c>
      <c r="N448" t="s">
        <v>84</v>
      </c>
      <c r="O448">
        <v>2023</v>
      </c>
    </row>
    <row r="449" spans="1:15" x14ac:dyDescent="0.25">
      <c r="A449" t="s">
        <v>733</v>
      </c>
      <c r="B449" t="s">
        <v>878</v>
      </c>
      <c r="C449" t="s">
        <v>764</v>
      </c>
      <c r="D449" t="s">
        <v>375</v>
      </c>
      <c r="E449" t="s">
        <v>585</v>
      </c>
      <c r="F449" t="s">
        <v>527</v>
      </c>
      <c r="G449" t="s">
        <v>401</v>
      </c>
      <c r="H449" t="s">
        <v>378</v>
      </c>
      <c r="I449" t="s">
        <v>44</v>
      </c>
      <c r="J449" t="s">
        <v>238</v>
      </c>
      <c r="K449" t="s">
        <v>101</v>
      </c>
      <c r="L449" t="s">
        <v>144</v>
      </c>
      <c r="M449" t="s">
        <v>33</v>
      </c>
      <c r="N449" t="s">
        <v>57</v>
      </c>
      <c r="O449">
        <v>2023</v>
      </c>
    </row>
    <row r="450" spans="1:15" x14ac:dyDescent="0.25">
      <c r="A450" t="s">
        <v>733</v>
      </c>
      <c r="B450" t="s">
        <v>879</v>
      </c>
      <c r="C450" t="s">
        <v>880</v>
      </c>
      <c r="D450" t="s">
        <v>68</v>
      </c>
      <c r="E450" t="s">
        <v>307</v>
      </c>
      <c r="F450" t="s">
        <v>475</v>
      </c>
      <c r="G450" t="s">
        <v>743</v>
      </c>
      <c r="H450" t="s">
        <v>881</v>
      </c>
      <c r="I450" t="s">
        <v>882</v>
      </c>
      <c r="J450" t="s">
        <v>865</v>
      </c>
      <c r="K450" t="s">
        <v>776</v>
      </c>
      <c r="L450" t="s">
        <v>883</v>
      </c>
      <c r="M450" t="s">
        <v>331</v>
      </c>
      <c r="N450" t="s">
        <v>332</v>
      </c>
      <c r="O450">
        <v>2023</v>
      </c>
    </row>
    <row r="451" spans="1:15" x14ac:dyDescent="0.25">
      <c r="A451" t="s">
        <v>733</v>
      </c>
      <c r="B451" t="s">
        <v>884</v>
      </c>
      <c r="C451" t="s">
        <v>880</v>
      </c>
      <c r="D451" t="s">
        <v>68</v>
      </c>
      <c r="E451" t="s">
        <v>307</v>
      </c>
      <c r="F451" t="s">
        <v>475</v>
      </c>
      <c r="G451" t="s">
        <v>743</v>
      </c>
      <c r="H451" t="s">
        <v>881</v>
      </c>
      <c r="I451" t="s">
        <v>882</v>
      </c>
      <c r="J451" t="s">
        <v>885</v>
      </c>
      <c r="K451" t="s">
        <v>716</v>
      </c>
      <c r="L451" t="s">
        <v>886</v>
      </c>
      <c r="M451" t="s">
        <v>666</v>
      </c>
      <c r="N451" t="s">
        <v>667</v>
      </c>
      <c r="O451">
        <v>2024</v>
      </c>
    </row>
    <row r="452" spans="1:15" x14ac:dyDescent="0.25">
      <c r="A452" t="s">
        <v>733</v>
      </c>
      <c r="B452" t="s">
        <v>887</v>
      </c>
      <c r="C452" t="s">
        <v>888</v>
      </c>
      <c r="D452" t="s">
        <v>375</v>
      </c>
      <c r="E452" t="s">
        <v>585</v>
      </c>
      <c r="F452" t="s">
        <v>580</v>
      </c>
      <c r="G452" t="s">
        <v>737</v>
      </c>
      <c r="H452" t="s">
        <v>889</v>
      </c>
      <c r="I452" t="s">
        <v>656</v>
      </c>
      <c r="J452" t="s">
        <v>231</v>
      </c>
      <c r="K452" t="s">
        <v>135</v>
      </c>
      <c r="L452" t="s">
        <v>108</v>
      </c>
      <c r="M452" t="s">
        <v>27</v>
      </c>
      <c r="N452" t="s">
        <v>168</v>
      </c>
      <c r="O452">
        <v>2024</v>
      </c>
    </row>
    <row r="453" spans="1:15" x14ac:dyDescent="0.25">
      <c r="A453" t="s">
        <v>1118</v>
      </c>
      <c r="B453" t="s">
        <v>1119</v>
      </c>
      <c r="C453" t="s">
        <v>1120</v>
      </c>
      <c r="D453" t="s">
        <v>375</v>
      </c>
      <c r="E453" t="s">
        <v>461</v>
      </c>
      <c r="F453" t="s">
        <v>1121</v>
      </c>
      <c r="G453" t="s">
        <v>401</v>
      </c>
      <c r="H453" t="s">
        <v>1122</v>
      </c>
      <c r="I453" t="s">
        <v>1123</v>
      </c>
      <c r="J453" t="s">
        <v>762</v>
      </c>
      <c r="K453" t="s">
        <v>1124</v>
      </c>
      <c r="L453" t="s">
        <v>646</v>
      </c>
      <c r="M453" t="s">
        <v>128</v>
      </c>
      <c r="N453" t="s">
        <v>1125</v>
      </c>
      <c r="O453">
        <v>2023</v>
      </c>
    </row>
    <row r="454" spans="1:15" x14ac:dyDescent="0.25">
      <c r="A454" t="s">
        <v>1118</v>
      </c>
      <c r="B454" t="s">
        <v>1126</v>
      </c>
      <c r="C454" t="s">
        <v>549</v>
      </c>
      <c r="D454" t="s">
        <v>375</v>
      </c>
      <c r="E454" t="s">
        <v>461</v>
      </c>
      <c r="F454" t="s">
        <v>1127</v>
      </c>
      <c r="G454" t="s">
        <v>1078</v>
      </c>
      <c r="H454" t="s">
        <v>560</v>
      </c>
      <c r="I454" t="s">
        <v>379</v>
      </c>
      <c r="J454" t="s">
        <v>765</v>
      </c>
      <c r="K454" t="s">
        <v>83</v>
      </c>
      <c r="L454" t="s">
        <v>55</v>
      </c>
      <c r="M454" t="s">
        <v>56</v>
      </c>
      <c r="N454" t="s">
        <v>72</v>
      </c>
      <c r="O454">
        <v>2023</v>
      </c>
    </row>
    <row r="455" spans="1:15" x14ac:dyDescent="0.25">
      <c r="A455" t="s">
        <v>1118</v>
      </c>
      <c r="B455" t="s">
        <v>1128</v>
      </c>
      <c r="C455" t="s">
        <v>851</v>
      </c>
      <c r="D455" t="s">
        <v>375</v>
      </c>
      <c r="E455" t="s">
        <v>461</v>
      </c>
      <c r="F455" t="s">
        <v>1129</v>
      </c>
      <c r="G455" t="s">
        <v>401</v>
      </c>
      <c r="H455" t="s">
        <v>378</v>
      </c>
      <c r="I455" t="s">
        <v>379</v>
      </c>
      <c r="J455" t="s">
        <v>45</v>
      </c>
      <c r="K455" t="s">
        <v>898</v>
      </c>
      <c r="L455" t="s">
        <v>158</v>
      </c>
      <c r="M455" t="s">
        <v>94</v>
      </c>
      <c r="N455" t="s">
        <v>275</v>
      </c>
      <c r="O455">
        <v>2024</v>
      </c>
    </row>
    <row r="456" spans="1:15" x14ac:dyDescent="0.25">
      <c r="A456" t="s">
        <v>1118</v>
      </c>
      <c r="B456" t="s">
        <v>1130</v>
      </c>
      <c r="C456" t="s">
        <v>421</v>
      </c>
      <c r="D456" t="s">
        <v>68</v>
      </c>
      <c r="E456" t="s">
        <v>461</v>
      </c>
      <c r="F456" t="s">
        <v>1131</v>
      </c>
      <c r="G456" t="s">
        <v>401</v>
      </c>
      <c r="H456" t="s">
        <v>388</v>
      </c>
      <c r="I456" t="s">
        <v>44</v>
      </c>
      <c r="J456" t="s">
        <v>765</v>
      </c>
      <c r="K456" t="s">
        <v>121</v>
      </c>
      <c r="L456" t="s">
        <v>76</v>
      </c>
      <c r="M456" t="s">
        <v>77</v>
      </c>
      <c r="N456" t="s">
        <v>447</v>
      </c>
      <c r="O456">
        <v>2024</v>
      </c>
    </row>
    <row r="457" spans="1:15" x14ac:dyDescent="0.25">
      <c r="A457" t="s">
        <v>1118</v>
      </c>
      <c r="B457" t="s">
        <v>1132</v>
      </c>
      <c r="C457" t="s">
        <v>559</v>
      </c>
      <c r="D457" t="s">
        <v>68</v>
      </c>
      <c r="E457" t="s">
        <v>461</v>
      </c>
      <c r="F457" t="s">
        <v>1133</v>
      </c>
      <c r="G457" t="s">
        <v>1134</v>
      </c>
      <c r="H457" t="s">
        <v>1135</v>
      </c>
      <c r="I457" t="s">
        <v>858</v>
      </c>
      <c r="J457" t="s">
        <v>297</v>
      </c>
      <c r="K457" t="s">
        <v>716</v>
      </c>
      <c r="L457" t="s">
        <v>326</v>
      </c>
      <c r="M457" t="s">
        <v>331</v>
      </c>
      <c r="N457" t="s">
        <v>718</v>
      </c>
      <c r="O457">
        <v>2025</v>
      </c>
    </row>
    <row r="458" spans="1:15" x14ac:dyDescent="0.25">
      <c r="A458" t="s">
        <v>1118</v>
      </c>
      <c r="B458" t="s">
        <v>1136</v>
      </c>
      <c r="C458" t="s">
        <v>559</v>
      </c>
      <c r="D458" t="s">
        <v>68</v>
      </c>
      <c r="E458" t="s">
        <v>461</v>
      </c>
      <c r="F458" t="s">
        <v>1133</v>
      </c>
      <c r="G458" t="s">
        <v>1134</v>
      </c>
      <c r="H458" t="s">
        <v>1135</v>
      </c>
      <c r="I458" t="s">
        <v>858</v>
      </c>
      <c r="J458" t="s">
        <v>297</v>
      </c>
      <c r="K458" t="s">
        <v>716</v>
      </c>
      <c r="L458" t="s">
        <v>326</v>
      </c>
      <c r="M458" t="s">
        <v>331</v>
      </c>
      <c r="N458" t="s">
        <v>718</v>
      </c>
      <c r="O458">
        <v>2025</v>
      </c>
    </row>
    <row r="459" spans="1:15" x14ac:dyDescent="0.25">
      <c r="A459" t="s">
        <v>1118</v>
      </c>
      <c r="B459" t="s">
        <v>1137</v>
      </c>
      <c r="C459" t="s">
        <v>851</v>
      </c>
      <c r="D459" t="s">
        <v>375</v>
      </c>
      <c r="E459" t="s">
        <v>580</v>
      </c>
      <c r="F459" t="s">
        <v>1138</v>
      </c>
      <c r="G459" t="s">
        <v>1139</v>
      </c>
      <c r="H459" t="s">
        <v>1135</v>
      </c>
      <c r="I459" t="s">
        <v>1140</v>
      </c>
      <c r="J459" t="s">
        <v>1141</v>
      </c>
      <c r="K459" t="s">
        <v>135</v>
      </c>
      <c r="L459" t="s">
        <v>108</v>
      </c>
      <c r="M459" t="s">
        <v>27</v>
      </c>
      <c r="N459" t="s">
        <v>34</v>
      </c>
      <c r="O459">
        <v>2025</v>
      </c>
    </row>
    <row r="460" spans="1:15" x14ac:dyDescent="0.25">
      <c r="A460" t="s">
        <v>1118</v>
      </c>
      <c r="B460" t="s">
        <v>1142</v>
      </c>
      <c r="C460" t="s">
        <v>764</v>
      </c>
      <c r="D460" t="s">
        <v>375</v>
      </c>
      <c r="E460" t="s">
        <v>580</v>
      </c>
      <c r="F460" t="s">
        <v>527</v>
      </c>
      <c r="G460" t="s">
        <v>1139</v>
      </c>
      <c r="H460" t="s">
        <v>1143</v>
      </c>
      <c r="I460" t="s">
        <v>813</v>
      </c>
      <c r="J460" t="s">
        <v>861</v>
      </c>
      <c r="K460" t="s">
        <v>704</v>
      </c>
      <c r="L460" t="s">
        <v>740</v>
      </c>
      <c r="M460" t="s">
        <v>167</v>
      </c>
      <c r="N460" t="s">
        <v>168</v>
      </c>
      <c r="O460">
        <v>2025</v>
      </c>
    </row>
    <row r="461" spans="1:15" x14ac:dyDescent="0.25">
      <c r="A461" t="s">
        <v>1118</v>
      </c>
      <c r="B461" t="s">
        <v>1144</v>
      </c>
      <c r="C461" t="s">
        <v>445</v>
      </c>
      <c r="D461" t="s">
        <v>68</v>
      </c>
      <c r="E461" t="s">
        <v>461</v>
      </c>
      <c r="F461" t="s">
        <v>1133</v>
      </c>
      <c r="G461" t="s">
        <v>1145</v>
      </c>
      <c r="H461" t="s">
        <v>378</v>
      </c>
      <c r="I461" t="s">
        <v>44</v>
      </c>
      <c r="J461" t="s">
        <v>325</v>
      </c>
      <c r="K461" t="s">
        <v>776</v>
      </c>
      <c r="L461" t="s">
        <v>838</v>
      </c>
      <c r="M461" t="s">
        <v>472</v>
      </c>
      <c r="N461" t="s">
        <v>583</v>
      </c>
      <c r="O461">
        <v>2024</v>
      </c>
    </row>
    <row r="462" spans="1:15" x14ac:dyDescent="0.25">
      <c r="A462" t="s">
        <v>1118</v>
      </c>
      <c r="B462" t="s">
        <v>1146</v>
      </c>
      <c r="C462" t="s">
        <v>445</v>
      </c>
      <c r="D462" t="s">
        <v>68</v>
      </c>
      <c r="E462" t="s">
        <v>461</v>
      </c>
      <c r="F462" t="s">
        <v>1133</v>
      </c>
      <c r="G462" t="s">
        <v>1145</v>
      </c>
      <c r="H462" t="s">
        <v>378</v>
      </c>
      <c r="I462" t="s">
        <v>44</v>
      </c>
      <c r="J462" t="s">
        <v>325</v>
      </c>
      <c r="K462" t="s">
        <v>776</v>
      </c>
      <c r="L462" t="s">
        <v>838</v>
      </c>
      <c r="M462" t="s">
        <v>472</v>
      </c>
      <c r="N462" t="s">
        <v>583</v>
      </c>
      <c r="O462">
        <v>2024</v>
      </c>
    </row>
    <row r="463" spans="1:15" x14ac:dyDescent="0.25">
      <c r="A463" t="s">
        <v>1118</v>
      </c>
      <c r="B463" t="s">
        <v>1147</v>
      </c>
      <c r="C463" t="s">
        <v>496</v>
      </c>
      <c r="D463" t="s">
        <v>375</v>
      </c>
      <c r="E463" t="s">
        <v>461</v>
      </c>
      <c r="F463" t="s">
        <v>1148</v>
      </c>
      <c r="G463" t="s">
        <v>1067</v>
      </c>
      <c r="H463" t="s">
        <v>1068</v>
      </c>
      <c r="I463" t="s">
        <v>744</v>
      </c>
      <c r="J463" t="s">
        <v>745</v>
      </c>
      <c r="K463" t="s">
        <v>574</v>
      </c>
      <c r="L463" t="s">
        <v>142</v>
      </c>
      <c r="M463" t="s">
        <v>289</v>
      </c>
      <c r="N463" t="s">
        <v>28</v>
      </c>
      <c r="O463">
        <v>2024</v>
      </c>
    </row>
    <row r="464" spans="1:15" x14ac:dyDescent="0.25">
      <c r="A464" t="s">
        <v>1118</v>
      </c>
      <c r="B464" t="s">
        <v>1149</v>
      </c>
      <c r="C464" t="s">
        <v>789</v>
      </c>
      <c r="D464" t="s">
        <v>68</v>
      </c>
      <c r="E464" t="s">
        <v>461</v>
      </c>
      <c r="F464" t="s">
        <v>527</v>
      </c>
      <c r="G464" t="s">
        <v>1150</v>
      </c>
      <c r="H464" t="s">
        <v>378</v>
      </c>
      <c r="I464" t="s">
        <v>44</v>
      </c>
      <c r="J464" t="s">
        <v>303</v>
      </c>
      <c r="K464" t="s">
        <v>665</v>
      </c>
      <c r="L464" t="s">
        <v>883</v>
      </c>
      <c r="M464" t="s">
        <v>300</v>
      </c>
      <c r="N464" t="s">
        <v>705</v>
      </c>
      <c r="O464">
        <v>2024</v>
      </c>
    </row>
    <row r="465" spans="1:15" x14ac:dyDescent="0.25">
      <c r="A465" t="s">
        <v>1118</v>
      </c>
      <c r="B465" t="s">
        <v>1151</v>
      </c>
      <c r="C465" t="s">
        <v>789</v>
      </c>
      <c r="D465" t="s">
        <v>68</v>
      </c>
      <c r="E465" t="s">
        <v>461</v>
      </c>
      <c r="F465" t="s">
        <v>1152</v>
      </c>
      <c r="G465" t="s">
        <v>1150</v>
      </c>
      <c r="H465" t="s">
        <v>378</v>
      </c>
      <c r="I465" t="s">
        <v>44</v>
      </c>
      <c r="J465" t="s">
        <v>297</v>
      </c>
      <c r="K465" t="s">
        <v>716</v>
      </c>
      <c r="L465" t="s">
        <v>326</v>
      </c>
      <c r="M465" t="s">
        <v>331</v>
      </c>
      <c r="N465" t="s">
        <v>718</v>
      </c>
      <c r="O465">
        <v>2024</v>
      </c>
    </row>
    <row r="466" spans="1:15" x14ac:dyDescent="0.25">
      <c r="A466" t="s">
        <v>1118</v>
      </c>
      <c r="B466" t="s">
        <v>1153</v>
      </c>
      <c r="C466" t="s">
        <v>496</v>
      </c>
      <c r="D466" t="s">
        <v>375</v>
      </c>
      <c r="E466" t="s">
        <v>461</v>
      </c>
      <c r="F466" t="s">
        <v>1148</v>
      </c>
      <c r="G466" t="s">
        <v>1067</v>
      </c>
      <c r="H466" t="s">
        <v>1068</v>
      </c>
      <c r="I466" t="s">
        <v>744</v>
      </c>
      <c r="J466" t="s">
        <v>836</v>
      </c>
      <c r="K466" t="s">
        <v>577</v>
      </c>
      <c r="L466" t="s">
        <v>740</v>
      </c>
      <c r="M466" t="s">
        <v>167</v>
      </c>
      <c r="N466" t="s">
        <v>168</v>
      </c>
      <c r="O466">
        <v>2024</v>
      </c>
    </row>
    <row r="467" spans="1:15" x14ac:dyDescent="0.25">
      <c r="A467" t="s">
        <v>1118</v>
      </c>
      <c r="B467" t="s">
        <v>1154</v>
      </c>
      <c r="C467" t="s">
        <v>809</v>
      </c>
      <c r="D467" t="s">
        <v>68</v>
      </c>
      <c r="E467" t="s">
        <v>585</v>
      </c>
      <c r="F467" t="s">
        <v>497</v>
      </c>
      <c r="G467" t="s">
        <v>1155</v>
      </c>
      <c r="H467" t="s">
        <v>520</v>
      </c>
      <c r="I467" t="s">
        <v>44</v>
      </c>
      <c r="J467" t="s">
        <v>303</v>
      </c>
      <c r="K467" t="s">
        <v>665</v>
      </c>
      <c r="L467" t="s">
        <v>883</v>
      </c>
      <c r="M467" t="s">
        <v>300</v>
      </c>
      <c r="N467" t="s">
        <v>705</v>
      </c>
      <c r="O467">
        <v>2024</v>
      </c>
    </row>
    <row r="468" spans="1:15" x14ac:dyDescent="0.25">
      <c r="A468" t="s">
        <v>1118</v>
      </c>
      <c r="B468" t="s">
        <v>1156</v>
      </c>
      <c r="C468" t="s">
        <v>1157</v>
      </c>
      <c r="D468" t="s">
        <v>375</v>
      </c>
      <c r="E468" t="s">
        <v>585</v>
      </c>
      <c r="F468" t="s">
        <v>497</v>
      </c>
      <c r="G468" t="s">
        <v>1155</v>
      </c>
      <c r="H468" t="s">
        <v>520</v>
      </c>
      <c r="I468" t="s">
        <v>44</v>
      </c>
      <c r="J468" t="s">
        <v>861</v>
      </c>
      <c r="K468" t="s">
        <v>704</v>
      </c>
      <c r="L468" t="s">
        <v>886</v>
      </c>
      <c r="M468" t="s">
        <v>167</v>
      </c>
      <c r="N468" t="s">
        <v>229</v>
      </c>
      <c r="O468">
        <v>2024</v>
      </c>
    </row>
    <row r="469" spans="1:15" x14ac:dyDescent="0.25">
      <c r="A469" t="s">
        <v>1118</v>
      </c>
      <c r="B469" t="s">
        <v>1158</v>
      </c>
      <c r="C469" t="s">
        <v>1157</v>
      </c>
      <c r="D469" t="s">
        <v>68</v>
      </c>
      <c r="E469" t="s">
        <v>307</v>
      </c>
      <c r="F469" t="s">
        <v>497</v>
      </c>
      <c r="G469" t="s">
        <v>1159</v>
      </c>
      <c r="H469" t="s">
        <v>687</v>
      </c>
      <c r="I469" t="s">
        <v>858</v>
      </c>
      <c r="J469" t="s">
        <v>297</v>
      </c>
      <c r="K469" t="s">
        <v>716</v>
      </c>
      <c r="L469" t="s">
        <v>326</v>
      </c>
      <c r="M469" t="s">
        <v>331</v>
      </c>
      <c r="N469" t="s">
        <v>718</v>
      </c>
      <c r="O469">
        <v>2024</v>
      </c>
    </row>
    <row r="470" spans="1:15" x14ac:dyDescent="0.25">
      <c r="A470" t="s">
        <v>1118</v>
      </c>
      <c r="B470" t="s">
        <v>1160</v>
      </c>
      <c r="C470" t="s">
        <v>1157</v>
      </c>
      <c r="D470" t="s">
        <v>162</v>
      </c>
      <c r="E470" t="s">
        <v>508</v>
      </c>
      <c r="F470" t="s">
        <v>580</v>
      </c>
      <c r="G470" t="s">
        <v>1161</v>
      </c>
      <c r="H470" t="s">
        <v>378</v>
      </c>
      <c r="I470" t="s">
        <v>44</v>
      </c>
      <c r="J470" t="s">
        <v>316</v>
      </c>
      <c r="K470" t="s">
        <v>746</v>
      </c>
      <c r="L470" t="s">
        <v>717</v>
      </c>
      <c r="M470" t="s">
        <v>327</v>
      </c>
      <c r="N470" t="s">
        <v>320</v>
      </c>
      <c r="O470">
        <v>2024</v>
      </c>
    </row>
    <row r="471" spans="1:15" x14ac:dyDescent="0.25">
      <c r="A471" t="s">
        <v>1118</v>
      </c>
      <c r="B471" t="s">
        <v>1162</v>
      </c>
      <c r="C471" t="s">
        <v>1157</v>
      </c>
      <c r="D471" t="s">
        <v>162</v>
      </c>
      <c r="E471" t="s">
        <v>307</v>
      </c>
      <c r="F471" t="s">
        <v>1163</v>
      </c>
      <c r="G471" t="s">
        <v>1161</v>
      </c>
      <c r="H471" t="s">
        <v>687</v>
      </c>
      <c r="I471" t="s">
        <v>858</v>
      </c>
      <c r="J471" t="s">
        <v>818</v>
      </c>
      <c r="K471" t="s">
        <v>866</v>
      </c>
      <c r="L471" t="s">
        <v>838</v>
      </c>
      <c r="M471" t="s">
        <v>472</v>
      </c>
      <c r="N471" t="s">
        <v>583</v>
      </c>
      <c r="O471">
        <v>2024</v>
      </c>
    </row>
    <row r="472" spans="1:15" x14ac:dyDescent="0.25">
      <c r="A472" t="s">
        <v>1118</v>
      </c>
      <c r="B472" t="s">
        <v>1164</v>
      </c>
      <c r="C472" t="s">
        <v>1157</v>
      </c>
      <c r="D472" t="s">
        <v>18</v>
      </c>
      <c r="E472" t="s">
        <v>307</v>
      </c>
      <c r="F472" t="s">
        <v>1163</v>
      </c>
      <c r="G472" t="s">
        <v>1161</v>
      </c>
      <c r="H472" t="s">
        <v>687</v>
      </c>
      <c r="I472" t="s">
        <v>858</v>
      </c>
      <c r="J472" t="s">
        <v>325</v>
      </c>
      <c r="K472" t="s">
        <v>776</v>
      </c>
      <c r="L472" t="s">
        <v>326</v>
      </c>
      <c r="M472" t="s">
        <v>331</v>
      </c>
      <c r="N472" t="s">
        <v>718</v>
      </c>
      <c r="O472">
        <v>2024</v>
      </c>
    </row>
    <row r="473" spans="1:15" x14ac:dyDescent="0.25">
      <c r="A473" t="s">
        <v>1118</v>
      </c>
      <c r="B473" t="s">
        <v>1165</v>
      </c>
      <c r="C473" t="s">
        <v>1157</v>
      </c>
      <c r="D473" t="s">
        <v>162</v>
      </c>
      <c r="E473" t="s">
        <v>508</v>
      </c>
      <c r="F473" t="s">
        <v>580</v>
      </c>
      <c r="G473" t="s">
        <v>1161</v>
      </c>
      <c r="H473" t="s">
        <v>378</v>
      </c>
      <c r="I473" t="s">
        <v>44</v>
      </c>
      <c r="J473" t="s">
        <v>316</v>
      </c>
      <c r="K473" t="s">
        <v>746</v>
      </c>
      <c r="L473" t="s">
        <v>717</v>
      </c>
      <c r="M473" t="s">
        <v>327</v>
      </c>
      <c r="N473" t="s">
        <v>320</v>
      </c>
      <c r="O473">
        <v>2024</v>
      </c>
    </row>
    <row r="474" spans="1:15" x14ac:dyDescent="0.25">
      <c r="A474" t="s">
        <v>1118</v>
      </c>
      <c r="B474" t="s">
        <v>1166</v>
      </c>
      <c r="C474" t="s">
        <v>1157</v>
      </c>
      <c r="D474" t="s">
        <v>162</v>
      </c>
      <c r="E474" t="s">
        <v>307</v>
      </c>
      <c r="F474" t="s">
        <v>1163</v>
      </c>
      <c r="G474" t="s">
        <v>1161</v>
      </c>
      <c r="H474" t="s">
        <v>687</v>
      </c>
      <c r="I474" t="s">
        <v>858</v>
      </c>
      <c r="J474" t="s">
        <v>818</v>
      </c>
      <c r="K474" t="s">
        <v>866</v>
      </c>
      <c r="L474" t="s">
        <v>838</v>
      </c>
      <c r="M474" t="s">
        <v>472</v>
      </c>
      <c r="N474" t="s">
        <v>583</v>
      </c>
      <c r="O474">
        <v>2024</v>
      </c>
    </row>
    <row r="475" spans="1:15" x14ac:dyDescent="0.25">
      <c r="A475" t="s">
        <v>1118</v>
      </c>
      <c r="B475" t="s">
        <v>1167</v>
      </c>
      <c r="C475" t="s">
        <v>1157</v>
      </c>
      <c r="D475" t="s">
        <v>18</v>
      </c>
      <c r="E475" t="s">
        <v>307</v>
      </c>
      <c r="F475" t="s">
        <v>1163</v>
      </c>
      <c r="G475" t="s">
        <v>1161</v>
      </c>
      <c r="H475" t="s">
        <v>687</v>
      </c>
      <c r="I475" t="s">
        <v>858</v>
      </c>
      <c r="J475" t="s">
        <v>325</v>
      </c>
      <c r="K475" t="s">
        <v>776</v>
      </c>
      <c r="L475" t="s">
        <v>326</v>
      </c>
      <c r="M475" t="s">
        <v>331</v>
      </c>
      <c r="N475" t="s">
        <v>718</v>
      </c>
      <c r="O475">
        <v>2024</v>
      </c>
    </row>
    <row r="476" spans="1:15" x14ac:dyDescent="0.25">
      <c r="A476" t="s">
        <v>1118</v>
      </c>
      <c r="B476" t="s">
        <v>1165</v>
      </c>
      <c r="C476" t="s">
        <v>1157</v>
      </c>
      <c r="D476" t="s">
        <v>162</v>
      </c>
      <c r="E476" t="s">
        <v>508</v>
      </c>
      <c r="F476" t="s">
        <v>580</v>
      </c>
      <c r="G476" t="s">
        <v>1161</v>
      </c>
      <c r="H476" t="s">
        <v>378</v>
      </c>
      <c r="I476" t="s">
        <v>44</v>
      </c>
      <c r="J476" t="s">
        <v>316</v>
      </c>
      <c r="K476" t="s">
        <v>746</v>
      </c>
      <c r="L476" t="s">
        <v>717</v>
      </c>
      <c r="M476" t="s">
        <v>327</v>
      </c>
      <c r="N476" t="s">
        <v>320</v>
      </c>
      <c r="O476">
        <v>2024</v>
      </c>
    </row>
    <row r="477" spans="1:15" x14ac:dyDescent="0.25">
      <c r="A477" t="s">
        <v>1118</v>
      </c>
      <c r="B477" t="s">
        <v>1168</v>
      </c>
      <c r="C477" t="s">
        <v>1157</v>
      </c>
      <c r="D477" t="s">
        <v>68</v>
      </c>
      <c r="E477" t="s">
        <v>307</v>
      </c>
      <c r="F477" t="s">
        <v>497</v>
      </c>
      <c r="G477" t="s">
        <v>1169</v>
      </c>
      <c r="H477" t="s">
        <v>378</v>
      </c>
      <c r="I477" t="s">
        <v>858</v>
      </c>
      <c r="J477" t="s">
        <v>325</v>
      </c>
      <c r="K477" t="s">
        <v>776</v>
      </c>
      <c r="L477" t="s">
        <v>838</v>
      </c>
      <c r="M477" t="s">
        <v>472</v>
      </c>
      <c r="N477" t="s">
        <v>583</v>
      </c>
      <c r="O477">
        <v>2024</v>
      </c>
    </row>
    <row r="478" spans="1:15" x14ac:dyDescent="0.25">
      <c r="A478" t="s">
        <v>1118</v>
      </c>
      <c r="B478" t="s">
        <v>1170</v>
      </c>
      <c r="C478" t="s">
        <v>1157</v>
      </c>
      <c r="D478" t="s">
        <v>68</v>
      </c>
      <c r="E478" t="s">
        <v>307</v>
      </c>
      <c r="F478" t="s">
        <v>497</v>
      </c>
      <c r="G478" t="s">
        <v>1169</v>
      </c>
      <c r="H478" t="s">
        <v>378</v>
      </c>
      <c r="I478" t="s">
        <v>858</v>
      </c>
      <c r="J478" t="s">
        <v>1088</v>
      </c>
      <c r="K478" t="s">
        <v>800</v>
      </c>
      <c r="L478" t="s">
        <v>326</v>
      </c>
      <c r="M478" t="s">
        <v>331</v>
      </c>
      <c r="N478" t="s">
        <v>718</v>
      </c>
      <c r="O478">
        <v>2024</v>
      </c>
    </row>
    <row r="479" spans="1:15" x14ac:dyDescent="0.25">
      <c r="A479" t="s">
        <v>1118</v>
      </c>
      <c r="B479" t="s">
        <v>1171</v>
      </c>
      <c r="C479" t="s">
        <v>559</v>
      </c>
      <c r="D479" t="s">
        <v>68</v>
      </c>
      <c r="E479" t="s">
        <v>585</v>
      </c>
      <c r="F479" t="s">
        <v>580</v>
      </c>
      <c r="G479" t="s">
        <v>1172</v>
      </c>
      <c r="H479" t="s">
        <v>1173</v>
      </c>
      <c r="I479" t="s">
        <v>44</v>
      </c>
      <c r="J479" t="s">
        <v>836</v>
      </c>
      <c r="K479" t="s">
        <v>577</v>
      </c>
      <c r="L479" t="s">
        <v>740</v>
      </c>
      <c r="M479" t="s">
        <v>167</v>
      </c>
      <c r="N479" t="s">
        <v>168</v>
      </c>
      <c r="O479">
        <v>2024</v>
      </c>
    </row>
    <row r="480" spans="1:15" x14ac:dyDescent="0.25">
      <c r="A480" t="s">
        <v>1118</v>
      </c>
      <c r="B480" t="s">
        <v>1174</v>
      </c>
      <c r="C480" t="s">
        <v>559</v>
      </c>
      <c r="D480" t="s">
        <v>375</v>
      </c>
      <c r="E480" t="s">
        <v>585</v>
      </c>
      <c r="F480" t="s">
        <v>580</v>
      </c>
      <c r="G480" t="s">
        <v>1172</v>
      </c>
      <c r="H480" t="s">
        <v>1173</v>
      </c>
      <c r="I480" t="s">
        <v>44</v>
      </c>
      <c r="J480" t="s">
        <v>745</v>
      </c>
      <c r="K480" t="s">
        <v>574</v>
      </c>
      <c r="L480" t="s">
        <v>142</v>
      </c>
      <c r="M480" t="s">
        <v>27</v>
      </c>
      <c r="N480" t="s">
        <v>34</v>
      </c>
      <c r="O480">
        <v>2024</v>
      </c>
    </row>
    <row r="481" spans="1:15" x14ac:dyDescent="0.25">
      <c r="A481" t="s">
        <v>1118</v>
      </c>
      <c r="B481" t="s">
        <v>1175</v>
      </c>
      <c r="C481" t="s">
        <v>612</v>
      </c>
      <c r="D481" t="s">
        <v>68</v>
      </c>
      <c r="E481" t="s">
        <v>461</v>
      </c>
      <c r="F481" t="s">
        <v>755</v>
      </c>
      <c r="G481" t="s">
        <v>1176</v>
      </c>
      <c r="H481" t="s">
        <v>378</v>
      </c>
      <c r="I481" t="s">
        <v>44</v>
      </c>
      <c r="J481" t="s">
        <v>297</v>
      </c>
      <c r="K481" t="s">
        <v>716</v>
      </c>
      <c r="L481" t="s">
        <v>326</v>
      </c>
      <c r="M481" t="s">
        <v>331</v>
      </c>
      <c r="N481" t="s">
        <v>718</v>
      </c>
      <c r="O481">
        <v>2024</v>
      </c>
    </row>
    <row r="482" spans="1:15" x14ac:dyDescent="0.25">
      <c r="A482" t="s">
        <v>1118</v>
      </c>
      <c r="B482" t="s">
        <v>1177</v>
      </c>
      <c r="C482" t="s">
        <v>612</v>
      </c>
      <c r="D482" t="s">
        <v>68</v>
      </c>
      <c r="E482" t="s">
        <v>461</v>
      </c>
      <c r="F482" t="s">
        <v>755</v>
      </c>
      <c r="G482" t="s">
        <v>1176</v>
      </c>
      <c r="H482" t="s">
        <v>378</v>
      </c>
      <c r="I482" t="s">
        <v>44</v>
      </c>
      <c r="J482" t="s">
        <v>1070</v>
      </c>
      <c r="K482" t="s">
        <v>1063</v>
      </c>
      <c r="L482" t="s">
        <v>330</v>
      </c>
      <c r="M482" t="s">
        <v>666</v>
      </c>
      <c r="N482" t="s">
        <v>301</v>
      </c>
      <c r="O482">
        <v>2024</v>
      </c>
    </row>
    <row r="483" spans="1:15" x14ac:dyDescent="0.25">
      <c r="A483" t="s">
        <v>1118</v>
      </c>
      <c r="B483" t="s">
        <v>1178</v>
      </c>
      <c r="C483" t="s">
        <v>266</v>
      </c>
      <c r="D483" t="s">
        <v>68</v>
      </c>
      <c r="E483" t="s">
        <v>461</v>
      </c>
      <c r="F483" t="s">
        <v>755</v>
      </c>
      <c r="G483" t="s">
        <v>1176</v>
      </c>
      <c r="H483" t="s">
        <v>378</v>
      </c>
      <c r="I483" t="s">
        <v>44</v>
      </c>
      <c r="J483" t="s">
        <v>303</v>
      </c>
      <c r="K483" t="s">
        <v>665</v>
      </c>
      <c r="L483" t="s">
        <v>883</v>
      </c>
      <c r="M483" t="s">
        <v>300</v>
      </c>
      <c r="N483" t="s">
        <v>705</v>
      </c>
      <c r="O483">
        <v>2024</v>
      </c>
    </row>
    <row r="484" spans="1:15" x14ac:dyDescent="0.25">
      <c r="A484" t="s">
        <v>1118</v>
      </c>
      <c r="B484" t="s">
        <v>1179</v>
      </c>
      <c r="C484" t="s">
        <v>266</v>
      </c>
      <c r="D484" t="s">
        <v>375</v>
      </c>
      <c r="E484" t="s">
        <v>461</v>
      </c>
      <c r="F484" t="s">
        <v>755</v>
      </c>
      <c r="G484" t="s">
        <v>1176</v>
      </c>
      <c r="H484" t="s">
        <v>378</v>
      </c>
      <c r="I484" t="s">
        <v>44</v>
      </c>
      <c r="J484" t="s">
        <v>861</v>
      </c>
      <c r="K484" t="s">
        <v>704</v>
      </c>
      <c r="L484" t="s">
        <v>886</v>
      </c>
      <c r="M484" t="s">
        <v>167</v>
      </c>
      <c r="N484" t="s">
        <v>229</v>
      </c>
      <c r="O484">
        <v>2024</v>
      </c>
    </row>
    <row r="485" spans="1:15" x14ac:dyDescent="0.25">
      <c r="A485" t="s">
        <v>1118</v>
      </c>
      <c r="B485" t="s">
        <v>1180</v>
      </c>
      <c r="C485" t="s">
        <v>815</v>
      </c>
      <c r="D485" t="s">
        <v>68</v>
      </c>
      <c r="E485" t="s">
        <v>461</v>
      </c>
      <c r="F485" t="s">
        <v>755</v>
      </c>
      <c r="G485" t="s">
        <v>708</v>
      </c>
      <c r="H485" t="s">
        <v>422</v>
      </c>
      <c r="I485" t="s">
        <v>775</v>
      </c>
      <c r="J485" t="s">
        <v>1088</v>
      </c>
      <c r="K485" t="s">
        <v>800</v>
      </c>
      <c r="L485" t="s">
        <v>326</v>
      </c>
      <c r="M485" t="s">
        <v>666</v>
      </c>
      <c r="N485" t="s">
        <v>667</v>
      </c>
      <c r="O485">
        <v>2023</v>
      </c>
    </row>
    <row r="486" spans="1:15" x14ac:dyDescent="0.25">
      <c r="A486" t="s">
        <v>1118</v>
      </c>
      <c r="B486" t="s">
        <v>1181</v>
      </c>
      <c r="C486" t="s">
        <v>815</v>
      </c>
      <c r="D486" t="s">
        <v>68</v>
      </c>
      <c r="E486" t="s">
        <v>461</v>
      </c>
      <c r="F486" t="s">
        <v>755</v>
      </c>
      <c r="G486" t="s">
        <v>708</v>
      </c>
      <c r="H486" t="s">
        <v>422</v>
      </c>
      <c r="I486" t="s">
        <v>775</v>
      </c>
      <c r="J486" t="s">
        <v>297</v>
      </c>
      <c r="K486" t="s">
        <v>716</v>
      </c>
      <c r="L486" t="s">
        <v>330</v>
      </c>
      <c r="M486" t="s">
        <v>300</v>
      </c>
      <c r="N486" t="s">
        <v>705</v>
      </c>
      <c r="O486">
        <v>2023</v>
      </c>
    </row>
    <row r="487" spans="1:15" x14ac:dyDescent="0.25">
      <c r="A487" t="s">
        <v>1118</v>
      </c>
      <c r="B487" t="s">
        <v>1104</v>
      </c>
      <c r="C487" t="s">
        <v>1182</v>
      </c>
      <c r="D487" t="s">
        <v>68</v>
      </c>
      <c r="E487" t="s">
        <v>307</v>
      </c>
      <c r="F487" t="s">
        <v>475</v>
      </c>
      <c r="G487" t="s">
        <v>1183</v>
      </c>
      <c r="H487" t="s">
        <v>881</v>
      </c>
      <c r="I487" t="s">
        <v>1184</v>
      </c>
      <c r="J487" t="s">
        <v>861</v>
      </c>
      <c r="K487" t="s">
        <v>704</v>
      </c>
      <c r="L487" t="s">
        <v>886</v>
      </c>
      <c r="M487" t="s">
        <v>167</v>
      </c>
      <c r="N487" t="s">
        <v>229</v>
      </c>
      <c r="O487">
        <v>2024</v>
      </c>
    </row>
    <row r="488" spans="1:15" x14ac:dyDescent="0.25">
      <c r="A488" t="s">
        <v>1118</v>
      </c>
      <c r="B488" t="s">
        <v>1185</v>
      </c>
      <c r="C488" t="s">
        <v>1182</v>
      </c>
      <c r="D488" t="s">
        <v>375</v>
      </c>
      <c r="E488" t="s">
        <v>307</v>
      </c>
      <c r="F488" t="s">
        <v>475</v>
      </c>
      <c r="G488" t="s">
        <v>1183</v>
      </c>
      <c r="H488" t="s">
        <v>881</v>
      </c>
      <c r="I488" t="s">
        <v>1184</v>
      </c>
      <c r="J488" t="s">
        <v>836</v>
      </c>
      <c r="K488" t="s">
        <v>577</v>
      </c>
      <c r="L488" t="s">
        <v>740</v>
      </c>
      <c r="M488" t="s">
        <v>27</v>
      </c>
      <c r="N488" t="s">
        <v>28</v>
      </c>
      <c r="O488">
        <v>2024</v>
      </c>
    </row>
    <row r="489" spans="1:15" x14ac:dyDescent="0.25">
      <c r="A489" t="s">
        <v>1118</v>
      </c>
      <c r="B489" t="s">
        <v>1107</v>
      </c>
      <c r="C489" t="s">
        <v>654</v>
      </c>
      <c r="D489" t="s">
        <v>375</v>
      </c>
      <c r="E489" t="s">
        <v>307</v>
      </c>
      <c r="F489" t="s">
        <v>475</v>
      </c>
      <c r="G489" t="s">
        <v>737</v>
      </c>
      <c r="H489" t="s">
        <v>881</v>
      </c>
      <c r="I489" t="s">
        <v>1186</v>
      </c>
      <c r="J489" t="s">
        <v>745</v>
      </c>
      <c r="K489" t="s">
        <v>574</v>
      </c>
      <c r="L489" t="s">
        <v>142</v>
      </c>
      <c r="M489" t="s">
        <v>39</v>
      </c>
      <c r="N489" t="s">
        <v>173</v>
      </c>
      <c r="O489">
        <v>2024</v>
      </c>
    </row>
    <row r="490" spans="1:15" x14ac:dyDescent="0.25">
      <c r="A490" t="s">
        <v>1118</v>
      </c>
      <c r="B490" t="s">
        <v>1187</v>
      </c>
      <c r="C490" t="s">
        <v>654</v>
      </c>
      <c r="D490" t="s">
        <v>759</v>
      </c>
      <c r="E490" t="s">
        <v>307</v>
      </c>
      <c r="F490" t="s">
        <v>475</v>
      </c>
      <c r="G490" t="s">
        <v>737</v>
      </c>
      <c r="H490" t="s">
        <v>881</v>
      </c>
      <c r="I490" t="s">
        <v>1186</v>
      </c>
      <c r="J490" t="s">
        <v>1141</v>
      </c>
      <c r="K490" t="s">
        <v>135</v>
      </c>
      <c r="L490" t="s">
        <v>108</v>
      </c>
      <c r="M490" t="s">
        <v>56</v>
      </c>
      <c r="N490" t="s">
        <v>72</v>
      </c>
      <c r="O490">
        <v>2024</v>
      </c>
    </row>
    <row r="491" spans="1:15" x14ac:dyDescent="0.25">
      <c r="A491" t="s">
        <v>1118</v>
      </c>
      <c r="B491" t="s">
        <v>1188</v>
      </c>
      <c r="C491" t="s">
        <v>1113</v>
      </c>
      <c r="D491" t="s">
        <v>18</v>
      </c>
      <c r="E491" t="s">
        <v>307</v>
      </c>
      <c r="F491" t="s">
        <v>475</v>
      </c>
      <c r="G491" t="s">
        <v>804</v>
      </c>
      <c r="H491" t="s">
        <v>1189</v>
      </c>
      <c r="I491" t="s">
        <v>338</v>
      </c>
      <c r="J491" t="s">
        <v>297</v>
      </c>
      <c r="K491" t="s">
        <v>716</v>
      </c>
      <c r="L491" t="s">
        <v>326</v>
      </c>
      <c r="M491" t="s">
        <v>331</v>
      </c>
      <c r="N491" t="s">
        <v>718</v>
      </c>
      <c r="O491">
        <v>2023</v>
      </c>
    </row>
    <row r="492" spans="1:15" x14ac:dyDescent="0.25">
      <c r="A492" t="s">
        <v>1118</v>
      </c>
      <c r="B492" t="s">
        <v>1190</v>
      </c>
      <c r="C492" t="s">
        <v>1113</v>
      </c>
      <c r="D492" t="s">
        <v>68</v>
      </c>
      <c r="E492" t="s">
        <v>307</v>
      </c>
      <c r="F492" t="s">
        <v>475</v>
      </c>
      <c r="G492" t="s">
        <v>804</v>
      </c>
      <c r="H492" t="s">
        <v>1189</v>
      </c>
      <c r="I492" t="s">
        <v>338</v>
      </c>
      <c r="J492" t="s">
        <v>303</v>
      </c>
      <c r="K492" t="s">
        <v>665</v>
      </c>
      <c r="L492" t="s">
        <v>883</v>
      </c>
      <c r="M492" t="s">
        <v>300</v>
      </c>
      <c r="N492" t="s">
        <v>705</v>
      </c>
      <c r="O492">
        <v>2023</v>
      </c>
    </row>
    <row r="493" spans="1:15" x14ac:dyDescent="0.25">
      <c r="A493" t="s">
        <v>1118</v>
      </c>
      <c r="B493" t="s">
        <v>1191</v>
      </c>
      <c r="C493" t="s">
        <v>80</v>
      </c>
      <c r="D493" t="s">
        <v>375</v>
      </c>
      <c r="E493" t="s">
        <v>461</v>
      </c>
      <c r="F493" t="s">
        <v>1129</v>
      </c>
      <c r="G493" t="s">
        <v>737</v>
      </c>
      <c r="H493" t="s">
        <v>378</v>
      </c>
      <c r="I493" t="s">
        <v>1192</v>
      </c>
      <c r="J493" t="s">
        <v>765</v>
      </c>
      <c r="K493" t="s">
        <v>83</v>
      </c>
      <c r="L493" t="s">
        <v>123</v>
      </c>
      <c r="M493" t="s">
        <v>88</v>
      </c>
      <c r="N493" t="s">
        <v>129</v>
      </c>
      <c r="O493">
        <v>2024</v>
      </c>
    </row>
    <row r="494" spans="1:15" x14ac:dyDescent="0.25">
      <c r="A494" t="s">
        <v>1118</v>
      </c>
      <c r="B494" t="s">
        <v>1193</v>
      </c>
      <c r="C494" t="s">
        <v>80</v>
      </c>
      <c r="D494" t="s">
        <v>759</v>
      </c>
      <c r="E494" t="s">
        <v>461</v>
      </c>
      <c r="F494" t="s">
        <v>1129</v>
      </c>
      <c r="G494" t="s">
        <v>737</v>
      </c>
      <c r="H494" t="s">
        <v>378</v>
      </c>
      <c r="I494" t="s">
        <v>1192</v>
      </c>
      <c r="J494" t="s">
        <v>238</v>
      </c>
      <c r="K494" t="s">
        <v>121</v>
      </c>
      <c r="L494" t="s">
        <v>158</v>
      </c>
      <c r="M494" t="s">
        <v>94</v>
      </c>
      <c r="N494" t="s">
        <v>275</v>
      </c>
      <c r="O494">
        <v>2024</v>
      </c>
    </row>
    <row r="495" spans="1:15" x14ac:dyDescent="0.25">
      <c r="A495" t="s">
        <v>1118</v>
      </c>
      <c r="B495" t="s">
        <v>1194</v>
      </c>
      <c r="C495" t="s">
        <v>59</v>
      </c>
      <c r="D495" t="s">
        <v>375</v>
      </c>
      <c r="E495" t="s">
        <v>461</v>
      </c>
      <c r="F495" t="s">
        <v>1195</v>
      </c>
      <c r="G495" t="s">
        <v>1196</v>
      </c>
      <c r="H495" t="s">
        <v>378</v>
      </c>
      <c r="I495" t="s">
        <v>807</v>
      </c>
      <c r="J495" t="s">
        <v>233</v>
      </c>
      <c r="K495" t="s">
        <v>65</v>
      </c>
      <c r="L495" t="s">
        <v>55</v>
      </c>
      <c r="M495" t="s">
        <v>77</v>
      </c>
      <c r="N495" t="s">
        <v>89</v>
      </c>
      <c r="O495">
        <v>2024</v>
      </c>
    </row>
    <row r="496" spans="1:15" x14ac:dyDescent="0.25">
      <c r="A496" t="s">
        <v>1118</v>
      </c>
      <c r="B496" t="s">
        <v>1197</v>
      </c>
      <c r="C496" t="s">
        <v>59</v>
      </c>
      <c r="D496" t="s">
        <v>759</v>
      </c>
      <c r="E496" t="s">
        <v>461</v>
      </c>
      <c r="F496" t="s">
        <v>1195</v>
      </c>
      <c r="G496" t="s">
        <v>1196</v>
      </c>
      <c r="H496" t="s">
        <v>378</v>
      </c>
      <c r="I496" t="s">
        <v>807</v>
      </c>
      <c r="J496" t="s">
        <v>765</v>
      </c>
      <c r="K496" t="s">
        <v>83</v>
      </c>
      <c r="L496" t="s">
        <v>123</v>
      </c>
      <c r="M496" t="s">
        <v>88</v>
      </c>
      <c r="N496" t="s">
        <v>129</v>
      </c>
      <c r="O496">
        <v>2024</v>
      </c>
    </row>
    <row r="497" spans="1:15" x14ac:dyDescent="0.25">
      <c r="A497" t="s">
        <v>1118</v>
      </c>
      <c r="B497" t="s">
        <v>1198</v>
      </c>
      <c r="C497" t="s">
        <v>1199</v>
      </c>
      <c r="D497" t="s">
        <v>375</v>
      </c>
      <c r="E497" t="s">
        <v>461</v>
      </c>
      <c r="F497" t="s">
        <v>1129</v>
      </c>
      <c r="G497" t="s">
        <v>401</v>
      </c>
      <c r="H497" t="s">
        <v>378</v>
      </c>
      <c r="I497" t="s">
        <v>1192</v>
      </c>
      <c r="J497" t="s">
        <v>231</v>
      </c>
      <c r="K497" t="s">
        <v>49</v>
      </c>
      <c r="L497" t="s">
        <v>38</v>
      </c>
      <c r="M497" t="s">
        <v>56</v>
      </c>
      <c r="N497" t="s">
        <v>72</v>
      </c>
      <c r="O497">
        <v>2023</v>
      </c>
    </row>
    <row r="498" spans="1:15" x14ac:dyDescent="0.25">
      <c r="A498" t="s">
        <v>1118</v>
      </c>
      <c r="B498" t="s">
        <v>1200</v>
      </c>
      <c r="C498" t="s">
        <v>1199</v>
      </c>
      <c r="D498" t="s">
        <v>759</v>
      </c>
      <c r="E498" t="s">
        <v>461</v>
      </c>
      <c r="F498" t="s">
        <v>1129</v>
      </c>
      <c r="G498" t="s">
        <v>401</v>
      </c>
      <c r="H498" t="s">
        <v>378</v>
      </c>
      <c r="I498" t="s">
        <v>1192</v>
      </c>
      <c r="J498" t="s">
        <v>343</v>
      </c>
      <c r="K498" t="s">
        <v>54</v>
      </c>
      <c r="L498" t="s">
        <v>76</v>
      </c>
      <c r="M498" t="s">
        <v>77</v>
      </c>
      <c r="N498" t="s">
        <v>447</v>
      </c>
      <c r="O498">
        <v>2023</v>
      </c>
    </row>
    <row r="499" spans="1:15" x14ac:dyDescent="0.25">
      <c r="A499" t="s">
        <v>1118</v>
      </c>
      <c r="B499" t="s">
        <v>1201</v>
      </c>
      <c r="C499" t="s">
        <v>1202</v>
      </c>
      <c r="D499" t="s">
        <v>375</v>
      </c>
      <c r="E499" t="s">
        <v>461</v>
      </c>
      <c r="F499" t="s">
        <v>1129</v>
      </c>
      <c r="G499" t="s">
        <v>1203</v>
      </c>
      <c r="H499" t="s">
        <v>388</v>
      </c>
      <c r="I499" t="s">
        <v>744</v>
      </c>
      <c r="J499" t="s">
        <v>288</v>
      </c>
      <c r="K499" t="s">
        <v>31</v>
      </c>
      <c r="L499" t="s">
        <v>108</v>
      </c>
      <c r="M499" t="s">
        <v>39</v>
      </c>
      <c r="N499" t="s">
        <v>173</v>
      </c>
      <c r="O499">
        <v>2023</v>
      </c>
    </row>
    <row r="500" spans="1:15" x14ac:dyDescent="0.25">
      <c r="A500" t="s">
        <v>1118</v>
      </c>
      <c r="B500" t="s">
        <v>1204</v>
      </c>
      <c r="C500" t="s">
        <v>1202</v>
      </c>
      <c r="D500" t="s">
        <v>759</v>
      </c>
      <c r="E500" t="s">
        <v>461</v>
      </c>
      <c r="F500" t="s">
        <v>1129</v>
      </c>
      <c r="G500" t="s">
        <v>1203</v>
      </c>
      <c r="H500" t="s">
        <v>388</v>
      </c>
      <c r="I500" t="s">
        <v>744</v>
      </c>
      <c r="J500" t="s">
        <v>231</v>
      </c>
      <c r="K500" t="s">
        <v>49</v>
      </c>
      <c r="L500" t="s">
        <v>55</v>
      </c>
      <c r="M500" t="s">
        <v>56</v>
      </c>
      <c r="N500" t="s">
        <v>72</v>
      </c>
      <c r="O500">
        <v>2023</v>
      </c>
    </row>
    <row r="501" spans="1:15" x14ac:dyDescent="0.25">
      <c r="A501" t="s">
        <v>1118</v>
      </c>
      <c r="B501" t="s">
        <v>1205</v>
      </c>
      <c r="C501" t="s">
        <v>1199</v>
      </c>
      <c r="D501" t="s">
        <v>375</v>
      </c>
      <c r="E501" t="s">
        <v>461</v>
      </c>
      <c r="F501" t="s">
        <v>1206</v>
      </c>
      <c r="G501" t="s">
        <v>451</v>
      </c>
      <c r="H501" t="s">
        <v>378</v>
      </c>
      <c r="I501" t="s">
        <v>44</v>
      </c>
      <c r="J501" t="s">
        <v>227</v>
      </c>
      <c r="K501" t="s">
        <v>37</v>
      </c>
      <c r="L501" t="s">
        <v>108</v>
      </c>
      <c r="M501" t="s">
        <v>39</v>
      </c>
      <c r="N501" t="s">
        <v>173</v>
      </c>
      <c r="O501">
        <v>2022</v>
      </c>
    </row>
    <row r="502" spans="1:15" x14ac:dyDescent="0.25">
      <c r="A502" t="s">
        <v>1118</v>
      </c>
      <c r="B502" t="s">
        <v>1207</v>
      </c>
      <c r="C502" t="s">
        <v>1199</v>
      </c>
      <c r="D502" t="s">
        <v>759</v>
      </c>
      <c r="E502" t="s">
        <v>461</v>
      </c>
      <c r="F502" t="s">
        <v>1206</v>
      </c>
      <c r="G502" t="s">
        <v>451</v>
      </c>
      <c r="H502" t="s">
        <v>378</v>
      </c>
      <c r="I502" t="s">
        <v>44</v>
      </c>
      <c r="J502" t="s">
        <v>233</v>
      </c>
      <c r="K502" t="s">
        <v>65</v>
      </c>
      <c r="L502" t="s">
        <v>55</v>
      </c>
      <c r="M502" t="s">
        <v>56</v>
      </c>
      <c r="N502" t="s">
        <v>72</v>
      </c>
      <c r="O502">
        <v>2022</v>
      </c>
    </row>
    <row r="503" spans="1:15" x14ac:dyDescent="0.25">
      <c r="A503" t="s">
        <v>1118</v>
      </c>
      <c r="B503" t="s">
        <v>1208</v>
      </c>
      <c r="C503" t="s">
        <v>387</v>
      </c>
      <c r="D503" t="s">
        <v>68</v>
      </c>
      <c r="E503" t="s">
        <v>461</v>
      </c>
      <c r="F503" t="s">
        <v>1206</v>
      </c>
      <c r="G503" t="s">
        <v>639</v>
      </c>
      <c r="H503" t="s">
        <v>388</v>
      </c>
      <c r="I503" t="s">
        <v>775</v>
      </c>
      <c r="J503" t="s">
        <v>796</v>
      </c>
      <c r="K503" t="s">
        <v>25</v>
      </c>
      <c r="L503" t="s">
        <v>740</v>
      </c>
      <c r="M503" t="s">
        <v>27</v>
      </c>
      <c r="N503" t="s">
        <v>34</v>
      </c>
      <c r="O503">
        <v>2022</v>
      </c>
    </row>
    <row r="504" spans="1:15" x14ac:dyDescent="0.25">
      <c r="A504" t="s">
        <v>1118</v>
      </c>
      <c r="B504" t="s">
        <v>1209</v>
      </c>
      <c r="C504" t="s">
        <v>590</v>
      </c>
      <c r="D504" t="s">
        <v>68</v>
      </c>
      <c r="E504" t="s">
        <v>461</v>
      </c>
      <c r="F504" t="s">
        <v>527</v>
      </c>
      <c r="G504" t="s">
        <v>1210</v>
      </c>
      <c r="H504" t="s">
        <v>560</v>
      </c>
      <c r="I504" t="s">
        <v>379</v>
      </c>
      <c r="J504" t="s">
        <v>288</v>
      </c>
      <c r="K504" t="s">
        <v>31</v>
      </c>
      <c r="L504" t="s">
        <v>108</v>
      </c>
      <c r="M504" t="s">
        <v>39</v>
      </c>
      <c r="N504" t="s">
        <v>173</v>
      </c>
      <c r="O504">
        <v>2023</v>
      </c>
    </row>
    <row r="505" spans="1:15" x14ac:dyDescent="0.25">
      <c r="A505" t="s">
        <v>1118</v>
      </c>
      <c r="B505" t="s">
        <v>1211</v>
      </c>
      <c r="C505" t="s">
        <v>590</v>
      </c>
      <c r="D505" t="s">
        <v>375</v>
      </c>
      <c r="E505" t="s">
        <v>461</v>
      </c>
      <c r="F505" t="s">
        <v>527</v>
      </c>
      <c r="G505" t="s">
        <v>1210</v>
      </c>
      <c r="H505" t="s">
        <v>560</v>
      </c>
      <c r="I505" t="s">
        <v>379</v>
      </c>
      <c r="J505" t="s">
        <v>231</v>
      </c>
      <c r="K505" t="s">
        <v>49</v>
      </c>
      <c r="L505" t="s">
        <v>55</v>
      </c>
      <c r="M505" t="s">
        <v>56</v>
      </c>
      <c r="N505" t="s">
        <v>72</v>
      </c>
      <c r="O505">
        <v>2023</v>
      </c>
    </row>
    <row r="506" spans="1:15" x14ac:dyDescent="0.25">
      <c r="A506" t="s">
        <v>1118</v>
      </c>
      <c r="B506" t="s">
        <v>1212</v>
      </c>
      <c r="C506" t="s">
        <v>1213</v>
      </c>
      <c r="D506" t="s">
        <v>375</v>
      </c>
      <c r="E506" t="s">
        <v>461</v>
      </c>
      <c r="F506" t="s">
        <v>1214</v>
      </c>
      <c r="G506" t="s">
        <v>767</v>
      </c>
      <c r="H506" t="s">
        <v>1215</v>
      </c>
      <c r="I506" t="s">
        <v>1216</v>
      </c>
      <c r="J506" t="s">
        <v>233</v>
      </c>
      <c r="K506" t="s">
        <v>65</v>
      </c>
      <c r="L506" t="s">
        <v>55</v>
      </c>
      <c r="M506" t="s">
        <v>77</v>
      </c>
      <c r="N506" t="s">
        <v>89</v>
      </c>
      <c r="O506">
        <v>2022</v>
      </c>
    </row>
    <row r="507" spans="1:15" x14ac:dyDescent="0.25">
      <c r="A507" t="s">
        <v>1118</v>
      </c>
      <c r="B507" t="s">
        <v>1217</v>
      </c>
      <c r="C507" t="s">
        <v>809</v>
      </c>
      <c r="D507" t="s">
        <v>68</v>
      </c>
      <c r="E507" t="s">
        <v>461</v>
      </c>
      <c r="F507" t="s">
        <v>1218</v>
      </c>
      <c r="G507" t="s">
        <v>1176</v>
      </c>
      <c r="H507" t="s">
        <v>1219</v>
      </c>
      <c r="I507" t="s">
        <v>44</v>
      </c>
      <c r="J507" t="s">
        <v>1141</v>
      </c>
      <c r="K507" t="s">
        <v>837</v>
      </c>
      <c r="L507" t="s">
        <v>318</v>
      </c>
      <c r="M507" t="s">
        <v>331</v>
      </c>
      <c r="N507" t="s">
        <v>718</v>
      </c>
      <c r="O507">
        <v>2023</v>
      </c>
    </row>
    <row r="508" spans="1:15" x14ac:dyDescent="0.25">
      <c r="A508" t="s">
        <v>1118</v>
      </c>
      <c r="B508" t="s">
        <v>1220</v>
      </c>
      <c r="C508" t="s">
        <v>809</v>
      </c>
      <c r="D508" t="s">
        <v>68</v>
      </c>
      <c r="E508" t="s">
        <v>461</v>
      </c>
      <c r="F508" t="s">
        <v>1218</v>
      </c>
      <c r="G508" t="s">
        <v>1176</v>
      </c>
      <c r="H508" t="s">
        <v>1219</v>
      </c>
      <c r="I508" t="s">
        <v>44</v>
      </c>
      <c r="J508" t="s">
        <v>288</v>
      </c>
      <c r="K508" t="s">
        <v>800</v>
      </c>
      <c r="L508" t="s">
        <v>717</v>
      </c>
      <c r="M508" t="s">
        <v>666</v>
      </c>
      <c r="N508" t="s">
        <v>301</v>
      </c>
      <c r="O508">
        <v>2023</v>
      </c>
    </row>
    <row r="509" spans="1:15" x14ac:dyDescent="0.25">
      <c r="A509" t="s">
        <v>1118</v>
      </c>
      <c r="B509" t="s">
        <v>1221</v>
      </c>
      <c r="C509" t="s">
        <v>1157</v>
      </c>
      <c r="D509" t="s">
        <v>375</v>
      </c>
      <c r="E509" t="s">
        <v>461</v>
      </c>
      <c r="F509" t="s">
        <v>1148</v>
      </c>
      <c r="G509" t="s">
        <v>708</v>
      </c>
      <c r="H509" t="s">
        <v>1222</v>
      </c>
      <c r="I509" t="s">
        <v>44</v>
      </c>
      <c r="J509" t="s">
        <v>231</v>
      </c>
      <c r="K509" t="s">
        <v>716</v>
      </c>
      <c r="L509" t="s">
        <v>326</v>
      </c>
      <c r="M509" t="s">
        <v>300</v>
      </c>
      <c r="N509" t="s">
        <v>777</v>
      </c>
      <c r="O509">
        <v>2023</v>
      </c>
    </row>
    <row r="510" spans="1:15" x14ac:dyDescent="0.25">
      <c r="A510" t="s">
        <v>1118</v>
      </c>
      <c r="B510" t="s">
        <v>1223</v>
      </c>
      <c r="C510" t="s">
        <v>224</v>
      </c>
      <c r="D510" t="s">
        <v>759</v>
      </c>
      <c r="E510" t="s">
        <v>461</v>
      </c>
      <c r="F510" t="s">
        <v>1224</v>
      </c>
      <c r="G510" t="s">
        <v>767</v>
      </c>
      <c r="H510" t="s">
        <v>1225</v>
      </c>
      <c r="I510" t="s">
        <v>744</v>
      </c>
      <c r="J510" t="s">
        <v>765</v>
      </c>
      <c r="K510" t="s">
        <v>704</v>
      </c>
      <c r="L510" t="s">
        <v>883</v>
      </c>
      <c r="M510" t="s">
        <v>167</v>
      </c>
      <c r="N510" t="s">
        <v>168</v>
      </c>
      <c r="O510">
        <v>2023</v>
      </c>
    </row>
    <row r="511" spans="1:15" x14ac:dyDescent="0.25">
      <c r="A511" t="s">
        <v>1118</v>
      </c>
      <c r="B511" t="s">
        <v>1226</v>
      </c>
      <c r="C511" t="s">
        <v>17</v>
      </c>
      <c r="D511" t="s">
        <v>68</v>
      </c>
      <c r="E511" t="s">
        <v>461</v>
      </c>
      <c r="F511" t="s">
        <v>755</v>
      </c>
      <c r="G511" t="s">
        <v>708</v>
      </c>
      <c r="H511" t="s">
        <v>82</v>
      </c>
      <c r="I511" t="s">
        <v>44</v>
      </c>
      <c r="J511" t="s">
        <v>836</v>
      </c>
      <c r="K511" t="s">
        <v>470</v>
      </c>
      <c r="L511" t="s">
        <v>544</v>
      </c>
      <c r="M511" t="s">
        <v>472</v>
      </c>
      <c r="N511" t="s">
        <v>583</v>
      </c>
      <c r="O511">
        <v>2022</v>
      </c>
    </row>
    <row r="512" spans="1:15" x14ac:dyDescent="0.25">
      <c r="A512" t="s">
        <v>1118</v>
      </c>
      <c r="B512" t="s">
        <v>1227</v>
      </c>
      <c r="C512" t="s">
        <v>17</v>
      </c>
      <c r="D512" t="s">
        <v>375</v>
      </c>
      <c r="E512" t="s">
        <v>461</v>
      </c>
      <c r="F512" t="s">
        <v>755</v>
      </c>
      <c r="G512" t="s">
        <v>708</v>
      </c>
      <c r="H512" t="s">
        <v>82</v>
      </c>
      <c r="I512" t="s">
        <v>44</v>
      </c>
      <c r="J512" t="s">
        <v>1141</v>
      </c>
      <c r="K512" t="s">
        <v>866</v>
      </c>
      <c r="L512" t="s">
        <v>318</v>
      </c>
      <c r="M512" t="s">
        <v>331</v>
      </c>
      <c r="N512" t="s">
        <v>718</v>
      </c>
      <c r="O512">
        <v>2022</v>
      </c>
    </row>
    <row r="513" spans="1:15" x14ac:dyDescent="0.25">
      <c r="A513" t="s">
        <v>1118</v>
      </c>
      <c r="B513" t="s">
        <v>1228</v>
      </c>
      <c r="C513" t="s">
        <v>820</v>
      </c>
      <c r="D513" t="s">
        <v>759</v>
      </c>
      <c r="E513" t="s">
        <v>461</v>
      </c>
      <c r="F513" t="s">
        <v>527</v>
      </c>
      <c r="G513" t="s">
        <v>1229</v>
      </c>
      <c r="H513" t="s">
        <v>82</v>
      </c>
      <c r="I513" t="s">
        <v>44</v>
      </c>
      <c r="J513" t="s">
        <v>227</v>
      </c>
      <c r="K513" t="s">
        <v>800</v>
      </c>
      <c r="L513" t="s">
        <v>299</v>
      </c>
      <c r="M513" t="s">
        <v>300</v>
      </c>
      <c r="N513" t="s">
        <v>705</v>
      </c>
      <c r="O513">
        <v>2022</v>
      </c>
    </row>
    <row r="514" spans="1:15" x14ac:dyDescent="0.25">
      <c r="A514" t="s">
        <v>1118</v>
      </c>
      <c r="B514" t="s">
        <v>1230</v>
      </c>
      <c r="C514" t="s">
        <v>559</v>
      </c>
      <c r="D514" t="s">
        <v>759</v>
      </c>
      <c r="E514" t="s">
        <v>461</v>
      </c>
      <c r="F514" t="s">
        <v>1133</v>
      </c>
      <c r="G514" t="s">
        <v>767</v>
      </c>
      <c r="H514" t="s">
        <v>1225</v>
      </c>
      <c r="I514" t="s">
        <v>44</v>
      </c>
      <c r="J514" t="s">
        <v>343</v>
      </c>
      <c r="K514" t="s">
        <v>1231</v>
      </c>
      <c r="L514" t="s">
        <v>330</v>
      </c>
      <c r="M514" t="s">
        <v>712</v>
      </c>
      <c r="N514" t="s">
        <v>229</v>
      </c>
      <c r="O514">
        <v>2022</v>
      </c>
    </row>
    <row r="515" spans="1:15" x14ac:dyDescent="0.25">
      <c r="A515" t="s">
        <v>1118</v>
      </c>
      <c r="B515" t="s">
        <v>1232</v>
      </c>
      <c r="C515" t="s">
        <v>748</v>
      </c>
      <c r="D515" t="s">
        <v>68</v>
      </c>
      <c r="E515" t="s">
        <v>461</v>
      </c>
      <c r="F515" t="s">
        <v>1133</v>
      </c>
      <c r="G515" t="s">
        <v>1233</v>
      </c>
      <c r="H515" t="s">
        <v>82</v>
      </c>
      <c r="I515" t="s">
        <v>463</v>
      </c>
      <c r="J515" t="s">
        <v>303</v>
      </c>
      <c r="K515" t="s">
        <v>917</v>
      </c>
      <c r="L515" t="s">
        <v>466</v>
      </c>
      <c r="M515" t="s">
        <v>327</v>
      </c>
      <c r="N515" t="s">
        <v>320</v>
      </c>
      <c r="O515">
        <v>2022</v>
      </c>
    </row>
    <row r="516" spans="1:15" x14ac:dyDescent="0.25">
      <c r="A516" t="s">
        <v>1118</v>
      </c>
      <c r="B516" t="s">
        <v>1234</v>
      </c>
      <c r="C516" t="s">
        <v>748</v>
      </c>
      <c r="D516" t="s">
        <v>375</v>
      </c>
      <c r="E516" t="s">
        <v>461</v>
      </c>
      <c r="F516" t="s">
        <v>1133</v>
      </c>
      <c r="G516" t="s">
        <v>1233</v>
      </c>
      <c r="H516" t="s">
        <v>82</v>
      </c>
      <c r="I516" t="s">
        <v>463</v>
      </c>
      <c r="J516" t="s">
        <v>861</v>
      </c>
      <c r="K516" t="s">
        <v>746</v>
      </c>
      <c r="L516" t="s">
        <v>471</v>
      </c>
      <c r="M516" t="s">
        <v>472</v>
      </c>
      <c r="N516" t="s">
        <v>583</v>
      </c>
      <c r="O516">
        <v>2022</v>
      </c>
    </row>
    <row r="517" spans="1:15" x14ac:dyDescent="0.25">
      <c r="A517" t="s">
        <v>1118</v>
      </c>
      <c r="B517" t="s">
        <v>1235</v>
      </c>
      <c r="C517" t="s">
        <v>774</v>
      </c>
      <c r="D517" t="s">
        <v>375</v>
      </c>
      <c r="E517" t="s">
        <v>461</v>
      </c>
      <c r="F517" t="s">
        <v>1133</v>
      </c>
      <c r="G517" t="s">
        <v>1229</v>
      </c>
      <c r="H517" t="s">
        <v>82</v>
      </c>
      <c r="I517" t="s">
        <v>44</v>
      </c>
      <c r="J517" t="s">
        <v>1141</v>
      </c>
      <c r="K517" t="s">
        <v>800</v>
      </c>
      <c r="L517" t="s">
        <v>625</v>
      </c>
      <c r="M517" t="s">
        <v>666</v>
      </c>
      <c r="N517" t="s">
        <v>667</v>
      </c>
      <c r="O517">
        <v>2022</v>
      </c>
    </row>
    <row r="518" spans="1:15" x14ac:dyDescent="0.25">
      <c r="A518" t="s">
        <v>1118</v>
      </c>
      <c r="B518" t="s">
        <v>1236</v>
      </c>
      <c r="C518" t="s">
        <v>421</v>
      </c>
      <c r="D518" t="s">
        <v>375</v>
      </c>
      <c r="E518" t="s">
        <v>461</v>
      </c>
      <c r="F518" t="s">
        <v>1133</v>
      </c>
      <c r="G518" t="s">
        <v>1229</v>
      </c>
      <c r="H518" t="s">
        <v>82</v>
      </c>
      <c r="I518" t="s">
        <v>44</v>
      </c>
      <c r="J518" t="s">
        <v>796</v>
      </c>
      <c r="K518" t="s">
        <v>1237</v>
      </c>
      <c r="L518" t="s">
        <v>1238</v>
      </c>
      <c r="M518" t="s">
        <v>300</v>
      </c>
      <c r="N518" t="s">
        <v>705</v>
      </c>
      <c r="O518">
        <v>2022</v>
      </c>
    </row>
    <row r="519" spans="1:15" x14ac:dyDescent="0.25">
      <c r="A519" t="s">
        <v>1118</v>
      </c>
      <c r="B519" t="s">
        <v>1239</v>
      </c>
      <c r="C519" t="s">
        <v>815</v>
      </c>
      <c r="D519" t="s">
        <v>68</v>
      </c>
      <c r="E519" t="s">
        <v>461</v>
      </c>
      <c r="F519" t="s">
        <v>1152</v>
      </c>
      <c r="G519" t="s">
        <v>915</v>
      </c>
      <c r="H519" t="s">
        <v>82</v>
      </c>
      <c r="I519" t="s">
        <v>463</v>
      </c>
      <c r="J519" t="s">
        <v>297</v>
      </c>
      <c r="K519" t="s">
        <v>582</v>
      </c>
      <c r="L519" t="s">
        <v>484</v>
      </c>
      <c r="M519" t="s">
        <v>481</v>
      </c>
      <c r="N519" t="s">
        <v>482</v>
      </c>
      <c r="O519">
        <v>2021</v>
      </c>
    </row>
    <row r="520" spans="1:15" x14ac:dyDescent="0.25">
      <c r="A520" t="s">
        <v>1118</v>
      </c>
      <c r="B520" t="s">
        <v>1240</v>
      </c>
      <c r="C520" t="s">
        <v>815</v>
      </c>
      <c r="D520" t="s">
        <v>375</v>
      </c>
      <c r="E520" t="s">
        <v>461</v>
      </c>
      <c r="F520" t="s">
        <v>1152</v>
      </c>
      <c r="G520" t="s">
        <v>915</v>
      </c>
      <c r="H520" t="s">
        <v>82</v>
      </c>
      <c r="I520" t="s">
        <v>463</v>
      </c>
      <c r="J520" t="s">
        <v>303</v>
      </c>
      <c r="K520" t="s">
        <v>470</v>
      </c>
      <c r="L520" t="s">
        <v>466</v>
      </c>
      <c r="M520" t="s">
        <v>327</v>
      </c>
      <c r="N520" t="s">
        <v>320</v>
      </c>
      <c r="O520">
        <v>2021</v>
      </c>
    </row>
    <row r="521" spans="1:15" x14ac:dyDescent="0.25">
      <c r="A521" t="s">
        <v>1118</v>
      </c>
      <c r="B521" t="s">
        <v>1241</v>
      </c>
      <c r="C521" t="s">
        <v>809</v>
      </c>
      <c r="D521" t="s">
        <v>375</v>
      </c>
      <c r="E521" t="s">
        <v>461</v>
      </c>
      <c r="F521" t="s">
        <v>1133</v>
      </c>
      <c r="G521" t="s">
        <v>911</v>
      </c>
      <c r="H521" t="s">
        <v>82</v>
      </c>
      <c r="I521" t="s">
        <v>775</v>
      </c>
      <c r="J521" t="s">
        <v>836</v>
      </c>
      <c r="K521" t="s">
        <v>776</v>
      </c>
      <c r="L521" t="s">
        <v>751</v>
      </c>
      <c r="M521" t="s">
        <v>331</v>
      </c>
      <c r="N521" t="s">
        <v>332</v>
      </c>
      <c r="O521">
        <v>2021</v>
      </c>
    </row>
    <row r="522" spans="1:15" x14ac:dyDescent="0.25">
      <c r="A522" t="s">
        <v>1118</v>
      </c>
      <c r="B522" t="s">
        <v>1242</v>
      </c>
      <c r="C522" t="s">
        <v>1036</v>
      </c>
      <c r="D522" t="s">
        <v>68</v>
      </c>
      <c r="E522" t="s">
        <v>461</v>
      </c>
      <c r="F522" t="s">
        <v>1152</v>
      </c>
      <c r="G522" t="s">
        <v>915</v>
      </c>
      <c r="H522" t="s">
        <v>110</v>
      </c>
      <c r="I522" t="s">
        <v>781</v>
      </c>
      <c r="J522" t="s">
        <v>297</v>
      </c>
      <c r="K522" t="s">
        <v>917</v>
      </c>
      <c r="L522" t="s">
        <v>544</v>
      </c>
      <c r="M522" t="s">
        <v>481</v>
      </c>
      <c r="N522" t="s">
        <v>482</v>
      </c>
      <c r="O522">
        <v>2021</v>
      </c>
    </row>
    <row r="523" spans="1:15" x14ac:dyDescent="0.25">
      <c r="A523" t="s">
        <v>1118</v>
      </c>
      <c r="B523" t="s">
        <v>1243</v>
      </c>
      <c r="C523" t="s">
        <v>1036</v>
      </c>
      <c r="D523" t="s">
        <v>375</v>
      </c>
      <c r="E523" t="s">
        <v>461</v>
      </c>
      <c r="F523" t="s">
        <v>1152</v>
      </c>
      <c r="G523" t="s">
        <v>915</v>
      </c>
      <c r="H523" t="s">
        <v>110</v>
      </c>
      <c r="I523" t="s">
        <v>781</v>
      </c>
      <c r="J523" t="s">
        <v>303</v>
      </c>
      <c r="K523" t="s">
        <v>470</v>
      </c>
      <c r="L523" t="s">
        <v>318</v>
      </c>
      <c r="M523" t="s">
        <v>327</v>
      </c>
      <c r="N523" t="s">
        <v>320</v>
      </c>
      <c r="O523">
        <v>2021</v>
      </c>
    </row>
    <row r="524" spans="1:15" x14ac:dyDescent="0.25">
      <c r="A524" t="s">
        <v>1118</v>
      </c>
      <c r="B524" t="s">
        <v>1244</v>
      </c>
      <c r="C524" t="s">
        <v>266</v>
      </c>
      <c r="D524" t="s">
        <v>68</v>
      </c>
      <c r="E524" t="s">
        <v>461</v>
      </c>
      <c r="F524" t="s">
        <v>1245</v>
      </c>
      <c r="G524" t="s">
        <v>911</v>
      </c>
      <c r="H524" t="s">
        <v>82</v>
      </c>
      <c r="I524" t="s">
        <v>775</v>
      </c>
      <c r="J524" t="s">
        <v>861</v>
      </c>
      <c r="K524" t="s">
        <v>776</v>
      </c>
      <c r="L524" t="s">
        <v>717</v>
      </c>
      <c r="M524" t="s">
        <v>472</v>
      </c>
      <c r="N524" t="s">
        <v>583</v>
      </c>
      <c r="O524">
        <v>2021</v>
      </c>
    </row>
    <row r="525" spans="1:15" x14ac:dyDescent="0.25">
      <c r="A525" t="s">
        <v>1118</v>
      </c>
      <c r="B525" t="s">
        <v>1246</v>
      </c>
      <c r="C525" t="s">
        <v>266</v>
      </c>
      <c r="D525" t="s">
        <v>375</v>
      </c>
      <c r="E525" t="s">
        <v>461</v>
      </c>
      <c r="F525" t="s">
        <v>1245</v>
      </c>
      <c r="G525" t="s">
        <v>911</v>
      </c>
      <c r="H525" t="s">
        <v>82</v>
      </c>
      <c r="I525" t="s">
        <v>775</v>
      </c>
      <c r="J525" t="s">
        <v>836</v>
      </c>
      <c r="K525" t="s">
        <v>716</v>
      </c>
      <c r="L525" t="s">
        <v>299</v>
      </c>
      <c r="M525" t="s">
        <v>331</v>
      </c>
      <c r="N525" t="s">
        <v>718</v>
      </c>
      <c r="O525">
        <v>2021</v>
      </c>
    </row>
    <row r="526" spans="1:15" x14ac:dyDescent="0.25">
      <c r="A526" t="s">
        <v>1118</v>
      </c>
      <c r="B526" t="s">
        <v>1247</v>
      </c>
      <c r="C526" t="s">
        <v>235</v>
      </c>
      <c r="D526" t="s">
        <v>375</v>
      </c>
      <c r="E526" t="s">
        <v>461</v>
      </c>
      <c r="F526" t="s">
        <v>1248</v>
      </c>
      <c r="G526" t="s">
        <v>804</v>
      </c>
      <c r="H526" t="s">
        <v>82</v>
      </c>
      <c r="I526" t="s">
        <v>775</v>
      </c>
      <c r="J526" t="s">
        <v>1141</v>
      </c>
      <c r="K526" t="s">
        <v>665</v>
      </c>
      <c r="L526" t="s">
        <v>883</v>
      </c>
      <c r="M526" t="s">
        <v>300</v>
      </c>
      <c r="N526" t="s">
        <v>705</v>
      </c>
      <c r="O526">
        <v>2021</v>
      </c>
    </row>
    <row r="527" spans="1:15" x14ac:dyDescent="0.25">
      <c r="A527" t="s">
        <v>1118</v>
      </c>
      <c r="B527" t="s">
        <v>1249</v>
      </c>
      <c r="C527" t="s">
        <v>809</v>
      </c>
      <c r="D527" t="s">
        <v>68</v>
      </c>
      <c r="E527" t="s">
        <v>461</v>
      </c>
      <c r="F527" t="s">
        <v>1245</v>
      </c>
      <c r="G527" t="s">
        <v>821</v>
      </c>
      <c r="H527" t="s">
        <v>110</v>
      </c>
      <c r="I527" t="s">
        <v>781</v>
      </c>
      <c r="J527" t="s">
        <v>325</v>
      </c>
      <c r="K527" t="s">
        <v>525</v>
      </c>
      <c r="L527" t="s">
        <v>522</v>
      </c>
      <c r="M527" t="s">
        <v>491</v>
      </c>
      <c r="N527" t="s">
        <v>503</v>
      </c>
      <c r="O527">
        <v>2020</v>
      </c>
    </row>
    <row r="528" spans="1:15" x14ac:dyDescent="0.25">
      <c r="A528" t="s">
        <v>1118</v>
      </c>
      <c r="B528" t="s">
        <v>1250</v>
      </c>
      <c r="C528" t="s">
        <v>809</v>
      </c>
      <c r="D528" t="s">
        <v>375</v>
      </c>
      <c r="E528" t="s">
        <v>461</v>
      </c>
      <c r="F528" t="s">
        <v>1245</v>
      </c>
      <c r="G528" t="s">
        <v>821</v>
      </c>
      <c r="H528" t="s">
        <v>110</v>
      </c>
      <c r="I528" t="s">
        <v>781</v>
      </c>
      <c r="J528" t="s">
        <v>297</v>
      </c>
      <c r="K528" t="s">
        <v>917</v>
      </c>
      <c r="L528" t="s">
        <v>544</v>
      </c>
      <c r="M528" t="s">
        <v>481</v>
      </c>
      <c r="N528" t="s">
        <v>482</v>
      </c>
      <c r="O528">
        <v>2020</v>
      </c>
    </row>
    <row r="529" spans="1:15" x14ac:dyDescent="0.25">
      <c r="A529" t="s">
        <v>1118</v>
      </c>
      <c r="B529" t="s">
        <v>1251</v>
      </c>
      <c r="C529" t="s">
        <v>815</v>
      </c>
      <c r="D529" t="s">
        <v>68</v>
      </c>
      <c r="E529" t="s">
        <v>461</v>
      </c>
      <c r="F529" t="s">
        <v>1245</v>
      </c>
      <c r="G529" t="s">
        <v>1252</v>
      </c>
      <c r="H529" t="s">
        <v>1253</v>
      </c>
      <c r="I529" t="s">
        <v>775</v>
      </c>
      <c r="J529" t="s">
        <v>303</v>
      </c>
      <c r="K529" t="s">
        <v>470</v>
      </c>
      <c r="L529" t="s">
        <v>751</v>
      </c>
      <c r="M529" t="s">
        <v>327</v>
      </c>
      <c r="N529" t="s">
        <v>320</v>
      </c>
      <c r="O529">
        <v>2020</v>
      </c>
    </row>
    <row r="530" spans="1:15" x14ac:dyDescent="0.25">
      <c r="A530" t="s">
        <v>1118</v>
      </c>
      <c r="B530" t="s">
        <v>1254</v>
      </c>
      <c r="C530" t="s">
        <v>815</v>
      </c>
      <c r="D530" t="s">
        <v>375</v>
      </c>
      <c r="E530" t="s">
        <v>461</v>
      </c>
      <c r="F530" t="s">
        <v>1245</v>
      </c>
      <c r="G530" t="s">
        <v>1252</v>
      </c>
      <c r="H530" t="s">
        <v>1253</v>
      </c>
      <c r="I530" t="s">
        <v>775</v>
      </c>
      <c r="J530" t="s">
        <v>861</v>
      </c>
      <c r="K530" t="s">
        <v>866</v>
      </c>
      <c r="L530" t="s">
        <v>625</v>
      </c>
      <c r="M530" t="s">
        <v>472</v>
      </c>
      <c r="N530" t="s">
        <v>583</v>
      </c>
      <c r="O530">
        <v>2020</v>
      </c>
    </row>
    <row r="531" spans="1:15" x14ac:dyDescent="0.25">
      <c r="A531" t="s">
        <v>1118</v>
      </c>
      <c r="B531" t="s">
        <v>1255</v>
      </c>
      <c r="C531" t="s">
        <v>820</v>
      </c>
      <c r="D531" t="s">
        <v>375</v>
      </c>
      <c r="E531" t="s">
        <v>461</v>
      </c>
      <c r="F531" t="s">
        <v>1256</v>
      </c>
      <c r="G531" t="s">
        <v>795</v>
      </c>
      <c r="H531" t="s">
        <v>82</v>
      </c>
      <c r="I531" t="s">
        <v>775</v>
      </c>
      <c r="J531" t="s">
        <v>745</v>
      </c>
      <c r="K531" t="s">
        <v>716</v>
      </c>
      <c r="L531" t="s">
        <v>330</v>
      </c>
      <c r="M531" t="s">
        <v>300</v>
      </c>
      <c r="N531" t="s">
        <v>301</v>
      </c>
      <c r="O531">
        <v>2020</v>
      </c>
    </row>
    <row r="532" spans="1:15" x14ac:dyDescent="0.25">
      <c r="A532" t="s">
        <v>1118</v>
      </c>
      <c r="B532" t="s">
        <v>1257</v>
      </c>
      <c r="C532" t="s">
        <v>774</v>
      </c>
      <c r="D532" t="s">
        <v>68</v>
      </c>
      <c r="E532" t="s">
        <v>461</v>
      </c>
      <c r="F532" t="s">
        <v>1258</v>
      </c>
      <c r="G532" t="s">
        <v>821</v>
      </c>
      <c r="H532" t="s">
        <v>1259</v>
      </c>
      <c r="I532" t="s">
        <v>781</v>
      </c>
      <c r="J532" t="s">
        <v>316</v>
      </c>
      <c r="K532" t="s">
        <v>494</v>
      </c>
      <c r="L532" t="s">
        <v>637</v>
      </c>
      <c r="M532" t="s">
        <v>491</v>
      </c>
      <c r="N532" t="s">
        <v>516</v>
      </c>
      <c r="O532">
        <v>2020</v>
      </c>
    </row>
    <row r="533" spans="1:15" x14ac:dyDescent="0.25">
      <c r="A533" t="s">
        <v>1118</v>
      </c>
      <c r="B533" t="s">
        <v>1260</v>
      </c>
      <c r="C533" t="s">
        <v>774</v>
      </c>
      <c r="D533" t="s">
        <v>68</v>
      </c>
      <c r="E533" t="s">
        <v>461</v>
      </c>
      <c r="F533" t="s">
        <v>1258</v>
      </c>
      <c r="G533" t="s">
        <v>821</v>
      </c>
      <c r="H533" t="s">
        <v>1259</v>
      </c>
      <c r="I533" t="s">
        <v>781</v>
      </c>
      <c r="J533" t="s">
        <v>325</v>
      </c>
      <c r="K533" t="s">
        <v>525</v>
      </c>
      <c r="L533" t="s">
        <v>466</v>
      </c>
      <c r="M533" t="s">
        <v>481</v>
      </c>
      <c r="N533" t="s">
        <v>314</v>
      </c>
      <c r="O533">
        <v>2020</v>
      </c>
    </row>
    <row r="534" spans="1:15" x14ac:dyDescent="0.25">
      <c r="A534" t="s">
        <v>1118</v>
      </c>
      <c r="B534" t="s">
        <v>1261</v>
      </c>
      <c r="C534" t="s">
        <v>131</v>
      </c>
      <c r="D534" t="s">
        <v>375</v>
      </c>
      <c r="E534" t="s">
        <v>461</v>
      </c>
      <c r="F534" t="s">
        <v>1262</v>
      </c>
      <c r="G534" t="s">
        <v>821</v>
      </c>
      <c r="H534" t="s">
        <v>1259</v>
      </c>
      <c r="I534" t="s">
        <v>775</v>
      </c>
      <c r="J534" t="s">
        <v>861</v>
      </c>
      <c r="K534" t="s">
        <v>776</v>
      </c>
      <c r="L534" t="s">
        <v>299</v>
      </c>
      <c r="M534" t="s">
        <v>331</v>
      </c>
      <c r="N534" t="s">
        <v>332</v>
      </c>
      <c r="O534">
        <v>2020</v>
      </c>
    </row>
    <row r="535" spans="1:15" x14ac:dyDescent="0.25">
      <c r="A535" t="s">
        <v>1118</v>
      </c>
      <c r="B535" t="s">
        <v>1263</v>
      </c>
      <c r="C535" t="s">
        <v>598</v>
      </c>
      <c r="D535" t="s">
        <v>68</v>
      </c>
      <c r="E535" t="s">
        <v>461</v>
      </c>
      <c r="F535" t="s">
        <v>1245</v>
      </c>
      <c r="G535" t="s">
        <v>1264</v>
      </c>
      <c r="H535" t="s">
        <v>1265</v>
      </c>
      <c r="I535" t="s">
        <v>463</v>
      </c>
      <c r="J535" t="s">
        <v>310</v>
      </c>
      <c r="K535" t="s">
        <v>479</v>
      </c>
      <c r="L535" t="s">
        <v>480</v>
      </c>
      <c r="M535" t="s">
        <v>502</v>
      </c>
      <c r="N535" t="s">
        <v>513</v>
      </c>
      <c r="O535">
        <v>2019</v>
      </c>
    </row>
    <row r="536" spans="1:15" x14ac:dyDescent="0.25">
      <c r="A536" t="s">
        <v>1118</v>
      </c>
      <c r="B536" t="s">
        <v>1266</v>
      </c>
      <c r="C536" t="s">
        <v>598</v>
      </c>
      <c r="D536" t="s">
        <v>375</v>
      </c>
      <c r="E536" t="s">
        <v>461</v>
      </c>
      <c r="F536" t="s">
        <v>1245</v>
      </c>
      <c r="G536" t="s">
        <v>1264</v>
      </c>
      <c r="H536" t="s">
        <v>1265</v>
      </c>
      <c r="I536" t="s">
        <v>463</v>
      </c>
      <c r="J536" t="s">
        <v>316</v>
      </c>
      <c r="K536" t="s">
        <v>525</v>
      </c>
      <c r="L536" t="s">
        <v>522</v>
      </c>
      <c r="M536" t="s">
        <v>491</v>
      </c>
      <c r="N536" t="s">
        <v>503</v>
      </c>
      <c r="O536">
        <v>2019</v>
      </c>
    </row>
    <row r="537" spans="1:15" x14ac:dyDescent="0.25">
      <c r="A537" t="s">
        <v>1118</v>
      </c>
      <c r="B537" t="s">
        <v>1267</v>
      </c>
      <c r="C537" t="s">
        <v>97</v>
      </c>
      <c r="D537" t="s">
        <v>375</v>
      </c>
      <c r="E537" t="s">
        <v>461</v>
      </c>
      <c r="F537" t="s">
        <v>1268</v>
      </c>
      <c r="G537" t="s">
        <v>821</v>
      </c>
      <c r="H537" t="s">
        <v>1265</v>
      </c>
      <c r="I537" t="s">
        <v>248</v>
      </c>
      <c r="J537" t="s">
        <v>297</v>
      </c>
      <c r="K537" t="s">
        <v>746</v>
      </c>
      <c r="L537" t="s">
        <v>299</v>
      </c>
      <c r="M537" t="s">
        <v>331</v>
      </c>
      <c r="N537" t="s">
        <v>332</v>
      </c>
      <c r="O537">
        <v>2019</v>
      </c>
    </row>
    <row r="538" spans="1:15" x14ac:dyDescent="0.25">
      <c r="A538" t="s">
        <v>1118</v>
      </c>
      <c r="B538" t="s">
        <v>1269</v>
      </c>
      <c r="C538" t="s">
        <v>1157</v>
      </c>
      <c r="D538" t="s">
        <v>18</v>
      </c>
      <c r="E538" t="s">
        <v>307</v>
      </c>
      <c r="F538" t="s">
        <v>535</v>
      </c>
      <c r="G538" t="s">
        <v>756</v>
      </c>
      <c r="H538" t="s">
        <v>1219</v>
      </c>
      <c r="I538" t="s">
        <v>919</v>
      </c>
      <c r="J538" t="s">
        <v>787</v>
      </c>
      <c r="K538" t="s">
        <v>510</v>
      </c>
      <c r="L538" t="s">
        <v>506</v>
      </c>
      <c r="M538" t="s">
        <v>512</v>
      </c>
      <c r="N538" t="s">
        <v>1270</v>
      </c>
      <c r="O538">
        <v>2023</v>
      </c>
    </row>
    <row r="539" spans="1:15" x14ac:dyDescent="0.25">
      <c r="A539" t="s">
        <v>1118</v>
      </c>
      <c r="B539" t="s">
        <v>1271</v>
      </c>
      <c r="C539" t="s">
        <v>1157</v>
      </c>
      <c r="D539" t="s">
        <v>68</v>
      </c>
      <c r="E539" t="s">
        <v>307</v>
      </c>
      <c r="F539" t="s">
        <v>535</v>
      </c>
      <c r="G539" t="s">
        <v>756</v>
      </c>
      <c r="H539" t="s">
        <v>1219</v>
      </c>
      <c r="I539" t="s">
        <v>919</v>
      </c>
      <c r="J539" t="s">
        <v>994</v>
      </c>
      <c r="K539" t="s">
        <v>689</v>
      </c>
      <c r="L539" t="s">
        <v>637</v>
      </c>
      <c r="M539" t="s">
        <v>683</v>
      </c>
      <c r="N539" t="s">
        <v>1272</v>
      </c>
      <c r="O539">
        <v>2023</v>
      </c>
    </row>
    <row r="540" spans="1:15" x14ac:dyDescent="0.25">
      <c r="A540" t="s">
        <v>1118</v>
      </c>
      <c r="B540" t="s">
        <v>1273</v>
      </c>
      <c r="C540" t="s">
        <v>235</v>
      </c>
      <c r="D540" t="s">
        <v>68</v>
      </c>
      <c r="E540" t="s">
        <v>307</v>
      </c>
      <c r="F540" t="s">
        <v>497</v>
      </c>
      <c r="G540" t="s">
        <v>1049</v>
      </c>
      <c r="H540" t="s">
        <v>1219</v>
      </c>
      <c r="I540" t="s">
        <v>919</v>
      </c>
      <c r="J540" t="s">
        <v>310</v>
      </c>
      <c r="K540" t="s">
        <v>1274</v>
      </c>
      <c r="L540" t="s">
        <v>506</v>
      </c>
      <c r="M540" t="s">
        <v>502</v>
      </c>
      <c r="N540" t="s">
        <v>1275</v>
      </c>
      <c r="O540">
        <v>2022</v>
      </c>
    </row>
    <row r="541" spans="1:15" x14ac:dyDescent="0.25">
      <c r="A541" t="s">
        <v>1118</v>
      </c>
      <c r="B541" t="s">
        <v>1276</v>
      </c>
      <c r="C541" t="s">
        <v>1157</v>
      </c>
      <c r="D541" t="s">
        <v>18</v>
      </c>
      <c r="E541" t="s">
        <v>307</v>
      </c>
      <c r="F541" t="s">
        <v>535</v>
      </c>
      <c r="G541" t="s">
        <v>1277</v>
      </c>
      <c r="H541" t="s">
        <v>1219</v>
      </c>
      <c r="I541" t="s">
        <v>919</v>
      </c>
      <c r="J541" t="s">
        <v>931</v>
      </c>
      <c r="K541" t="s">
        <v>540</v>
      </c>
      <c r="L541" t="s">
        <v>490</v>
      </c>
      <c r="M541" t="s">
        <v>932</v>
      </c>
      <c r="N541" t="s">
        <v>1278</v>
      </c>
      <c r="O541">
        <v>2022</v>
      </c>
    </row>
    <row r="542" spans="1:15" x14ac:dyDescent="0.25">
      <c r="A542" t="s">
        <v>1118</v>
      </c>
      <c r="B542" t="s">
        <v>1279</v>
      </c>
      <c r="C542" t="s">
        <v>213</v>
      </c>
      <c r="D542" t="s">
        <v>18</v>
      </c>
      <c r="E542" t="s">
        <v>307</v>
      </c>
      <c r="F542" t="s">
        <v>535</v>
      </c>
      <c r="G542" t="s">
        <v>1049</v>
      </c>
      <c r="H542" t="s">
        <v>1219</v>
      </c>
      <c r="I542" t="s">
        <v>248</v>
      </c>
      <c r="J542" t="s">
        <v>1280</v>
      </c>
      <c r="K542" t="s">
        <v>510</v>
      </c>
      <c r="L542" t="s">
        <v>501</v>
      </c>
      <c r="M542" t="s">
        <v>512</v>
      </c>
      <c r="N542" t="s">
        <v>1270</v>
      </c>
      <c r="O542">
        <v>2021</v>
      </c>
    </row>
    <row r="543" spans="1:15" x14ac:dyDescent="0.25">
      <c r="A543" t="s">
        <v>1118</v>
      </c>
      <c r="B543" t="s">
        <v>1281</v>
      </c>
      <c r="C543" t="s">
        <v>1157</v>
      </c>
      <c r="D543" t="s">
        <v>18</v>
      </c>
      <c r="E543" t="s">
        <v>307</v>
      </c>
      <c r="F543" t="s">
        <v>1282</v>
      </c>
      <c r="G543" t="s">
        <v>1049</v>
      </c>
      <c r="H543" t="s">
        <v>1219</v>
      </c>
      <c r="I543" t="s">
        <v>248</v>
      </c>
      <c r="J543" t="s">
        <v>792</v>
      </c>
      <c r="K543" t="s">
        <v>958</v>
      </c>
      <c r="L543" t="s">
        <v>515</v>
      </c>
      <c r="M543" t="s">
        <v>1283</v>
      </c>
      <c r="N543" t="s">
        <v>1284</v>
      </c>
      <c r="O543">
        <v>2021</v>
      </c>
    </row>
    <row r="544" spans="1:15" x14ac:dyDescent="0.25">
      <c r="A544" t="s">
        <v>1118</v>
      </c>
      <c r="B544" t="s">
        <v>1285</v>
      </c>
      <c r="C544" t="s">
        <v>496</v>
      </c>
      <c r="D544" t="s">
        <v>18</v>
      </c>
      <c r="E544" t="s">
        <v>585</v>
      </c>
      <c r="F544" t="s">
        <v>1258</v>
      </c>
      <c r="G544" t="s">
        <v>1286</v>
      </c>
      <c r="H544" t="s">
        <v>1219</v>
      </c>
      <c r="I544" t="s">
        <v>248</v>
      </c>
      <c r="J544" t="s">
        <v>931</v>
      </c>
      <c r="K544" t="s">
        <v>540</v>
      </c>
      <c r="L544" t="s">
        <v>490</v>
      </c>
      <c r="M544" t="s">
        <v>932</v>
      </c>
      <c r="N544" t="s">
        <v>1278</v>
      </c>
      <c r="O544">
        <v>2021</v>
      </c>
    </row>
    <row r="545" spans="1:15" x14ac:dyDescent="0.25">
      <c r="A545" t="s">
        <v>1118</v>
      </c>
      <c r="B545" t="s">
        <v>1287</v>
      </c>
      <c r="C545" t="s">
        <v>612</v>
      </c>
      <c r="D545" t="s">
        <v>162</v>
      </c>
      <c r="E545" t="s">
        <v>307</v>
      </c>
      <c r="F545" t="s">
        <v>1288</v>
      </c>
      <c r="G545" t="s">
        <v>1289</v>
      </c>
      <c r="H545" t="s">
        <v>1290</v>
      </c>
      <c r="I545" t="s">
        <v>248</v>
      </c>
      <c r="J545" t="s">
        <v>971</v>
      </c>
      <c r="K545" t="s">
        <v>537</v>
      </c>
      <c r="L545" t="s">
        <v>541</v>
      </c>
      <c r="M545" t="s">
        <v>603</v>
      </c>
      <c r="N545" t="s">
        <v>1291</v>
      </c>
      <c r="O545">
        <v>2020</v>
      </c>
    </row>
    <row r="546" spans="1:15" x14ac:dyDescent="0.25">
      <c r="A546" t="s">
        <v>1118</v>
      </c>
      <c r="B546" t="s">
        <v>1292</v>
      </c>
      <c r="C546" t="s">
        <v>820</v>
      </c>
      <c r="D546" t="s">
        <v>162</v>
      </c>
      <c r="E546" t="s">
        <v>307</v>
      </c>
      <c r="F546" t="s">
        <v>1293</v>
      </c>
      <c r="G546" t="s">
        <v>1289</v>
      </c>
      <c r="H546" t="s">
        <v>1259</v>
      </c>
      <c r="I546" t="s">
        <v>248</v>
      </c>
      <c r="J546" t="s">
        <v>1294</v>
      </c>
      <c r="K546" t="s">
        <v>697</v>
      </c>
      <c r="L546" t="s">
        <v>511</v>
      </c>
      <c r="M546" t="s">
        <v>610</v>
      </c>
      <c r="N546" t="s">
        <v>1295</v>
      </c>
      <c r="O546">
        <v>2020</v>
      </c>
    </row>
    <row r="547" spans="1:15" x14ac:dyDescent="0.25">
      <c r="A547" t="s">
        <v>1118</v>
      </c>
      <c r="B547" t="s">
        <v>1296</v>
      </c>
      <c r="C547" t="s">
        <v>1157</v>
      </c>
      <c r="D547" t="s">
        <v>162</v>
      </c>
      <c r="E547" t="s">
        <v>307</v>
      </c>
      <c r="F547" t="s">
        <v>1282</v>
      </c>
      <c r="G547" t="s">
        <v>1049</v>
      </c>
      <c r="H547" t="s">
        <v>1259</v>
      </c>
      <c r="I547" t="s">
        <v>248</v>
      </c>
      <c r="J547" t="s">
        <v>1297</v>
      </c>
      <c r="K547" t="s">
        <v>967</v>
      </c>
      <c r="L547" t="s">
        <v>538</v>
      </c>
      <c r="M547" t="s">
        <v>698</v>
      </c>
      <c r="N547" t="s">
        <v>1298</v>
      </c>
      <c r="O547">
        <v>2020</v>
      </c>
    </row>
    <row r="548" spans="1:15" x14ac:dyDescent="0.25">
      <c r="A548" t="s">
        <v>1118</v>
      </c>
      <c r="B548" t="s">
        <v>1299</v>
      </c>
      <c r="C548" t="s">
        <v>789</v>
      </c>
      <c r="D548" t="s">
        <v>162</v>
      </c>
      <c r="E548" t="s">
        <v>307</v>
      </c>
      <c r="F548" t="s">
        <v>535</v>
      </c>
      <c r="G548" t="s">
        <v>1049</v>
      </c>
      <c r="H548" t="s">
        <v>1259</v>
      </c>
      <c r="I548" t="s">
        <v>248</v>
      </c>
      <c r="J548" t="s">
        <v>1300</v>
      </c>
      <c r="K548" t="s">
        <v>723</v>
      </c>
      <c r="L548" t="s">
        <v>617</v>
      </c>
      <c r="M548" t="s">
        <v>968</v>
      </c>
      <c r="N548" t="s">
        <v>1301</v>
      </c>
      <c r="O548">
        <v>2020</v>
      </c>
    </row>
    <row r="549" spans="1:15" x14ac:dyDescent="0.25">
      <c r="A549" t="s">
        <v>1118</v>
      </c>
      <c r="B549" t="s">
        <v>1302</v>
      </c>
      <c r="C549" t="s">
        <v>789</v>
      </c>
      <c r="D549" t="s">
        <v>162</v>
      </c>
      <c r="E549" t="s">
        <v>307</v>
      </c>
      <c r="F549" t="s">
        <v>535</v>
      </c>
      <c r="G549" t="s">
        <v>1049</v>
      </c>
      <c r="H549" t="s">
        <v>1259</v>
      </c>
      <c r="I549" t="s">
        <v>248</v>
      </c>
      <c r="J549" t="s">
        <v>966</v>
      </c>
      <c r="K549" t="s">
        <v>1303</v>
      </c>
      <c r="L549" t="s">
        <v>724</v>
      </c>
      <c r="M549" t="s">
        <v>618</v>
      </c>
      <c r="N549" t="s">
        <v>1304</v>
      </c>
      <c r="O549">
        <v>2020</v>
      </c>
    </row>
    <row r="550" spans="1:15" x14ac:dyDescent="0.25">
      <c r="A550" t="s">
        <v>1118</v>
      </c>
      <c r="B550" t="s">
        <v>1305</v>
      </c>
      <c r="C550" t="s">
        <v>1157</v>
      </c>
      <c r="D550" t="s">
        <v>162</v>
      </c>
      <c r="E550" t="s">
        <v>508</v>
      </c>
      <c r="F550" t="s">
        <v>580</v>
      </c>
      <c r="G550" t="s">
        <v>1306</v>
      </c>
      <c r="H550" t="s">
        <v>1307</v>
      </c>
      <c r="I550" t="s">
        <v>858</v>
      </c>
      <c r="J550" t="s">
        <v>787</v>
      </c>
      <c r="K550" t="s">
        <v>489</v>
      </c>
      <c r="L550" t="s">
        <v>501</v>
      </c>
      <c r="M550" t="s">
        <v>512</v>
      </c>
      <c r="N550" t="s">
        <v>1270</v>
      </c>
      <c r="O550">
        <v>2024</v>
      </c>
    </row>
    <row r="551" spans="1:15" x14ac:dyDescent="0.25">
      <c r="A551" t="s">
        <v>1118</v>
      </c>
      <c r="B551" t="s">
        <v>1308</v>
      </c>
      <c r="C551" t="s">
        <v>1157</v>
      </c>
      <c r="D551" t="s">
        <v>18</v>
      </c>
      <c r="E551" t="s">
        <v>508</v>
      </c>
      <c r="F551" t="s">
        <v>580</v>
      </c>
      <c r="G551" t="s">
        <v>1306</v>
      </c>
      <c r="H551" t="s">
        <v>1307</v>
      </c>
      <c r="I551" t="s">
        <v>858</v>
      </c>
      <c r="J551" t="s">
        <v>994</v>
      </c>
      <c r="K551" t="s">
        <v>479</v>
      </c>
      <c r="L551" t="s">
        <v>480</v>
      </c>
      <c r="M551" t="s">
        <v>683</v>
      </c>
      <c r="N551" t="s">
        <v>1272</v>
      </c>
      <c r="O551">
        <v>2024</v>
      </c>
    </row>
    <row r="552" spans="1:15" x14ac:dyDescent="0.25">
      <c r="A552" t="s">
        <v>1118</v>
      </c>
      <c r="B552" t="s">
        <v>1309</v>
      </c>
      <c r="C552" t="s">
        <v>421</v>
      </c>
      <c r="D552" t="s">
        <v>68</v>
      </c>
      <c r="E552" t="s">
        <v>585</v>
      </c>
      <c r="F552" t="s">
        <v>1310</v>
      </c>
      <c r="G552" t="s">
        <v>1059</v>
      </c>
      <c r="H552" t="s">
        <v>1219</v>
      </c>
      <c r="I552" t="s">
        <v>750</v>
      </c>
      <c r="J552" t="s">
        <v>316</v>
      </c>
      <c r="K552" t="s">
        <v>1311</v>
      </c>
      <c r="L552" t="s">
        <v>501</v>
      </c>
      <c r="M552" t="s">
        <v>512</v>
      </c>
      <c r="N552" t="s">
        <v>1270</v>
      </c>
      <c r="O552">
        <v>2023</v>
      </c>
    </row>
    <row r="553" spans="1:15" x14ac:dyDescent="0.25">
      <c r="A553" t="s">
        <v>1118</v>
      </c>
      <c r="B553" t="s">
        <v>1312</v>
      </c>
      <c r="C553" t="s">
        <v>421</v>
      </c>
      <c r="D553" t="s">
        <v>375</v>
      </c>
      <c r="E553" t="s">
        <v>585</v>
      </c>
      <c r="F553" t="s">
        <v>1310</v>
      </c>
      <c r="G553" t="s">
        <v>1059</v>
      </c>
      <c r="H553" t="s">
        <v>1219</v>
      </c>
      <c r="I553" t="s">
        <v>750</v>
      </c>
      <c r="J553" t="s">
        <v>818</v>
      </c>
      <c r="K553" t="s">
        <v>1313</v>
      </c>
      <c r="L553" t="s">
        <v>506</v>
      </c>
      <c r="M553" t="s">
        <v>683</v>
      </c>
      <c r="N553" t="s">
        <v>1272</v>
      </c>
      <c r="O553">
        <v>2023</v>
      </c>
    </row>
    <row r="554" spans="1:15" x14ac:dyDescent="0.25">
      <c r="A554" t="s">
        <v>1118</v>
      </c>
      <c r="B554" t="s">
        <v>1314</v>
      </c>
      <c r="C554" t="s">
        <v>421</v>
      </c>
      <c r="D554" t="s">
        <v>18</v>
      </c>
      <c r="E554" t="s">
        <v>585</v>
      </c>
      <c r="F554" t="s">
        <v>1315</v>
      </c>
      <c r="G554" t="s">
        <v>1059</v>
      </c>
      <c r="H554" t="s">
        <v>1219</v>
      </c>
      <c r="I554" t="s">
        <v>813</v>
      </c>
      <c r="J554" t="s">
        <v>827</v>
      </c>
      <c r="K554" t="s">
        <v>1316</v>
      </c>
      <c r="L554" t="s">
        <v>501</v>
      </c>
      <c r="M554" t="s">
        <v>512</v>
      </c>
      <c r="N554" t="s">
        <v>1270</v>
      </c>
      <c r="O554">
        <v>2022</v>
      </c>
    </row>
    <row r="555" spans="1:15" x14ac:dyDescent="0.25">
      <c r="A555" t="s">
        <v>1118</v>
      </c>
      <c r="B555" t="s">
        <v>1317</v>
      </c>
      <c r="C555" t="s">
        <v>421</v>
      </c>
      <c r="D555" t="s">
        <v>68</v>
      </c>
      <c r="E555" t="s">
        <v>585</v>
      </c>
      <c r="F555" t="s">
        <v>1315</v>
      </c>
      <c r="G555" t="s">
        <v>1059</v>
      </c>
      <c r="H555" t="s">
        <v>1219</v>
      </c>
      <c r="I555" t="s">
        <v>813</v>
      </c>
      <c r="J555" t="s">
        <v>316</v>
      </c>
      <c r="K555" t="s">
        <v>595</v>
      </c>
      <c r="L555" t="s">
        <v>506</v>
      </c>
      <c r="M555" t="s">
        <v>683</v>
      </c>
      <c r="N555" t="s">
        <v>1272</v>
      </c>
      <c r="O555">
        <v>2022</v>
      </c>
    </row>
    <row r="556" spans="1:15" x14ac:dyDescent="0.25">
      <c r="A556" t="s">
        <v>1118</v>
      </c>
      <c r="B556" t="s">
        <v>1318</v>
      </c>
      <c r="C556" t="s">
        <v>735</v>
      </c>
      <c r="D556" t="s">
        <v>68</v>
      </c>
      <c r="E556" t="s">
        <v>585</v>
      </c>
      <c r="F556" t="s">
        <v>1152</v>
      </c>
      <c r="G556" t="s">
        <v>1319</v>
      </c>
      <c r="H556" t="s">
        <v>1219</v>
      </c>
      <c r="I556" t="s">
        <v>813</v>
      </c>
      <c r="J556" t="s">
        <v>818</v>
      </c>
      <c r="K556" t="s">
        <v>489</v>
      </c>
      <c r="L556" t="s">
        <v>480</v>
      </c>
      <c r="M556" t="s">
        <v>502</v>
      </c>
      <c r="N556" t="s">
        <v>1275</v>
      </c>
      <c r="O556">
        <v>2022</v>
      </c>
    </row>
    <row r="557" spans="1:15" x14ac:dyDescent="0.25">
      <c r="A557" t="s">
        <v>1118</v>
      </c>
      <c r="B557" t="s">
        <v>1320</v>
      </c>
      <c r="C557" t="s">
        <v>224</v>
      </c>
      <c r="D557" t="s">
        <v>18</v>
      </c>
      <c r="E557" t="s">
        <v>585</v>
      </c>
      <c r="F557" t="s">
        <v>1315</v>
      </c>
      <c r="G557" t="s">
        <v>1277</v>
      </c>
      <c r="H557" t="s">
        <v>1219</v>
      </c>
      <c r="I557" t="s">
        <v>248</v>
      </c>
      <c r="J557" t="s">
        <v>310</v>
      </c>
      <c r="K557" t="s">
        <v>540</v>
      </c>
      <c r="L557" t="s">
        <v>501</v>
      </c>
      <c r="M557" t="s">
        <v>512</v>
      </c>
      <c r="N557" t="s">
        <v>1270</v>
      </c>
      <c r="O557">
        <v>2021</v>
      </c>
    </row>
    <row r="558" spans="1:15" x14ac:dyDescent="0.25">
      <c r="A558" t="s">
        <v>1118</v>
      </c>
      <c r="B558" t="s">
        <v>1321</v>
      </c>
      <c r="C558" t="s">
        <v>224</v>
      </c>
      <c r="D558" t="s">
        <v>68</v>
      </c>
      <c r="E558" t="s">
        <v>585</v>
      </c>
      <c r="F558" t="s">
        <v>1315</v>
      </c>
      <c r="G558" t="s">
        <v>1277</v>
      </c>
      <c r="H558" t="s">
        <v>1219</v>
      </c>
      <c r="I558" t="s">
        <v>248</v>
      </c>
      <c r="J558" t="s">
        <v>827</v>
      </c>
      <c r="K558" t="s">
        <v>529</v>
      </c>
      <c r="L558" t="s">
        <v>506</v>
      </c>
      <c r="M558" t="s">
        <v>683</v>
      </c>
      <c r="N558" t="s">
        <v>1272</v>
      </c>
      <c r="O558">
        <v>2021</v>
      </c>
    </row>
    <row r="559" spans="1:15" x14ac:dyDescent="0.25">
      <c r="A559" t="s">
        <v>1118</v>
      </c>
      <c r="B559" t="s">
        <v>1322</v>
      </c>
      <c r="C559" t="s">
        <v>809</v>
      </c>
      <c r="D559" t="s">
        <v>68</v>
      </c>
      <c r="E559" t="s">
        <v>585</v>
      </c>
      <c r="F559" t="s">
        <v>1152</v>
      </c>
      <c r="G559" t="s">
        <v>817</v>
      </c>
      <c r="H559" t="s">
        <v>82</v>
      </c>
      <c r="I559" t="s">
        <v>781</v>
      </c>
      <c r="J559" t="s">
        <v>325</v>
      </c>
      <c r="K559" t="s">
        <v>494</v>
      </c>
      <c r="L559" t="s">
        <v>466</v>
      </c>
      <c r="M559" t="s">
        <v>491</v>
      </c>
      <c r="N559" t="s">
        <v>1323</v>
      </c>
      <c r="O559">
        <v>2021</v>
      </c>
    </row>
    <row r="560" spans="1:15" x14ac:dyDescent="0.25">
      <c r="A560" t="s">
        <v>1118</v>
      </c>
      <c r="B560" t="s">
        <v>1324</v>
      </c>
      <c r="C560" t="s">
        <v>809</v>
      </c>
      <c r="D560" t="s">
        <v>375</v>
      </c>
      <c r="E560" t="s">
        <v>585</v>
      </c>
      <c r="F560" t="s">
        <v>1152</v>
      </c>
      <c r="G560" t="s">
        <v>817</v>
      </c>
      <c r="H560" t="s">
        <v>82</v>
      </c>
      <c r="I560" t="s">
        <v>781</v>
      </c>
      <c r="J560" t="s">
        <v>1088</v>
      </c>
      <c r="K560" t="s">
        <v>465</v>
      </c>
      <c r="L560" t="s">
        <v>471</v>
      </c>
      <c r="M560" t="s">
        <v>313</v>
      </c>
      <c r="N560" t="s">
        <v>1325</v>
      </c>
      <c r="O560">
        <v>2021</v>
      </c>
    </row>
    <row r="561" spans="1:15" x14ac:dyDescent="0.25">
      <c r="A561" t="s">
        <v>1118</v>
      </c>
      <c r="B561" t="s">
        <v>1326</v>
      </c>
      <c r="C561" t="s">
        <v>131</v>
      </c>
      <c r="D561" t="s">
        <v>68</v>
      </c>
      <c r="E561" t="s">
        <v>461</v>
      </c>
      <c r="F561" t="s">
        <v>1152</v>
      </c>
      <c r="G561" t="s">
        <v>1327</v>
      </c>
      <c r="H561" t="s">
        <v>110</v>
      </c>
      <c r="I561" t="s">
        <v>781</v>
      </c>
      <c r="J561" t="s">
        <v>316</v>
      </c>
      <c r="K561" t="s">
        <v>479</v>
      </c>
      <c r="L561" t="s">
        <v>484</v>
      </c>
      <c r="M561" t="s">
        <v>1103</v>
      </c>
      <c r="N561" t="s">
        <v>1328</v>
      </c>
      <c r="O561">
        <v>2021</v>
      </c>
    </row>
    <row r="562" spans="1:15" x14ac:dyDescent="0.25">
      <c r="A562" t="s">
        <v>1118</v>
      </c>
      <c r="B562" t="s">
        <v>1329</v>
      </c>
      <c r="C562" t="s">
        <v>131</v>
      </c>
      <c r="D562" t="s">
        <v>68</v>
      </c>
      <c r="E562" t="s">
        <v>461</v>
      </c>
      <c r="F562" t="s">
        <v>1152</v>
      </c>
      <c r="G562" t="s">
        <v>1327</v>
      </c>
      <c r="H562" t="s">
        <v>110</v>
      </c>
      <c r="I562" t="s">
        <v>781</v>
      </c>
      <c r="J562" t="s">
        <v>818</v>
      </c>
      <c r="K562" t="s">
        <v>494</v>
      </c>
      <c r="L562" t="s">
        <v>466</v>
      </c>
      <c r="M562" t="s">
        <v>491</v>
      </c>
      <c r="N562" t="s">
        <v>1323</v>
      </c>
      <c r="O562">
        <v>2021</v>
      </c>
    </row>
    <row r="563" spans="1:15" x14ac:dyDescent="0.25">
      <c r="A563" t="s">
        <v>1118</v>
      </c>
      <c r="B563" t="s">
        <v>1330</v>
      </c>
      <c r="C563" t="s">
        <v>224</v>
      </c>
      <c r="D563" t="s">
        <v>18</v>
      </c>
      <c r="E563" t="s">
        <v>585</v>
      </c>
      <c r="F563" t="s">
        <v>1258</v>
      </c>
      <c r="G563" t="s">
        <v>1289</v>
      </c>
      <c r="H563" t="s">
        <v>1219</v>
      </c>
      <c r="I563" t="s">
        <v>248</v>
      </c>
      <c r="J563" t="s">
        <v>994</v>
      </c>
      <c r="K563" t="s">
        <v>510</v>
      </c>
      <c r="L563" t="s">
        <v>501</v>
      </c>
      <c r="M563" t="s">
        <v>512</v>
      </c>
      <c r="N563" t="s">
        <v>1270</v>
      </c>
      <c r="O563">
        <v>2020</v>
      </c>
    </row>
    <row r="564" spans="1:15" x14ac:dyDescent="0.25">
      <c r="A564" t="s">
        <v>1118</v>
      </c>
      <c r="B564" t="s">
        <v>1331</v>
      </c>
      <c r="C564" t="s">
        <v>809</v>
      </c>
      <c r="D564" t="s">
        <v>68</v>
      </c>
      <c r="E564" t="s">
        <v>461</v>
      </c>
      <c r="F564" t="s">
        <v>1258</v>
      </c>
      <c r="G564" t="s">
        <v>1045</v>
      </c>
      <c r="H564" t="s">
        <v>1265</v>
      </c>
      <c r="I564" t="s">
        <v>463</v>
      </c>
      <c r="J564" t="s">
        <v>310</v>
      </c>
      <c r="K564" t="s">
        <v>489</v>
      </c>
      <c r="L564" t="s">
        <v>484</v>
      </c>
      <c r="M564" t="s">
        <v>1103</v>
      </c>
      <c r="N564" t="s">
        <v>1328</v>
      </c>
      <c r="O564">
        <v>2020</v>
      </c>
    </row>
    <row r="565" spans="1:15" x14ac:dyDescent="0.25">
      <c r="A565" t="s">
        <v>1118</v>
      </c>
      <c r="B565" t="s">
        <v>1332</v>
      </c>
      <c r="C565" t="s">
        <v>809</v>
      </c>
      <c r="D565" t="s">
        <v>68</v>
      </c>
      <c r="E565" t="s">
        <v>461</v>
      </c>
      <c r="F565" t="s">
        <v>1258</v>
      </c>
      <c r="G565" t="s">
        <v>1045</v>
      </c>
      <c r="H565" t="s">
        <v>1265</v>
      </c>
      <c r="I565" t="s">
        <v>463</v>
      </c>
      <c r="J565" t="s">
        <v>827</v>
      </c>
      <c r="K565" t="s">
        <v>505</v>
      </c>
      <c r="L565" t="s">
        <v>466</v>
      </c>
      <c r="M565" t="s">
        <v>491</v>
      </c>
      <c r="N565" t="s">
        <v>1323</v>
      </c>
      <c r="O565">
        <v>2020</v>
      </c>
    </row>
    <row r="566" spans="1:15" x14ac:dyDescent="0.25">
      <c r="A566" t="s">
        <v>1118</v>
      </c>
      <c r="B566" t="s">
        <v>1309</v>
      </c>
      <c r="C566" t="s">
        <v>421</v>
      </c>
      <c r="D566" t="s">
        <v>68</v>
      </c>
      <c r="E566" t="s">
        <v>585</v>
      </c>
      <c r="F566" t="s">
        <v>1310</v>
      </c>
      <c r="G566" t="s">
        <v>1059</v>
      </c>
      <c r="H566" t="s">
        <v>1219</v>
      </c>
      <c r="I566" t="s">
        <v>750</v>
      </c>
      <c r="J566" t="s">
        <v>316</v>
      </c>
      <c r="K566" t="s">
        <v>1311</v>
      </c>
      <c r="L566" t="s">
        <v>501</v>
      </c>
      <c r="M566" t="s">
        <v>512</v>
      </c>
      <c r="N566" t="s">
        <v>1270</v>
      </c>
      <c r="O566">
        <v>2023</v>
      </c>
    </row>
    <row r="567" spans="1:15" x14ac:dyDescent="0.25">
      <c r="A567" t="s">
        <v>1118</v>
      </c>
      <c r="B567" t="s">
        <v>1312</v>
      </c>
      <c r="C567" t="s">
        <v>421</v>
      </c>
      <c r="D567" t="s">
        <v>375</v>
      </c>
      <c r="E567" t="s">
        <v>585</v>
      </c>
      <c r="F567" t="s">
        <v>1310</v>
      </c>
      <c r="G567" t="s">
        <v>1059</v>
      </c>
      <c r="H567" t="s">
        <v>1219</v>
      </c>
      <c r="I567" t="s">
        <v>750</v>
      </c>
      <c r="J567" t="s">
        <v>818</v>
      </c>
      <c r="K567" t="s">
        <v>1313</v>
      </c>
      <c r="L567" t="s">
        <v>506</v>
      </c>
      <c r="M567" t="s">
        <v>683</v>
      </c>
      <c r="N567" t="s">
        <v>1272</v>
      </c>
      <c r="O567">
        <v>2023</v>
      </c>
    </row>
    <row r="568" spans="1:15" x14ac:dyDescent="0.25">
      <c r="A568" t="s">
        <v>1118</v>
      </c>
      <c r="B568" t="s">
        <v>1333</v>
      </c>
      <c r="C568" t="s">
        <v>820</v>
      </c>
      <c r="D568" t="s">
        <v>68</v>
      </c>
      <c r="E568" t="s">
        <v>585</v>
      </c>
      <c r="F568" t="s">
        <v>1152</v>
      </c>
      <c r="G568" t="s">
        <v>1334</v>
      </c>
      <c r="H568" t="s">
        <v>1219</v>
      </c>
      <c r="I568" t="s">
        <v>44</v>
      </c>
      <c r="J568" t="s">
        <v>325</v>
      </c>
      <c r="K568" t="s">
        <v>505</v>
      </c>
      <c r="L568" t="s">
        <v>637</v>
      </c>
      <c r="M568" t="s">
        <v>1335</v>
      </c>
      <c r="N568" t="s">
        <v>1275</v>
      </c>
      <c r="O568">
        <v>2023</v>
      </c>
    </row>
    <row r="569" spans="1:15" x14ac:dyDescent="0.25">
      <c r="A569" t="s">
        <v>1118</v>
      </c>
      <c r="B569" t="s">
        <v>1336</v>
      </c>
      <c r="C569" t="s">
        <v>820</v>
      </c>
      <c r="D569" t="s">
        <v>375</v>
      </c>
      <c r="E569" t="s">
        <v>585</v>
      </c>
      <c r="F569" t="s">
        <v>1152</v>
      </c>
      <c r="G569" t="s">
        <v>1334</v>
      </c>
      <c r="H569" t="s">
        <v>1219</v>
      </c>
      <c r="I569" t="s">
        <v>44</v>
      </c>
      <c r="J569" t="s">
        <v>1088</v>
      </c>
      <c r="K569" t="s">
        <v>494</v>
      </c>
      <c r="L569" t="s">
        <v>466</v>
      </c>
      <c r="M569" t="s">
        <v>491</v>
      </c>
      <c r="N569" t="s">
        <v>1323</v>
      </c>
      <c r="O569">
        <v>2023</v>
      </c>
    </row>
    <row r="570" spans="1:15" x14ac:dyDescent="0.25">
      <c r="A570" t="s">
        <v>1118</v>
      </c>
      <c r="B570" t="s">
        <v>1314</v>
      </c>
      <c r="C570" t="s">
        <v>421</v>
      </c>
      <c r="D570" t="s">
        <v>18</v>
      </c>
      <c r="E570" t="s">
        <v>585</v>
      </c>
      <c r="F570" t="s">
        <v>1315</v>
      </c>
      <c r="G570" t="s">
        <v>1059</v>
      </c>
      <c r="H570" t="s">
        <v>1219</v>
      </c>
      <c r="I570" t="s">
        <v>813</v>
      </c>
      <c r="J570" t="s">
        <v>827</v>
      </c>
      <c r="K570" t="s">
        <v>1316</v>
      </c>
      <c r="L570" t="s">
        <v>501</v>
      </c>
      <c r="M570" t="s">
        <v>512</v>
      </c>
      <c r="N570" t="s">
        <v>1270</v>
      </c>
      <c r="O570">
        <v>2022</v>
      </c>
    </row>
    <row r="571" spans="1:15" x14ac:dyDescent="0.25">
      <c r="A571" t="s">
        <v>1118</v>
      </c>
      <c r="B571" t="s">
        <v>1317</v>
      </c>
      <c r="C571" t="s">
        <v>421</v>
      </c>
      <c r="D571" t="s">
        <v>68</v>
      </c>
      <c r="E571" t="s">
        <v>585</v>
      </c>
      <c r="F571" t="s">
        <v>1315</v>
      </c>
      <c r="G571" t="s">
        <v>1059</v>
      </c>
      <c r="H571" t="s">
        <v>1219</v>
      </c>
      <c r="I571" t="s">
        <v>813</v>
      </c>
      <c r="J571" t="s">
        <v>316</v>
      </c>
      <c r="K571" t="s">
        <v>595</v>
      </c>
      <c r="L571" t="s">
        <v>506</v>
      </c>
      <c r="M571" t="s">
        <v>683</v>
      </c>
      <c r="N571" t="s">
        <v>1272</v>
      </c>
      <c r="O571">
        <v>2022</v>
      </c>
    </row>
    <row r="572" spans="1:15" x14ac:dyDescent="0.25">
      <c r="A572" t="s">
        <v>1118</v>
      </c>
      <c r="B572" t="s">
        <v>1318</v>
      </c>
      <c r="C572" t="s">
        <v>735</v>
      </c>
      <c r="D572" t="s">
        <v>68</v>
      </c>
      <c r="E572" t="s">
        <v>585</v>
      </c>
      <c r="F572" t="s">
        <v>1152</v>
      </c>
      <c r="G572" t="s">
        <v>1319</v>
      </c>
      <c r="H572" t="s">
        <v>1219</v>
      </c>
      <c r="I572" t="s">
        <v>813</v>
      </c>
      <c r="J572" t="s">
        <v>818</v>
      </c>
      <c r="K572" t="s">
        <v>489</v>
      </c>
      <c r="L572" t="s">
        <v>480</v>
      </c>
      <c r="M572" t="s">
        <v>502</v>
      </c>
      <c r="N572" t="s">
        <v>1275</v>
      </c>
      <c r="O572">
        <v>2022</v>
      </c>
    </row>
    <row r="573" spans="1:15" x14ac:dyDescent="0.25">
      <c r="A573" t="s">
        <v>1118</v>
      </c>
      <c r="B573" t="s">
        <v>1337</v>
      </c>
      <c r="C573" t="s">
        <v>735</v>
      </c>
      <c r="D573" t="s">
        <v>375</v>
      </c>
      <c r="E573" t="s">
        <v>585</v>
      </c>
      <c r="F573" t="s">
        <v>1152</v>
      </c>
      <c r="G573" t="s">
        <v>1319</v>
      </c>
      <c r="H573" t="s">
        <v>1219</v>
      </c>
      <c r="I573" t="s">
        <v>813</v>
      </c>
      <c r="J573" t="s">
        <v>325</v>
      </c>
      <c r="K573" t="s">
        <v>479</v>
      </c>
      <c r="L573" t="s">
        <v>522</v>
      </c>
      <c r="M573" t="s">
        <v>1103</v>
      </c>
      <c r="N573" t="s">
        <v>1323</v>
      </c>
      <c r="O573">
        <v>2022</v>
      </c>
    </row>
    <row r="574" spans="1:15" x14ac:dyDescent="0.25">
      <c r="A574" t="s">
        <v>1118</v>
      </c>
      <c r="B574" t="s">
        <v>1320</v>
      </c>
      <c r="C574" t="s">
        <v>224</v>
      </c>
      <c r="D574" t="s">
        <v>18</v>
      </c>
      <c r="E574" t="s">
        <v>585</v>
      </c>
      <c r="F574" t="s">
        <v>1315</v>
      </c>
      <c r="G574" t="s">
        <v>1277</v>
      </c>
      <c r="H574" t="s">
        <v>1219</v>
      </c>
      <c r="I574" t="s">
        <v>248</v>
      </c>
      <c r="J574" t="s">
        <v>310</v>
      </c>
      <c r="K574" t="s">
        <v>540</v>
      </c>
      <c r="L574" t="s">
        <v>501</v>
      </c>
      <c r="M574" t="s">
        <v>512</v>
      </c>
      <c r="N574" t="s">
        <v>1270</v>
      </c>
      <c r="O574">
        <v>2021</v>
      </c>
    </row>
    <row r="575" spans="1:15" x14ac:dyDescent="0.25">
      <c r="A575" t="s">
        <v>1118</v>
      </c>
      <c r="B575" t="s">
        <v>1321</v>
      </c>
      <c r="C575" t="s">
        <v>224</v>
      </c>
      <c r="D575" t="s">
        <v>68</v>
      </c>
      <c r="E575" t="s">
        <v>585</v>
      </c>
      <c r="F575" t="s">
        <v>1315</v>
      </c>
      <c r="G575" t="s">
        <v>1277</v>
      </c>
      <c r="H575" t="s">
        <v>1219</v>
      </c>
      <c r="I575" t="s">
        <v>248</v>
      </c>
      <c r="J575" t="s">
        <v>827</v>
      </c>
      <c r="K575" t="s">
        <v>529</v>
      </c>
      <c r="L575" t="s">
        <v>506</v>
      </c>
      <c r="M575" t="s">
        <v>683</v>
      </c>
      <c r="N575" t="s">
        <v>1272</v>
      </c>
      <c r="O575">
        <v>2021</v>
      </c>
    </row>
    <row r="576" spans="1:15" x14ac:dyDescent="0.25">
      <c r="A576" t="s">
        <v>1118</v>
      </c>
      <c r="B576" t="s">
        <v>1322</v>
      </c>
      <c r="C576" t="s">
        <v>809</v>
      </c>
      <c r="D576" t="s">
        <v>68</v>
      </c>
      <c r="E576" t="s">
        <v>585</v>
      </c>
      <c r="F576" t="s">
        <v>1152</v>
      </c>
      <c r="G576" t="s">
        <v>817</v>
      </c>
      <c r="H576" t="s">
        <v>82</v>
      </c>
      <c r="I576" t="s">
        <v>781</v>
      </c>
      <c r="J576" t="s">
        <v>325</v>
      </c>
      <c r="K576" t="s">
        <v>494</v>
      </c>
      <c r="L576" t="s">
        <v>466</v>
      </c>
      <c r="M576" t="s">
        <v>491</v>
      </c>
      <c r="N576" t="s">
        <v>1323</v>
      </c>
      <c r="O576">
        <v>2021</v>
      </c>
    </row>
    <row r="577" spans="1:15" x14ac:dyDescent="0.25">
      <c r="A577" t="s">
        <v>1118</v>
      </c>
      <c r="B577" t="s">
        <v>1324</v>
      </c>
      <c r="C577" t="s">
        <v>809</v>
      </c>
      <c r="D577" t="s">
        <v>375</v>
      </c>
      <c r="E577" t="s">
        <v>585</v>
      </c>
      <c r="F577" t="s">
        <v>1152</v>
      </c>
      <c r="G577" t="s">
        <v>817</v>
      </c>
      <c r="H577" t="s">
        <v>82</v>
      </c>
      <c r="I577" t="s">
        <v>781</v>
      </c>
      <c r="J577" t="s">
        <v>1088</v>
      </c>
      <c r="K577" t="s">
        <v>465</v>
      </c>
      <c r="L577" t="s">
        <v>471</v>
      </c>
      <c r="M577" t="s">
        <v>313</v>
      </c>
      <c r="N577" t="s">
        <v>1325</v>
      </c>
      <c r="O577">
        <v>2021</v>
      </c>
    </row>
    <row r="578" spans="1:15" x14ac:dyDescent="0.25">
      <c r="A578" t="s">
        <v>1118</v>
      </c>
      <c r="B578" t="s">
        <v>1326</v>
      </c>
      <c r="C578" t="s">
        <v>131</v>
      </c>
      <c r="D578" t="s">
        <v>68</v>
      </c>
      <c r="E578" t="s">
        <v>461</v>
      </c>
      <c r="F578" t="s">
        <v>1152</v>
      </c>
      <c r="G578" t="s">
        <v>1327</v>
      </c>
      <c r="H578" t="s">
        <v>110</v>
      </c>
      <c r="I578" t="s">
        <v>781</v>
      </c>
      <c r="J578" t="s">
        <v>316</v>
      </c>
      <c r="K578" t="s">
        <v>479</v>
      </c>
      <c r="L578" t="s">
        <v>484</v>
      </c>
      <c r="M578" t="s">
        <v>1103</v>
      </c>
      <c r="N578" t="s">
        <v>1328</v>
      </c>
      <c r="O578">
        <v>2021</v>
      </c>
    </row>
    <row r="579" spans="1:15" x14ac:dyDescent="0.25">
      <c r="A579" t="s">
        <v>1118</v>
      </c>
      <c r="B579" t="s">
        <v>1329</v>
      </c>
      <c r="C579" t="s">
        <v>131</v>
      </c>
      <c r="D579" t="s">
        <v>68</v>
      </c>
      <c r="E579" t="s">
        <v>461</v>
      </c>
      <c r="F579" t="s">
        <v>1152</v>
      </c>
      <c r="G579" t="s">
        <v>1327</v>
      </c>
      <c r="H579" t="s">
        <v>110</v>
      </c>
      <c r="I579" t="s">
        <v>781</v>
      </c>
      <c r="J579" t="s">
        <v>818</v>
      </c>
      <c r="K579" t="s">
        <v>494</v>
      </c>
      <c r="L579" t="s">
        <v>466</v>
      </c>
      <c r="M579" t="s">
        <v>491</v>
      </c>
      <c r="N579" t="s">
        <v>1323</v>
      </c>
      <c r="O579">
        <v>2021</v>
      </c>
    </row>
    <row r="580" spans="1:15" x14ac:dyDescent="0.25">
      <c r="A580" t="s">
        <v>1118</v>
      </c>
      <c r="B580" t="s">
        <v>1330</v>
      </c>
      <c r="C580" t="s">
        <v>224</v>
      </c>
      <c r="D580" t="s">
        <v>18</v>
      </c>
      <c r="E580" t="s">
        <v>585</v>
      </c>
      <c r="F580" t="s">
        <v>1258</v>
      </c>
      <c r="G580" t="s">
        <v>1289</v>
      </c>
      <c r="H580" t="s">
        <v>1219</v>
      </c>
      <c r="I580" t="s">
        <v>248</v>
      </c>
      <c r="J580" t="s">
        <v>994</v>
      </c>
      <c r="K580" t="s">
        <v>510</v>
      </c>
      <c r="L580" t="s">
        <v>501</v>
      </c>
      <c r="M580" t="s">
        <v>512</v>
      </c>
      <c r="N580" t="s">
        <v>1270</v>
      </c>
      <c r="O580">
        <v>2020</v>
      </c>
    </row>
    <row r="581" spans="1:15" x14ac:dyDescent="0.25">
      <c r="A581" t="s">
        <v>1118</v>
      </c>
      <c r="B581" t="s">
        <v>1331</v>
      </c>
      <c r="C581" t="s">
        <v>809</v>
      </c>
      <c r="D581" t="s">
        <v>68</v>
      </c>
      <c r="E581" t="s">
        <v>461</v>
      </c>
      <c r="F581" t="s">
        <v>1258</v>
      </c>
      <c r="G581" t="s">
        <v>1045</v>
      </c>
      <c r="H581" t="s">
        <v>1265</v>
      </c>
      <c r="I581" t="s">
        <v>463</v>
      </c>
      <c r="J581" t="s">
        <v>310</v>
      </c>
      <c r="K581" t="s">
        <v>489</v>
      </c>
      <c r="L581" t="s">
        <v>484</v>
      </c>
      <c r="M581" t="s">
        <v>1103</v>
      </c>
      <c r="N581" t="s">
        <v>1328</v>
      </c>
      <c r="O581">
        <v>2020</v>
      </c>
    </row>
    <row r="582" spans="1:15" x14ac:dyDescent="0.25">
      <c r="A582" t="s">
        <v>2291</v>
      </c>
      <c r="B582" t="s">
        <v>2292</v>
      </c>
      <c r="C582" t="s">
        <v>2207</v>
      </c>
      <c r="D582" t="s">
        <v>18</v>
      </c>
      <c r="E582" t="s">
        <v>951</v>
      </c>
      <c r="F582" t="s">
        <v>907</v>
      </c>
      <c r="G582" t="s">
        <v>795</v>
      </c>
      <c r="H582" t="s">
        <v>405</v>
      </c>
      <c r="I582" t="s">
        <v>858</v>
      </c>
      <c r="J582" t="s">
        <v>861</v>
      </c>
      <c r="K582" t="s">
        <v>862</v>
      </c>
      <c r="L582" t="s">
        <v>717</v>
      </c>
      <c r="M582" t="s">
        <v>331</v>
      </c>
      <c r="N582" t="s">
        <v>667</v>
      </c>
      <c r="O582">
        <v>2020</v>
      </c>
    </row>
    <row r="583" spans="1:15" x14ac:dyDescent="0.25">
      <c r="A583" t="s">
        <v>2291</v>
      </c>
      <c r="B583" t="s">
        <v>2293</v>
      </c>
      <c r="C583" t="s">
        <v>1564</v>
      </c>
      <c r="D583" t="s">
        <v>162</v>
      </c>
      <c r="E583" t="s">
        <v>585</v>
      </c>
      <c r="F583" t="s">
        <v>20</v>
      </c>
      <c r="G583" t="s">
        <v>2294</v>
      </c>
      <c r="H583" t="s">
        <v>378</v>
      </c>
      <c r="I583" t="s">
        <v>858</v>
      </c>
      <c r="J583" t="s">
        <v>931</v>
      </c>
      <c r="K583" t="s">
        <v>958</v>
      </c>
      <c r="L583" t="s">
        <v>515</v>
      </c>
      <c r="M583" t="s">
        <v>512</v>
      </c>
      <c r="N583" t="s">
        <v>596</v>
      </c>
      <c r="O583">
        <v>2020</v>
      </c>
    </row>
    <row r="584" spans="1:15" x14ac:dyDescent="0.25">
      <c r="A584" t="s">
        <v>2291</v>
      </c>
      <c r="B584" t="s">
        <v>2295</v>
      </c>
      <c r="C584" t="s">
        <v>877</v>
      </c>
      <c r="D584" t="s">
        <v>18</v>
      </c>
      <c r="E584" t="s">
        <v>951</v>
      </c>
      <c r="F584" t="s">
        <v>907</v>
      </c>
      <c r="G584" t="s">
        <v>2296</v>
      </c>
      <c r="H584" t="s">
        <v>2297</v>
      </c>
      <c r="I584" t="s">
        <v>858</v>
      </c>
      <c r="J584" t="s">
        <v>787</v>
      </c>
      <c r="K584" t="s">
        <v>689</v>
      </c>
      <c r="L584" t="s">
        <v>490</v>
      </c>
      <c r="M584" t="s">
        <v>683</v>
      </c>
      <c r="N584" t="s">
        <v>513</v>
      </c>
      <c r="O584">
        <v>2020</v>
      </c>
    </row>
    <row r="585" spans="1:15" x14ac:dyDescent="0.25">
      <c r="A585" t="s">
        <v>2291</v>
      </c>
      <c r="B585" t="s">
        <v>2298</v>
      </c>
      <c r="C585" t="s">
        <v>549</v>
      </c>
      <c r="D585" t="s">
        <v>162</v>
      </c>
      <c r="E585" t="s">
        <v>307</v>
      </c>
      <c r="F585" t="s">
        <v>20</v>
      </c>
      <c r="G585" t="s">
        <v>1623</v>
      </c>
      <c r="H585" t="s">
        <v>520</v>
      </c>
      <c r="I585" t="s">
        <v>1006</v>
      </c>
      <c r="J585" t="s">
        <v>957</v>
      </c>
      <c r="K585" t="s">
        <v>967</v>
      </c>
      <c r="L585" t="s">
        <v>617</v>
      </c>
      <c r="M585" t="s">
        <v>698</v>
      </c>
      <c r="N585" t="s">
        <v>699</v>
      </c>
      <c r="O585">
        <v>2020</v>
      </c>
    </row>
    <row r="586" spans="1:15" x14ac:dyDescent="0.25">
      <c r="A586" t="s">
        <v>2291</v>
      </c>
      <c r="B586" t="s">
        <v>2299</v>
      </c>
      <c r="C586" t="s">
        <v>387</v>
      </c>
      <c r="D586" t="s">
        <v>18</v>
      </c>
      <c r="E586" t="s">
        <v>951</v>
      </c>
      <c r="F586" t="s">
        <v>20</v>
      </c>
      <c r="G586" t="s">
        <v>804</v>
      </c>
      <c r="H586" t="s">
        <v>1215</v>
      </c>
      <c r="I586" t="s">
        <v>858</v>
      </c>
      <c r="J586" t="s">
        <v>325</v>
      </c>
      <c r="K586" t="s">
        <v>917</v>
      </c>
      <c r="L586" t="s">
        <v>471</v>
      </c>
      <c r="M586" t="s">
        <v>481</v>
      </c>
      <c r="N586" t="s">
        <v>467</v>
      </c>
      <c r="O586">
        <v>2021</v>
      </c>
    </row>
    <row r="587" spans="1:15" x14ac:dyDescent="0.25">
      <c r="A587" t="s">
        <v>2291</v>
      </c>
      <c r="B587" t="s">
        <v>2300</v>
      </c>
      <c r="C587" t="s">
        <v>877</v>
      </c>
      <c r="D587" t="s">
        <v>18</v>
      </c>
      <c r="E587" t="s">
        <v>951</v>
      </c>
      <c r="F587" t="s">
        <v>20</v>
      </c>
      <c r="G587" t="s">
        <v>2301</v>
      </c>
      <c r="H587" t="s">
        <v>2297</v>
      </c>
      <c r="I587" t="s">
        <v>858</v>
      </c>
      <c r="J587" t="s">
        <v>310</v>
      </c>
      <c r="K587" t="s">
        <v>546</v>
      </c>
      <c r="L587" t="s">
        <v>480</v>
      </c>
      <c r="M587" t="s">
        <v>502</v>
      </c>
      <c r="N587" t="s">
        <v>516</v>
      </c>
      <c r="O587">
        <v>2021</v>
      </c>
    </row>
    <row r="588" spans="1:15" x14ac:dyDescent="0.25">
      <c r="A588" t="s">
        <v>2291</v>
      </c>
      <c r="B588" t="s">
        <v>2302</v>
      </c>
      <c r="C588" t="s">
        <v>496</v>
      </c>
      <c r="D588" t="s">
        <v>162</v>
      </c>
      <c r="E588" t="s">
        <v>307</v>
      </c>
      <c r="F588" t="s">
        <v>20</v>
      </c>
      <c r="G588" t="s">
        <v>1049</v>
      </c>
      <c r="H588" t="s">
        <v>378</v>
      </c>
      <c r="I588" t="s">
        <v>248</v>
      </c>
      <c r="J588" t="s">
        <v>792</v>
      </c>
      <c r="K588" t="s">
        <v>958</v>
      </c>
      <c r="L588" t="s">
        <v>511</v>
      </c>
      <c r="M588" t="s">
        <v>512</v>
      </c>
      <c r="N588" t="s">
        <v>596</v>
      </c>
      <c r="O588">
        <v>2021</v>
      </c>
    </row>
    <row r="589" spans="1:15" x14ac:dyDescent="0.25">
      <c r="A589" t="s">
        <v>2291</v>
      </c>
      <c r="B589" t="s">
        <v>2303</v>
      </c>
      <c r="C589" t="s">
        <v>735</v>
      </c>
      <c r="D589" t="s">
        <v>18</v>
      </c>
      <c r="E589" t="s">
        <v>585</v>
      </c>
      <c r="F589" t="s">
        <v>907</v>
      </c>
      <c r="G589" t="s">
        <v>817</v>
      </c>
      <c r="H589" t="s">
        <v>2304</v>
      </c>
      <c r="I589" t="s">
        <v>858</v>
      </c>
      <c r="J589" t="s">
        <v>297</v>
      </c>
      <c r="K589" t="s">
        <v>1046</v>
      </c>
      <c r="L589" t="s">
        <v>312</v>
      </c>
      <c r="M589" t="s">
        <v>327</v>
      </c>
      <c r="N589" t="s">
        <v>320</v>
      </c>
      <c r="O589">
        <v>2021</v>
      </c>
    </row>
    <row r="590" spans="1:15" x14ac:dyDescent="0.25">
      <c r="A590" t="s">
        <v>2291</v>
      </c>
      <c r="B590" t="s">
        <v>2305</v>
      </c>
      <c r="C590" t="s">
        <v>1017</v>
      </c>
      <c r="D590" t="s">
        <v>18</v>
      </c>
      <c r="E590" t="s">
        <v>585</v>
      </c>
      <c r="F590" t="s">
        <v>907</v>
      </c>
      <c r="G590" t="s">
        <v>2306</v>
      </c>
      <c r="H590" t="s">
        <v>378</v>
      </c>
      <c r="I590" t="s">
        <v>389</v>
      </c>
      <c r="J590" t="s">
        <v>994</v>
      </c>
      <c r="K590" t="s">
        <v>505</v>
      </c>
      <c r="L590" t="s">
        <v>637</v>
      </c>
      <c r="M590" t="s">
        <v>1103</v>
      </c>
      <c r="N590" t="s">
        <v>503</v>
      </c>
      <c r="O590">
        <v>2021</v>
      </c>
    </row>
    <row r="591" spans="1:15" x14ac:dyDescent="0.25">
      <c r="A591" t="s">
        <v>2291</v>
      </c>
      <c r="B591" t="s">
        <v>2307</v>
      </c>
      <c r="C591" t="s">
        <v>421</v>
      </c>
      <c r="D591" t="s">
        <v>162</v>
      </c>
      <c r="E591" t="s">
        <v>585</v>
      </c>
      <c r="F591" t="s">
        <v>580</v>
      </c>
      <c r="G591" t="s">
        <v>1277</v>
      </c>
      <c r="H591" t="s">
        <v>378</v>
      </c>
      <c r="I591" t="s">
        <v>389</v>
      </c>
      <c r="J591" t="s">
        <v>931</v>
      </c>
      <c r="K591" t="s">
        <v>510</v>
      </c>
      <c r="L591" t="s">
        <v>501</v>
      </c>
      <c r="M591" t="s">
        <v>932</v>
      </c>
      <c r="N591" t="s">
        <v>1621</v>
      </c>
      <c r="O591">
        <v>2021</v>
      </c>
    </row>
    <row r="592" spans="1:15" x14ac:dyDescent="0.25">
      <c r="A592" t="s">
        <v>2291</v>
      </c>
      <c r="B592" t="s">
        <v>2308</v>
      </c>
      <c r="C592" t="s">
        <v>421</v>
      </c>
      <c r="D592" t="s">
        <v>18</v>
      </c>
      <c r="E592" t="s">
        <v>951</v>
      </c>
      <c r="F592" t="s">
        <v>907</v>
      </c>
      <c r="G592" t="s">
        <v>804</v>
      </c>
      <c r="H592" t="s">
        <v>422</v>
      </c>
      <c r="I592" t="s">
        <v>858</v>
      </c>
      <c r="J592" t="s">
        <v>1088</v>
      </c>
      <c r="K592" t="s">
        <v>465</v>
      </c>
      <c r="L592" t="s">
        <v>544</v>
      </c>
      <c r="M592" t="s">
        <v>481</v>
      </c>
      <c r="N592" t="s">
        <v>467</v>
      </c>
      <c r="O592">
        <v>2022</v>
      </c>
    </row>
    <row r="593" spans="1:15" x14ac:dyDescent="0.25">
      <c r="A593" t="s">
        <v>2291</v>
      </c>
      <c r="B593" t="s">
        <v>2309</v>
      </c>
      <c r="C593" t="s">
        <v>851</v>
      </c>
      <c r="D593" t="s">
        <v>68</v>
      </c>
      <c r="E593" t="s">
        <v>951</v>
      </c>
      <c r="F593" t="s">
        <v>907</v>
      </c>
      <c r="G593" t="s">
        <v>451</v>
      </c>
      <c r="H593" t="s">
        <v>405</v>
      </c>
      <c r="I593" t="s">
        <v>858</v>
      </c>
      <c r="J593" t="s">
        <v>861</v>
      </c>
      <c r="K593" t="s">
        <v>776</v>
      </c>
      <c r="L593" t="s">
        <v>299</v>
      </c>
      <c r="M593" t="s">
        <v>331</v>
      </c>
      <c r="N593" t="s">
        <v>667</v>
      </c>
      <c r="O593">
        <v>2022</v>
      </c>
    </row>
    <row r="594" spans="1:15" x14ac:dyDescent="0.25">
      <c r="A594" t="s">
        <v>2291</v>
      </c>
      <c r="B594" t="s">
        <v>2310</v>
      </c>
      <c r="C594" t="s">
        <v>735</v>
      </c>
      <c r="D594" t="s">
        <v>18</v>
      </c>
      <c r="E594" t="s">
        <v>585</v>
      </c>
      <c r="F594" t="s">
        <v>753</v>
      </c>
      <c r="G594" t="s">
        <v>680</v>
      </c>
      <c r="H594" t="s">
        <v>378</v>
      </c>
      <c r="I594" t="s">
        <v>858</v>
      </c>
      <c r="J594" t="s">
        <v>827</v>
      </c>
      <c r="K594" t="s">
        <v>546</v>
      </c>
      <c r="L594" t="s">
        <v>484</v>
      </c>
      <c r="M594" t="s">
        <v>491</v>
      </c>
      <c r="N594" t="s">
        <v>314</v>
      </c>
      <c r="O594">
        <v>2022</v>
      </c>
    </row>
    <row r="595" spans="1:15" x14ac:dyDescent="0.25">
      <c r="A595" t="s">
        <v>2291</v>
      </c>
      <c r="B595" t="s">
        <v>2311</v>
      </c>
      <c r="C595" t="s">
        <v>748</v>
      </c>
      <c r="D595" t="s">
        <v>18</v>
      </c>
      <c r="E595" t="s">
        <v>585</v>
      </c>
      <c r="F595" t="s">
        <v>907</v>
      </c>
      <c r="G595" t="s">
        <v>1033</v>
      </c>
      <c r="H595" t="s">
        <v>378</v>
      </c>
      <c r="I595" t="s">
        <v>781</v>
      </c>
      <c r="J595" t="s">
        <v>787</v>
      </c>
      <c r="K595" t="s">
        <v>510</v>
      </c>
      <c r="L595" t="s">
        <v>501</v>
      </c>
      <c r="M595" t="s">
        <v>932</v>
      </c>
      <c r="N595" t="s">
        <v>1621</v>
      </c>
      <c r="O595">
        <v>2022</v>
      </c>
    </row>
    <row r="596" spans="1:15" x14ac:dyDescent="0.25">
      <c r="A596" t="s">
        <v>2291</v>
      </c>
      <c r="B596" t="s">
        <v>2312</v>
      </c>
      <c r="C596" t="s">
        <v>980</v>
      </c>
      <c r="D596" t="s">
        <v>162</v>
      </c>
      <c r="E596" t="s">
        <v>508</v>
      </c>
      <c r="F596" t="s">
        <v>580</v>
      </c>
      <c r="G596" t="s">
        <v>487</v>
      </c>
      <c r="H596" t="s">
        <v>378</v>
      </c>
      <c r="I596" t="s">
        <v>912</v>
      </c>
      <c r="J596" t="s">
        <v>792</v>
      </c>
      <c r="K596" t="s">
        <v>1871</v>
      </c>
      <c r="L596" t="s">
        <v>541</v>
      </c>
      <c r="M596" t="s">
        <v>512</v>
      </c>
      <c r="N596" t="s">
        <v>596</v>
      </c>
      <c r="O596">
        <v>2022</v>
      </c>
    </row>
    <row r="597" spans="1:15" x14ac:dyDescent="0.25">
      <c r="A597" t="s">
        <v>2291</v>
      </c>
      <c r="B597" t="s">
        <v>2313</v>
      </c>
      <c r="C597" t="s">
        <v>2314</v>
      </c>
      <c r="D597" t="s">
        <v>162</v>
      </c>
      <c r="E597" t="s">
        <v>475</v>
      </c>
      <c r="F597" t="s">
        <v>907</v>
      </c>
      <c r="G597" t="s">
        <v>2315</v>
      </c>
      <c r="H597" t="s">
        <v>378</v>
      </c>
      <c r="I597" t="s">
        <v>781</v>
      </c>
      <c r="J597" t="s">
        <v>931</v>
      </c>
      <c r="K597" t="s">
        <v>958</v>
      </c>
      <c r="L597" t="s">
        <v>515</v>
      </c>
      <c r="M597" t="s">
        <v>683</v>
      </c>
      <c r="N597" t="s">
        <v>513</v>
      </c>
      <c r="O597">
        <v>2022</v>
      </c>
    </row>
    <row r="598" spans="1:15" x14ac:dyDescent="0.25">
      <c r="A598" t="s">
        <v>2291</v>
      </c>
      <c r="B598" t="s">
        <v>2316</v>
      </c>
      <c r="C598" t="s">
        <v>598</v>
      </c>
      <c r="D598" t="s">
        <v>18</v>
      </c>
      <c r="E598" t="s">
        <v>585</v>
      </c>
      <c r="F598" t="s">
        <v>907</v>
      </c>
      <c r="G598" t="s">
        <v>2317</v>
      </c>
      <c r="H598" t="s">
        <v>378</v>
      </c>
      <c r="I598" t="s">
        <v>858</v>
      </c>
      <c r="J598" t="s">
        <v>297</v>
      </c>
      <c r="K598" t="s">
        <v>917</v>
      </c>
      <c r="L598" t="s">
        <v>312</v>
      </c>
      <c r="M598" t="s">
        <v>481</v>
      </c>
      <c r="N598" t="s">
        <v>482</v>
      </c>
      <c r="O598">
        <v>2023</v>
      </c>
    </row>
    <row r="599" spans="1:15" x14ac:dyDescent="0.25">
      <c r="A599" t="s">
        <v>2291</v>
      </c>
      <c r="B599" t="s">
        <v>2318</v>
      </c>
      <c r="C599" t="s">
        <v>180</v>
      </c>
      <c r="D599" t="s">
        <v>68</v>
      </c>
      <c r="E599" t="s">
        <v>951</v>
      </c>
      <c r="F599" t="s">
        <v>907</v>
      </c>
      <c r="G599" t="s">
        <v>767</v>
      </c>
      <c r="H599" t="s">
        <v>2297</v>
      </c>
      <c r="I599" t="s">
        <v>858</v>
      </c>
      <c r="J599" t="s">
        <v>861</v>
      </c>
      <c r="K599" t="s">
        <v>776</v>
      </c>
      <c r="L599" t="s">
        <v>299</v>
      </c>
      <c r="M599" t="s">
        <v>331</v>
      </c>
      <c r="N599" t="s">
        <v>718</v>
      </c>
      <c r="O599">
        <v>2023</v>
      </c>
    </row>
    <row r="600" spans="1:15" x14ac:dyDescent="0.25">
      <c r="A600" t="s">
        <v>2291</v>
      </c>
      <c r="B600" t="s">
        <v>2319</v>
      </c>
      <c r="C600" t="s">
        <v>213</v>
      </c>
      <c r="D600" t="s">
        <v>18</v>
      </c>
      <c r="E600" t="s">
        <v>475</v>
      </c>
      <c r="F600" t="s">
        <v>20</v>
      </c>
      <c r="G600" t="s">
        <v>680</v>
      </c>
      <c r="H600" t="s">
        <v>378</v>
      </c>
      <c r="I600" t="s">
        <v>858</v>
      </c>
      <c r="J600" t="s">
        <v>827</v>
      </c>
      <c r="K600" t="s">
        <v>546</v>
      </c>
      <c r="L600" t="s">
        <v>480</v>
      </c>
      <c r="M600" t="s">
        <v>1103</v>
      </c>
      <c r="N600" t="s">
        <v>503</v>
      </c>
      <c r="O600">
        <v>2023</v>
      </c>
    </row>
    <row r="601" spans="1:15" x14ac:dyDescent="0.25">
      <c r="A601" t="s">
        <v>2291</v>
      </c>
      <c r="B601" t="s">
        <v>2320</v>
      </c>
      <c r="C601" t="s">
        <v>598</v>
      </c>
      <c r="D601" t="s">
        <v>18</v>
      </c>
      <c r="E601" t="s">
        <v>585</v>
      </c>
      <c r="F601" t="s">
        <v>753</v>
      </c>
      <c r="G601" t="s">
        <v>708</v>
      </c>
      <c r="H601" t="s">
        <v>378</v>
      </c>
      <c r="I601" t="s">
        <v>858</v>
      </c>
      <c r="J601" t="s">
        <v>818</v>
      </c>
      <c r="K601" t="s">
        <v>479</v>
      </c>
      <c r="L601" t="s">
        <v>466</v>
      </c>
      <c r="M601" t="s">
        <v>313</v>
      </c>
      <c r="N601" t="s">
        <v>314</v>
      </c>
      <c r="O601">
        <v>2023</v>
      </c>
    </row>
    <row r="602" spans="1:15" x14ac:dyDescent="0.25">
      <c r="A602" t="s">
        <v>2291</v>
      </c>
      <c r="B602" t="s">
        <v>2321</v>
      </c>
      <c r="C602" t="s">
        <v>474</v>
      </c>
      <c r="D602" t="s">
        <v>162</v>
      </c>
      <c r="E602" t="s">
        <v>307</v>
      </c>
      <c r="F602" t="s">
        <v>580</v>
      </c>
      <c r="G602" t="s">
        <v>1452</v>
      </c>
      <c r="H602" t="s">
        <v>378</v>
      </c>
      <c r="I602" t="s">
        <v>912</v>
      </c>
      <c r="J602" t="s">
        <v>792</v>
      </c>
      <c r="K602" t="s">
        <v>537</v>
      </c>
      <c r="L602" t="s">
        <v>541</v>
      </c>
      <c r="M602" t="s">
        <v>512</v>
      </c>
      <c r="N602" t="s">
        <v>596</v>
      </c>
      <c r="O602">
        <v>2023</v>
      </c>
    </row>
    <row r="603" spans="1:15" x14ac:dyDescent="0.25">
      <c r="A603" t="s">
        <v>2291</v>
      </c>
      <c r="B603" t="s">
        <v>2322</v>
      </c>
      <c r="C603" t="s">
        <v>518</v>
      </c>
      <c r="D603" t="s">
        <v>18</v>
      </c>
      <c r="E603" t="s">
        <v>307</v>
      </c>
      <c r="F603" t="s">
        <v>580</v>
      </c>
      <c r="G603" t="s">
        <v>2323</v>
      </c>
      <c r="H603" t="s">
        <v>378</v>
      </c>
      <c r="I603" t="s">
        <v>2324</v>
      </c>
      <c r="J603" t="s">
        <v>931</v>
      </c>
      <c r="K603" t="s">
        <v>510</v>
      </c>
      <c r="L603" t="s">
        <v>501</v>
      </c>
      <c r="M603" t="s">
        <v>932</v>
      </c>
      <c r="N603" t="s">
        <v>1621</v>
      </c>
      <c r="O603">
        <v>2023</v>
      </c>
    </row>
    <row r="604" spans="1:15" x14ac:dyDescent="0.25">
      <c r="A604" t="s">
        <v>2291</v>
      </c>
      <c r="B604" t="s">
        <v>2325</v>
      </c>
      <c r="C604" t="s">
        <v>1017</v>
      </c>
      <c r="D604" t="s">
        <v>18</v>
      </c>
      <c r="E604" t="s">
        <v>585</v>
      </c>
      <c r="F604" t="s">
        <v>907</v>
      </c>
      <c r="G604" t="s">
        <v>855</v>
      </c>
      <c r="H604" t="s">
        <v>378</v>
      </c>
      <c r="I604" t="s">
        <v>858</v>
      </c>
      <c r="J604" t="s">
        <v>316</v>
      </c>
      <c r="K604" t="s">
        <v>505</v>
      </c>
      <c r="L604" t="s">
        <v>312</v>
      </c>
      <c r="M604" t="s">
        <v>481</v>
      </c>
      <c r="N604" t="s">
        <v>482</v>
      </c>
      <c r="O604">
        <v>2024</v>
      </c>
    </row>
    <row r="605" spans="1:15" x14ac:dyDescent="0.25">
      <c r="A605" t="s">
        <v>2291</v>
      </c>
      <c r="B605" t="s">
        <v>2326</v>
      </c>
      <c r="C605" t="s">
        <v>735</v>
      </c>
      <c r="D605" t="s">
        <v>68</v>
      </c>
      <c r="E605" t="s">
        <v>951</v>
      </c>
      <c r="F605" t="s">
        <v>753</v>
      </c>
      <c r="G605" t="s">
        <v>2327</v>
      </c>
      <c r="H605" t="s">
        <v>378</v>
      </c>
      <c r="I605" t="s">
        <v>858</v>
      </c>
      <c r="J605" t="s">
        <v>325</v>
      </c>
      <c r="K605" t="s">
        <v>494</v>
      </c>
      <c r="L605" t="s">
        <v>2090</v>
      </c>
      <c r="M605" t="s">
        <v>327</v>
      </c>
      <c r="N605" t="s">
        <v>320</v>
      </c>
      <c r="O605">
        <v>2024</v>
      </c>
    </row>
    <row r="606" spans="1:15" x14ac:dyDescent="0.25">
      <c r="A606" t="s">
        <v>2291</v>
      </c>
      <c r="B606" t="s">
        <v>2328</v>
      </c>
      <c r="C606" t="s">
        <v>496</v>
      </c>
      <c r="D606" t="s">
        <v>18</v>
      </c>
      <c r="E606" t="s">
        <v>951</v>
      </c>
      <c r="F606" t="s">
        <v>907</v>
      </c>
      <c r="G606" t="s">
        <v>401</v>
      </c>
      <c r="H606" t="s">
        <v>378</v>
      </c>
      <c r="I606" t="s">
        <v>858</v>
      </c>
      <c r="J606" t="s">
        <v>303</v>
      </c>
      <c r="K606" t="s">
        <v>746</v>
      </c>
      <c r="L606" t="s">
        <v>717</v>
      </c>
      <c r="M606" t="s">
        <v>472</v>
      </c>
      <c r="N606" t="s">
        <v>583</v>
      </c>
      <c r="O606">
        <v>2024</v>
      </c>
    </row>
    <row r="607" spans="1:15" x14ac:dyDescent="0.25">
      <c r="A607" t="s">
        <v>2291</v>
      </c>
      <c r="B607" t="s">
        <v>2329</v>
      </c>
      <c r="C607" t="s">
        <v>851</v>
      </c>
      <c r="D607" t="s">
        <v>68</v>
      </c>
      <c r="E607" t="s">
        <v>951</v>
      </c>
      <c r="F607" t="s">
        <v>753</v>
      </c>
      <c r="G607" t="s">
        <v>2330</v>
      </c>
      <c r="H607" t="s">
        <v>2297</v>
      </c>
      <c r="I607" t="s">
        <v>858</v>
      </c>
      <c r="J607" t="s">
        <v>836</v>
      </c>
      <c r="K607" t="s">
        <v>716</v>
      </c>
      <c r="L607" t="s">
        <v>326</v>
      </c>
      <c r="M607" t="s">
        <v>666</v>
      </c>
      <c r="N607" t="s">
        <v>667</v>
      </c>
      <c r="O607">
        <v>2024</v>
      </c>
    </row>
    <row r="608" spans="1:15" x14ac:dyDescent="0.25">
      <c r="A608" t="s">
        <v>2291</v>
      </c>
      <c r="B608" t="s">
        <v>2331</v>
      </c>
      <c r="C608" t="s">
        <v>496</v>
      </c>
      <c r="D608" t="s">
        <v>162</v>
      </c>
      <c r="E608" t="s">
        <v>508</v>
      </c>
      <c r="F608" t="s">
        <v>580</v>
      </c>
      <c r="G608" t="s">
        <v>1466</v>
      </c>
      <c r="H608" t="s">
        <v>378</v>
      </c>
      <c r="I608" t="s">
        <v>248</v>
      </c>
      <c r="J608" t="s">
        <v>957</v>
      </c>
      <c r="K608" t="s">
        <v>967</v>
      </c>
      <c r="L608" t="s">
        <v>617</v>
      </c>
      <c r="M608" t="s">
        <v>698</v>
      </c>
      <c r="N608" t="s">
        <v>699</v>
      </c>
      <c r="O608">
        <v>2024</v>
      </c>
    </row>
    <row r="609" spans="1:15" x14ac:dyDescent="0.25">
      <c r="A609" t="s">
        <v>2291</v>
      </c>
      <c r="B609" t="s">
        <v>2332</v>
      </c>
      <c r="C609" t="s">
        <v>421</v>
      </c>
      <c r="D609" t="s">
        <v>18</v>
      </c>
      <c r="E609" t="s">
        <v>585</v>
      </c>
      <c r="F609" t="s">
        <v>907</v>
      </c>
      <c r="G609" t="s">
        <v>1067</v>
      </c>
      <c r="H609" t="s">
        <v>378</v>
      </c>
      <c r="I609" t="s">
        <v>858</v>
      </c>
      <c r="J609" t="s">
        <v>818</v>
      </c>
      <c r="K609" t="s">
        <v>479</v>
      </c>
      <c r="L609" t="s">
        <v>466</v>
      </c>
      <c r="M609" t="s">
        <v>313</v>
      </c>
      <c r="N609" t="s">
        <v>314</v>
      </c>
      <c r="O609">
        <v>2025</v>
      </c>
    </row>
    <row r="610" spans="1:15" x14ac:dyDescent="0.25">
      <c r="A610" t="s">
        <v>2291</v>
      </c>
      <c r="B610" t="s">
        <v>2333</v>
      </c>
      <c r="C610" t="s">
        <v>1202</v>
      </c>
      <c r="D610" t="s">
        <v>68</v>
      </c>
      <c r="E610" t="s">
        <v>951</v>
      </c>
      <c r="F610" t="s">
        <v>753</v>
      </c>
      <c r="G610" t="s">
        <v>2334</v>
      </c>
      <c r="H610" t="s">
        <v>520</v>
      </c>
      <c r="I610" t="s">
        <v>858</v>
      </c>
      <c r="J610" t="s">
        <v>297</v>
      </c>
      <c r="K610" t="s">
        <v>465</v>
      </c>
      <c r="L610" t="s">
        <v>318</v>
      </c>
      <c r="M610" t="s">
        <v>327</v>
      </c>
      <c r="N610" t="s">
        <v>320</v>
      </c>
      <c r="O610">
        <v>2025</v>
      </c>
    </row>
    <row r="611" spans="1:15" x14ac:dyDescent="0.25">
      <c r="A611" t="s">
        <v>2291</v>
      </c>
      <c r="B611" t="s">
        <v>2335</v>
      </c>
      <c r="C611" t="s">
        <v>549</v>
      </c>
      <c r="D611" t="s">
        <v>18</v>
      </c>
      <c r="E611" t="s">
        <v>307</v>
      </c>
      <c r="F611" t="s">
        <v>580</v>
      </c>
      <c r="G611" t="s">
        <v>1691</v>
      </c>
      <c r="H611" t="s">
        <v>2336</v>
      </c>
      <c r="I611" t="s">
        <v>858</v>
      </c>
      <c r="J611" t="s">
        <v>787</v>
      </c>
      <c r="K611" t="s">
        <v>540</v>
      </c>
      <c r="L611" t="s">
        <v>490</v>
      </c>
      <c r="M611" t="s">
        <v>683</v>
      </c>
      <c r="N611" t="s">
        <v>513</v>
      </c>
      <c r="O611">
        <v>2024</v>
      </c>
    </row>
    <row r="612" spans="1:15" x14ac:dyDescent="0.25">
      <c r="A612" t="s">
        <v>2337</v>
      </c>
      <c r="B612" t="s">
        <v>2338</v>
      </c>
      <c r="C612" t="s">
        <v>2339</v>
      </c>
      <c r="D612" t="s">
        <v>68</v>
      </c>
      <c r="E612" t="s">
        <v>307</v>
      </c>
      <c r="F612" t="s">
        <v>307</v>
      </c>
      <c r="G612" t="s">
        <v>1701</v>
      </c>
      <c r="H612" t="s">
        <v>2274</v>
      </c>
      <c r="I612" t="s">
        <v>1186</v>
      </c>
      <c r="J612" t="s">
        <v>2340</v>
      </c>
      <c r="K612" t="s">
        <v>521</v>
      </c>
      <c r="L612" t="s">
        <v>522</v>
      </c>
      <c r="M612" t="s">
        <v>1520</v>
      </c>
      <c r="N612" t="s">
        <v>2341</v>
      </c>
      <c r="O612">
        <v>2024</v>
      </c>
    </row>
    <row r="613" spans="1:15" x14ac:dyDescent="0.25">
      <c r="A613" t="s">
        <v>2337</v>
      </c>
      <c r="B613" t="s">
        <v>2342</v>
      </c>
      <c r="C613" t="s">
        <v>2339</v>
      </c>
      <c r="D613" t="s">
        <v>68</v>
      </c>
      <c r="E613" t="s">
        <v>307</v>
      </c>
      <c r="F613" t="s">
        <v>307</v>
      </c>
      <c r="G613" t="s">
        <v>1701</v>
      </c>
      <c r="H613" t="s">
        <v>2274</v>
      </c>
      <c r="I613" t="s">
        <v>1186</v>
      </c>
      <c r="J613" t="s">
        <v>2343</v>
      </c>
      <c r="K613" t="s">
        <v>1046</v>
      </c>
      <c r="L613" t="s">
        <v>312</v>
      </c>
      <c r="M613" t="s">
        <v>1417</v>
      </c>
      <c r="N613" t="s">
        <v>503</v>
      </c>
      <c r="O613">
        <v>2024</v>
      </c>
    </row>
    <row r="614" spans="1:15" x14ac:dyDescent="0.25">
      <c r="A614" t="s">
        <v>1338</v>
      </c>
      <c r="B614" t="s">
        <v>1339</v>
      </c>
      <c r="C614" t="s">
        <v>1340</v>
      </c>
      <c r="D614" t="s">
        <v>375</v>
      </c>
      <c r="E614" t="s">
        <v>585</v>
      </c>
      <c r="F614" t="s">
        <v>1138</v>
      </c>
      <c r="G614" t="s">
        <v>1341</v>
      </c>
      <c r="H614" t="s">
        <v>1342</v>
      </c>
      <c r="I614" t="s">
        <v>807</v>
      </c>
      <c r="J614" t="s">
        <v>796</v>
      </c>
      <c r="K614" t="s">
        <v>577</v>
      </c>
      <c r="L614" t="s">
        <v>1343</v>
      </c>
      <c r="M614" t="s">
        <v>1344</v>
      </c>
      <c r="N614" t="s">
        <v>1345</v>
      </c>
      <c r="O614">
        <v>2024</v>
      </c>
    </row>
    <row r="615" spans="1:15" x14ac:dyDescent="0.25">
      <c r="A615" t="s">
        <v>1338</v>
      </c>
      <c r="B615" t="s">
        <v>1346</v>
      </c>
      <c r="C615" t="s">
        <v>1340</v>
      </c>
      <c r="D615" t="s">
        <v>759</v>
      </c>
      <c r="E615" t="s">
        <v>585</v>
      </c>
      <c r="F615" t="s">
        <v>1138</v>
      </c>
      <c r="G615" t="s">
        <v>1341</v>
      </c>
      <c r="H615" t="s">
        <v>1342</v>
      </c>
      <c r="I615" t="s">
        <v>807</v>
      </c>
      <c r="J615" t="s">
        <v>288</v>
      </c>
      <c r="K615" t="s">
        <v>1347</v>
      </c>
      <c r="L615" t="s">
        <v>1348</v>
      </c>
      <c r="M615" t="s">
        <v>1349</v>
      </c>
      <c r="N615" t="s">
        <v>1350</v>
      </c>
      <c r="O615">
        <v>2024</v>
      </c>
    </row>
    <row r="616" spans="1:15" x14ac:dyDescent="0.25">
      <c r="A616" t="s">
        <v>1338</v>
      </c>
      <c r="B616" t="s">
        <v>1351</v>
      </c>
      <c r="C616" t="s">
        <v>590</v>
      </c>
      <c r="D616" t="s">
        <v>68</v>
      </c>
      <c r="E616" t="s">
        <v>461</v>
      </c>
      <c r="F616" t="s">
        <v>1352</v>
      </c>
      <c r="G616" t="s">
        <v>1353</v>
      </c>
      <c r="H616" t="s">
        <v>1354</v>
      </c>
      <c r="I616" t="s">
        <v>807</v>
      </c>
      <c r="J616" t="s">
        <v>303</v>
      </c>
      <c r="K616" t="s">
        <v>862</v>
      </c>
      <c r="L616" t="s">
        <v>1355</v>
      </c>
      <c r="M616" t="s">
        <v>1356</v>
      </c>
      <c r="N616" t="s">
        <v>1328</v>
      </c>
      <c r="O616">
        <v>2023</v>
      </c>
    </row>
    <row r="617" spans="1:15" x14ac:dyDescent="0.25">
      <c r="A617" t="s">
        <v>1338</v>
      </c>
      <c r="B617" t="s">
        <v>1357</v>
      </c>
      <c r="C617" t="s">
        <v>590</v>
      </c>
      <c r="D617" t="s">
        <v>375</v>
      </c>
      <c r="E617" t="s">
        <v>461</v>
      </c>
      <c r="F617" t="s">
        <v>1352</v>
      </c>
      <c r="G617" t="s">
        <v>1353</v>
      </c>
      <c r="H617" t="s">
        <v>1354</v>
      </c>
      <c r="I617" t="s">
        <v>807</v>
      </c>
      <c r="J617" t="s">
        <v>865</v>
      </c>
      <c r="K617" t="s">
        <v>776</v>
      </c>
      <c r="L617" t="s">
        <v>1358</v>
      </c>
      <c r="M617" t="s">
        <v>1359</v>
      </c>
      <c r="N617" t="s">
        <v>1360</v>
      </c>
      <c r="O617">
        <v>2023</v>
      </c>
    </row>
    <row r="618" spans="1:15" x14ac:dyDescent="0.25">
      <c r="A618" t="s">
        <v>1338</v>
      </c>
      <c r="B618" t="s">
        <v>1361</v>
      </c>
      <c r="C618" t="s">
        <v>590</v>
      </c>
      <c r="D618" t="s">
        <v>759</v>
      </c>
      <c r="E618" t="s">
        <v>461</v>
      </c>
      <c r="F618" t="s">
        <v>1352</v>
      </c>
      <c r="G618" t="s">
        <v>1353</v>
      </c>
      <c r="H618" t="s">
        <v>1354</v>
      </c>
      <c r="I618" t="s">
        <v>807</v>
      </c>
      <c r="J618" t="s">
        <v>861</v>
      </c>
      <c r="K618" t="s">
        <v>810</v>
      </c>
      <c r="L618" t="s">
        <v>1362</v>
      </c>
      <c r="M618" t="s">
        <v>1363</v>
      </c>
      <c r="N618" t="s">
        <v>1364</v>
      </c>
      <c r="O618">
        <v>2023</v>
      </c>
    </row>
    <row r="619" spans="1:15" x14ac:dyDescent="0.25">
      <c r="A619" t="s">
        <v>1338</v>
      </c>
      <c r="B619" t="s">
        <v>1365</v>
      </c>
      <c r="C619" t="s">
        <v>590</v>
      </c>
      <c r="D619" t="s">
        <v>68</v>
      </c>
      <c r="E619" t="s">
        <v>461</v>
      </c>
      <c r="F619" t="s">
        <v>527</v>
      </c>
      <c r="G619" t="s">
        <v>1366</v>
      </c>
      <c r="H619" t="s">
        <v>1354</v>
      </c>
      <c r="I619" t="s">
        <v>807</v>
      </c>
      <c r="J619" t="s">
        <v>1070</v>
      </c>
      <c r="K619" t="s">
        <v>1367</v>
      </c>
      <c r="L619" t="s">
        <v>1368</v>
      </c>
      <c r="M619" t="s">
        <v>1369</v>
      </c>
      <c r="N619" t="s">
        <v>1370</v>
      </c>
      <c r="O619">
        <v>2023</v>
      </c>
    </row>
    <row r="620" spans="1:15" x14ac:dyDescent="0.25">
      <c r="A620" t="s">
        <v>1338</v>
      </c>
      <c r="B620" t="s">
        <v>1371</v>
      </c>
      <c r="C620" t="s">
        <v>590</v>
      </c>
      <c r="D620" t="s">
        <v>68</v>
      </c>
      <c r="E620" t="s">
        <v>461</v>
      </c>
      <c r="F620" t="s">
        <v>527</v>
      </c>
      <c r="G620" t="s">
        <v>1366</v>
      </c>
      <c r="H620" t="s">
        <v>1354</v>
      </c>
      <c r="I620" t="s">
        <v>807</v>
      </c>
      <c r="J620" t="s">
        <v>303</v>
      </c>
      <c r="K620" t="s">
        <v>1372</v>
      </c>
      <c r="L620" t="s">
        <v>1355</v>
      </c>
      <c r="M620" t="s">
        <v>1356</v>
      </c>
      <c r="N620" t="s">
        <v>1328</v>
      </c>
      <c r="O620">
        <v>2023</v>
      </c>
    </row>
    <row r="621" spans="1:15" x14ac:dyDescent="0.25">
      <c r="A621" t="s">
        <v>1338</v>
      </c>
      <c r="B621" t="s">
        <v>1373</v>
      </c>
      <c r="C621" t="s">
        <v>820</v>
      </c>
      <c r="D621" t="s">
        <v>375</v>
      </c>
      <c r="E621" t="s">
        <v>585</v>
      </c>
      <c r="F621" t="s">
        <v>1352</v>
      </c>
      <c r="G621" t="s">
        <v>1374</v>
      </c>
      <c r="H621" t="s">
        <v>1375</v>
      </c>
      <c r="I621" t="s">
        <v>1140</v>
      </c>
      <c r="J621" t="s">
        <v>865</v>
      </c>
      <c r="K621" t="s">
        <v>746</v>
      </c>
      <c r="L621" t="s">
        <v>1376</v>
      </c>
      <c r="M621" t="s">
        <v>1377</v>
      </c>
      <c r="N621" t="s">
        <v>1378</v>
      </c>
      <c r="O621">
        <v>2025</v>
      </c>
    </row>
    <row r="622" spans="1:15" x14ac:dyDescent="0.25">
      <c r="A622" t="s">
        <v>1338</v>
      </c>
      <c r="B622" t="s">
        <v>1379</v>
      </c>
      <c r="C622" t="s">
        <v>820</v>
      </c>
      <c r="D622" t="s">
        <v>375</v>
      </c>
      <c r="E622" t="s">
        <v>585</v>
      </c>
      <c r="F622" t="s">
        <v>1352</v>
      </c>
      <c r="G622" t="s">
        <v>1374</v>
      </c>
      <c r="H622" t="s">
        <v>1375</v>
      </c>
      <c r="I622" t="s">
        <v>1140</v>
      </c>
      <c r="J622" t="s">
        <v>861</v>
      </c>
      <c r="K622" t="s">
        <v>866</v>
      </c>
      <c r="L622" t="s">
        <v>1355</v>
      </c>
      <c r="M622" t="s">
        <v>1369</v>
      </c>
      <c r="N622" t="s">
        <v>1380</v>
      </c>
      <c r="O622">
        <v>2025</v>
      </c>
    </row>
    <row r="623" spans="1:15" x14ac:dyDescent="0.25">
      <c r="A623" t="s">
        <v>1338</v>
      </c>
      <c r="B623" t="s">
        <v>1381</v>
      </c>
      <c r="C623" t="s">
        <v>820</v>
      </c>
      <c r="D623" t="s">
        <v>68</v>
      </c>
      <c r="E623" t="s">
        <v>585</v>
      </c>
      <c r="F623" t="s">
        <v>527</v>
      </c>
      <c r="G623" t="s">
        <v>1382</v>
      </c>
      <c r="H623" t="s">
        <v>1383</v>
      </c>
      <c r="I623" t="s">
        <v>44</v>
      </c>
      <c r="J623" t="s">
        <v>297</v>
      </c>
      <c r="K623" t="s">
        <v>917</v>
      </c>
      <c r="L623" t="s">
        <v>1384</v>
      </c>
      <c r="M623" t="s">
        <v>1385</v>
      </c>
      <c r="N623" t="s">
        <v>1386</v>
      </c>
      <c r="O623">
        <v>2025</v>
      </c>
    </row>
    <row r="624" spans="1:15" x14ac:dyDescent="0.25">
      <c r="A624" t="s">
        <v>1338</v>
      </c>
      <c r="B624" t="s">
        <v>1387</v>
      </c>
      <c r="C624" t="s">
        <v>820</v>
      </c>
      <c r="D624" t="s">
        <v>68</v>
      </c>
      <c r="E624" t="s">
        <v>585</v>
      </c>
      <c r="F624" t="s">
        <v>527</v>
      </c>
      <c r="G624" t="s">
        <v>1382</v>
      </c>
      <c r="H624" t="s">
        <v>1383</v>
      </c>
      <c r="I624" t="s">
        <v>44</v>
      </c>
      <c r="J624" t="s">
        <v>1070</v>
      </c>
      <c r="K624" t="s">
        <v>1102</v>
      </c>
      <c r="L624" t="s">
        <v>1388</v>
      </c>
      <c r="M624" t="s">
        <v>1377</v>
      </c>
      <c r="N624" t="s">
        <v>1389</v>
      </c>
      <c r="O624">
        <v>2025</v>
      </c>
    </row>
    <row r="625" spans="1:15" x14ac:dyDescent="0.25">
      <c r="A625" t="s">
        <v>1338</v>
      </c>
      <c r="B625" t="s">
        <v>1390</v>
      </c>
      <c r="C625" t="s">
        <v>496</v>
      </c>
      <c r="D625" t="s">
        <v>18</v>
      </c>
      <c r="E625" t="s">
        <v>585</v>
      </c>
      <c r="F625" t="s">
        <v>1391</v>
      </c>
      <c r="G625" t="s">
        <v>1392</v>
      </c>
      <c r="H625" t="s">
        <v>1354</v>
      </c>
      <c r="I625" t="s">
        <v>389</v>
      </c>
      <c r="J625" t="s">
        <v>818</v>
      </c>
      <c r="K625" t="s">
        <v>494</v>
      </c>
      <c r="L625" t="s">
        <v>1393</v>
      </c>
      <c r="M625" t="s">
        <v>1394</v>
      </c>
      <c r="N625" t="s">
        <v>1395</v>
      </c>
      <c r="O625">
        <v>2025</v>
      </c>
    </row>
    <row r="626" spans="1:15" x14ac:dyDescent="0.25">
      <c r="A626" t="s">
        <v>1338</v>
      </c>
      <c r="B626" t="s">
        <v>1396</v>
      </c>
      <c r="C626" t="s">
        <v>496</v>
      </c>
      <c r="D626" t="s">
        <v>68</v>
      </c>
      <c r="E626" t="s">
        <v>585</v>
      </c>
      <c r="F626" t="s">
        <v>1391</v>
      </c>
      <c r="G626" t="s">
        <v>1392</v>
      </c>
      <c r="H626" t="s">
        <v>1354</v>
      </c>
      <c r="I626" t="s">
        <v>389</v>
      </c>
      <c r="J626" t="s">
        <v>325</v>
      </c>
      <c r="K626" t="s">
        <v>525</v>
      </c>
      <c r="L626" t="s">
        <v>1397</v>
      </c>
      <c r="M626" t="s">
        <v>1398</v>
      </c>
      <c r="N626" t="s">
        <v>1399</v>
      </c>
      <c r="O626">
        <v>2025</v>
      </c>
    </row>
    <row r="627" spans="1:15" x14ac:dyDescent="0.25">
      <c r="A627" t="s">
        <v>1338</v>
      </c>
      <c r="B627" t="s">
        <v>1400</v>
      </c>
      <c r="C627" t="s">
        <v>789</v>
      </c>
      <c r="D627" t="s">
        <v>68</v>
      </c>
      <c r="E627" t="s">
        <v>585</v>
      </c>
      <c r="F627" t="s">
        <v>497</v>
      </c>
      <c r="G627" t="s">
        <v>1401</v>
      </c>
      <c r="H627" t="s">
        <v>1219</v>
      </c>
      <c r="I627" t="s">
        <v>248</v>
      </c>
      <c r="J627" t="s">
        <v>316</v>
      </c>
      <c r="K627" t="s">
        <v>479</v>
      </c>
      <c r="L627" t="s">
        <v>1402</v>
      </c>
      <c r="M627" t="s">
        <v>1403</v>
      </c>
      <c r="N627" t="s">
        <v>1291</v>
      </c>
      <c r="O627">
        <v>2024</v>
      </c>
    </row>
    <row r="628" spans="1:15" x14ac:dyDescent="0.25">
      <c r="A628" t="s">
        <v>1338</v>
      </c>
      <c r="B628" t="s">
        <v>1404</v>
      </c>
      <c r="C628" t="s">
        <v>789</v>
      </c>
      <c r="D628" t="s">
        <v>68</v>
      </c>
      <c r="E628" t="s">
        <v>585</v>
      </c>
      <c r="F628" t="s">
        <v>497</v>
      </c>
      <c r="G628" t="s">
        <v>1401</v>
      </c>
      <c r="H628" t="s">
        <v>1219</v>
      </c>
      <c r="I628" t="s">
        <v>248</v>
      </c>
      <c r="J628" t="s">
        <v>818</v>
      </c>
      <c r="K628" t="s">
        <v>494</v>
      </c>
      <c r="L628" t="s">
        <v>1405</v>
      </c>
      <c r="M628" t="s">
        <v>1394</v>
      </c>
      <c r="N628" t="s">
        <v>1395</v>
      </c>
      <c r="O628">
        <v>2024</v>
      </c>
    </row>
    <row r="629" spans="1:15" x14ac:dyDescent="0.25">
      <c r="A629" t="s">
        <v>1338</v>
      </c>
      <c r="B629" t="s">
        <v>1406</v>
      </c>
      <c r="C629" t="s">
        <v>496</v>
      </c>
      <c r="D629" t="s">
        <v>18</v>
      </c>
      <c r="E629" t="s">
        <v>585</v>
      </c>
      <c r="F629" t="s">
        <v>497</v>
      </c>
      <c r="G629" t="s">
        <v>1407</v>
      </c>
      <c r="H629" t="s">
        <v>1219</v>
      </c>
      <c r="I629" t="s">
        <v>389</v>
      </c>
      <c r="J629" t="s">
        <v>310</v>
      </c>
      <c r="K629" t="s">
        <v>546</v>
      </c>
      <c r="L629" t="s">
        <v>1408</v>
      </c>
      <c r="M629" t="s">
        <v>1409</v>
      </c>
      <c r="N629" t="s">
        <v>1298</v>
      </c>
      <c r="O629">
        <v>2024</v>
      </c>
    </row>
    <row r="630" spans="1:15" x14ac:dyDescent="0.25">
      <c r="A630" t="s">
        <v>1338</v>
      </c>
      <c r="B630" t="s">
        <v>1410</v>
      </c>
      <c r="C630" t="s">
        <v>496</v>
      </c>
      <c r="D630" t="s">
        <v>68</v>
      </c>
      <c r="E630" t="s">
        <v>585</v>
      </c>
      <c r="F630" t="s">
        <v>497</v>
      </c>
      <c r="G630" t="s">
        <v>1407</v>
      </c>
      <c r="H630" t="s">
        <v>1219</v>
      </c>
      <c r="I630" t="s">
        <v>389</v>
      </c>
      <c r="J630" t="s">
        <v>827</v>
      </c>
      <c r="K630" t="s">
        <v>531</v>
      </c>
      <c r="L630" t="s">
        <v>1411</v>
      </c>
      <c r="M630" t="s">
        <v>1412</v>
      </c>
      <c r="N630" t="s">
        <v>1413</v>
      </c>
      <c r="O630">
        <v>2024</v>
      </c>
    </row>
    <row r="631" spans="1:15" x14ac:dyDescent="0.25">
      <c r="A631" t="s">
        <v>1338</v>
      </c>
      <c r="B631" t="s">
        <v>1414</v>
      </c>
      <c r="C631" t="s">
        <v>559</v>
      </c>
      <c r="D631" t="s">
        <v>68</v>
      </c>
      <c r="E631" t="s">
        <v>585</v>
      </c>
      <c r="F631" t="s">
        <v>1133</v>
      </c>
      <c r="G631" t="s">
        <v>1392</v>
      </c>
      <c r="H631" t="s">
        <v>1415</v>
      </c>
      <c r="I631" t="s">
        <v>44</v>
      </c>
      <c r="J631" t="s">
        <v>1088</v>
      </c>
      <c r="K631" t="s">
        <v>465</v>
      </c>
      <c r="L631" t="s">
        <v>1416</v>
      </c>
      <c r="M631" t="s">
        <v>1417</v>
      </c>
      <c r="N631" t="s">
        <v>1418</v>
      </c>
      <c r="O631">
        <v>2024</v>
      </c>
    </row>
    <row r="632" spans="1:15" x14ac:dyDescent="0.25">
      <c r="A632" t="s">
        <v>1338</v>
      </c>
      <c r="B632" t="s">
        <v>1419</v>
      </c>
      <c r="C632" t="s">
        <v>559</v>
      </c>
      <c r="D632" t="s">
        <v>375</v>
      </c>
      <c r="E632" t="s">
        <v>585</v>
      </c>
      <c r="F632" t="s">
        <v>1133</v>
      </c>
      <c r="G632" t="s">
        <v>1392</v>
      </c>
      <c r="H632" t="s">
        <v>1415</v>
      </c>
      <c r="I632" t="s">
        <v>44</v>
      </c>
      <c r="J632" t="s">
        <v>297</v>
      </c>
      <c r="K632" t="s">
        <v>917</v>
      </c>
      <c r="L632" t="s">
        <v>1384</v>
      </c>
      <c r="M632" t="s">
        <v>1385</v>
      </c>
      <c r="N632" t="s">
        <v>1420</v>
      </c>
      <c r="O632">
        <v>2024</v>
      </c>
    </row>
    <row r="633" spans="1:15" x14ac:dyDescent="0.25">
      <c r="A633" t="s">
        <v>1338</v>
      </c>
      <c r="B633" t="s">
        <v>1421</v>
      </c>
      <c r="C633" t="s">
        <v>421</v>
      </c>
      <c r="D633" t="s">
        <v>375</v>
      </c>
      <c r="E633" t="s">
        <v>461</v>
      </c>
      <c r="F633" t="s">
        <v>1352</v>
      </c>
      <c r="G633" t="s">
        <v>1422</v>
      </c>
      <c r="H633" t="s">
        <v>1354</v>
      </c>
      <c r="I633" t="s">
        <v>807</v>
      </c>
      <c r="J633" t="s">
        <v>865</v>
      </c>
      <c r="K633" t="s">
        <v>746</v>
      </c>
      <c r="L633" t="s">
        <v>1355</v>
      </c>
      <c r="M633" t="s">
        <v>1369</v>
      </c>
      <c r="N633" t="s">
        <v>1380</v>
      </c>
      <c r="O633">
        <v>2024</v>
      </c>
    </row>
    <row r="634" spans="1:15" x14ac:dyDescent="0.25">
      <c r="A634" t="s">
        <v>1338</v>
      </c>
      <c r="B634" t="s">
        <v>1423</v>
      </c>
      <c r="C634" t="s">
        <v>421</v>
      </c>
      <c r="D634" t="s">
        <v>759</v>
      </c>
      <c r="E634" t="s">
        <v>461</v>
      </c>
      <c r="F634" t="s">
        <v>1352</v>
      </c>
      <c r="G634" t="s">
        <v>1422</v>
      </c>
      <c r="H634" t="s">
        <v>1354</v>
      </c>
      <c r="I634" t="s">
        <v>807</v>
      </c>
      <c r="J634" t="s">
        <v>861</v>
      </c>
      <c r="K634" t="s">
        <v>866</v>
      </c>
      <c r="L634" t="s">
        <v>1362</v>
      </c>
      <c r="M634" t="s">
        <v>1356</v>
      </c>
      <c r="N634" t="s">
        <v>1424</v>
      </c>
      <c r="O634">
        <v>2024</v>
      </c>
    </row>
    <row r="635" spans="1:15" x14ac:dyDescent="0.25">
      <c r="A635" t="s">
        <v>1338</v>
      </c>
      <c r="B635" t="s">
        <v>1425</v>
      </c>
      <c r="C635" t="s">
        <v>789</v>
      </c>
      <c r="D635" t="s">
        <v>68</v>
      </c>
      <c r="E635" t="s">
        <v>585</v>
      </c>
      <c r="F635" t="s">
        <v>755</v>
      </c>
      <c r="G635" t="s">
        <v>855</v>
      </c>
      <c r="H635" t="s">
        <v>1307</v>
      </c>
      <c r="I635" t="s">
        <v>44</v>
      </c>
      <c r="J635" t="s">
        <v>827</v>
      </c>
      <c r="K635" t="s">
        <v>489</v>
      </c>
      <c r="L635" t="s">
        <v>1402</v>
      </c>
      <c r="M635" t="s">
        <v>1403</v>
      </c>
      <c r="N635" t="s">
        <v>1291</v>
      </c>
      <c r="O635">
        <v>2024</v>
      </c>
    </row>
    <row r="636" spans="1:15" x14ac:dyDescent="0.25">
      <c r="A636" t="s">
        <v>1338</v>
      </c>
      <c r="B636" t="s">
        <v>1426</v>
      </c>
      <c r="C636" t="s">
        <v>789</v>
      </c>
      <c r="D636" t="s">
        <v>375</v>
      </c>
      <c r="E636" t="s">
        <v>585</v>
      </c>
      <c r="F636" t="s">
        <v>755</v>
      </c>
      <c r="G636" t="s">
        <v>855</v>
      </c>
      <c r="H636" t="s">
        <v>1307</v>
      </c>
      <c r="I636" t="s">
        <v>44</v>
      </c>
      <c r="J636" t="s">
        <v>316</v>
      </c>
      <c r="K636" t="s">
        <v>505</v>
      </c>
      <c r="L636" t="s">
        <v>1405</v>
      </c>
      <c r="M636" t="s">
        <v>1394</v>
      </c>
      <c r="N636" t="s">
        <v>1427</v>
      </c>
      <c r="O636">
        <v>2024</v>
      </c>
    </row>
    <row r="637" spans="1:15" x14ac:dyDescent="0.25">
      <c r="A637" t="s">
        <v>1338</v>
      </c>
      <c r="B637" t="s">
        <v>1428</v>
      </c>
      <c r="C637" t="s">
        <v>235</v>
      </c>
      <c r="D637" t="s">
        <v>375</v>
      </c>
      <c r="E637" t="s">
        <v>461</v>
      </c>
      <c r="F637" t="s">
        <v>1352</v>
      </c>
      <c r="G637" t="s">
        <v>1429</v>
      </c>
      <c r="H637" t="s">
        <v>1354</v>
      </c>
      <c r="I637" t="s">
        <v>807</v>
      </c>
      <c r="J637" t="s">
        <v>303</v>
      </c>
      <c r="K637" t="s">
        <v>470</v>
      </c>
      <c r="L637" t="s">
        <v>1388</v>
      </c>
      <c r="M637" t="s">
        <v>1377</v>
      </c>
      <c r="N637" t="s">
        <v>1389</v>
      </c>
      <c r="O637">
        <v>2024</v>
      </c>
    </row>
    <row r="638" spans="1:15" x14ac:dyDescent="0.25">
      <c r="A638" t="s">
        <v>1338</v>
      </c>
      <c r="B638" t="s">
        <v>1430</v>
      </c>
      <c r="C638" t="s">
        <v>235</v>
      </c>
      <c r="D638" t="s">
        <v>759</v>
      </c>
      <c r="E638" t="s">
        <v>461</v>
      </c>
      <c r="F638" t="s">
        <v>1352</v>
      </c>
      <c r="G638" t="s">
        <v>1429</v>
      </c>
      <c r="H638" t="s">
        <v>1354</v>
      </c>
      <c r="I638" t="s">
        <v>807</v>
      </c>
      <c r="J638" t="s">
        <v>865</v>
      </c>
      <c r="K638" t="s">
        <v>746</v>
      </c>
      <c r="L638" t="s">
        <v>1368</v>
      </c>
      <c r="M638" t="s">
        <v>1369</v>
      </c>
      <c r="N638" t="s">
        <v>1431</v>
      </c>
      <c r="O638">
        <v>2024</v>
      </c>
    </row>
    <row r="639" spans="1:15" x14ac:dyDescent="0.25">
      <c r="A639" t="s">
        <v>1338</v>
      </c>
      <c r="B639" t="s">
        <v>1432</v>
      </c>
      <c r="C639" t="s">
        <v>820</v>
      </c>
      <c r="D639" t="s">
        <v>18</v>
      </c>
      <c r="E639" t="s">
        <v>585</v>
      </c>
      <c r="F639" t="s">
        <v>497</v>
      </c>
      <c r="G639" t="s">
        <v>1407</v>
      </c>
      <c r="H639" t="s">
        <v>1219</v>
      </c>
      <c r="I639" t="s">
        <v>389</v>
      </c>
      <c r="J639" t="s">
        <v>994</v>
      </c>
      <c r="K639" t="s">
        <v>689</v>
      </c>
      <c r="L639" t="s">
        <v>1433</v>
      </c>
      <c r="M639" t="s">
        <v>1434</v>
      </c>
      <c r="N639" t="s">
        <v>1435</v>
      </c>
      <c r="O639">
        <v>2024</v>
      </c>
    </row>
    <row r="640" spans="1:15" x14ac:dyDescent="0.25">
      <c r="A640" t="s">
        <v>1338</v>
      </c>
      <c r="B640" t="s">
        <v>1436</v>
      </c>
      <c r="C640" t="s">
        <v>820</v>
      </c>
      <c r="D640" t="s">
        <v>68</v>
      </c>
      <c r="E640" t="s">
        <v>585</v>
      </c>
      <c r="F640" t="s">
        <v>497</v>
      </c>
      <c r="G640" t="s">
        <v>1407</v>
      </c>
      <c r="H640" t="s">
        <v>1219</v>
      </c>
      <c r="I640" t="s">
        <v>389</v>
      </c>
      <c r="J640" t="s">
        <v>310</v>
      </c>
      <c r="K640" t="s">
        <v>546</v>
      </c>
      <c r="L640" t="s">
        <v>1408</v>
      </c>
      <c r="M640" t="s">
        <v>1409</v>
      </c>
      <c r="N640" t="s">
        <v>1437</v>
      </c>
      <c r="O640">
        <v>2024</v>
      </c>
    </row>
    <row r="641" spans="1:15" x14ac:dyDescent="0.25">
      <c r="A641" t="s">
        <v>1338</v>
      </c>
      <c r="B641" t="s">
        <v>1438</v>
      </c>
      <c r="C641" t="s">
        <v>496</v>
      </c>
      <c r="D641" t="s">
        <v>68</v>
      </c>
      <c r="E641" t="s">
        <v>585</v>
      </c>
      <c r="F641" t="s">
        <v>755</v>
      </c>
      <c r="G641" t="s">
        <v>1439</v>
      </c>
      <c r="H641" t="s">
        <v>1415</v>
      </c>
      <c r="I641" t="s">
        <v>44</v>
      </c>
      <c r="J641" t="s">
        <v>316</v>
      </c>
      <c r="K641" t="s">
        <v>479</v>
      </c>
      <c r="L641" t="s">
        <v>1405</v>
      </c>
      <c r="M641" t="s">
        <v>1394</v>
      </c>
      <c r="N641" t="s">
        <v>1427</v>
      </c>
      <c r="O641">
        <v>2024</v>
      </c>
    </row>
    <row r="642" spans="1:15" x14ac:dyDescent="0.25">
      <c r="A642" t="s">
        <v>1338</v>
      </c>
      <c r="B642" t="s">
        <v>1440</v>
      </c>
      <c r="C642" t="s">
        <v>496</v>
      </c>
      <c r="D642" t="s">
        <v>375</v>
      </c>
      <c r="E642" t="s">
        <v>585</v>
      </c>
      <c r="F642" t="s">
        <v>755</v>
      </c>
      <c r="G642" t="s">
        <v>1439</v>
      </c>
      <c r="H642" t="s">
        <v>1415</v>
      </c>
      <c r="I642" t="s">
        <v>44</v>
      </c>
      <c r="J642" t="s">
        <v>818</v>
      </c>
      <c r="K642" t="s">
        <v>494</v>
      </c>
      <c r="L642" t="s">
        <v>1393</v>
      </c>
      <c r="M642" t="s">
        <v>1398</v>
      </c>
      <c r="N642" t="s">
        <v>1441</v>
      </c>
      <c r="O642">
        <v>2024</v>
      </c>
    </row>
    <row r="643" spans="1:15" x14ac:dyDescent="0.25">
      <c r="A643" t="s">
        <v>1338</v>
      </c>
      <c r="B643" t="s">
        <v>1442</v>
      </c>
      <c r="C643" t="s">
        <v>764</v>
      </c>
      <c r="D643" t="s">
        <v>68</v>
      </c>
      <c r="E643" t="s">
        <v>585</v>
      </c>
      <c r="F643" t="s">
        <v>497</v>
      </c>
      <c r="G643" t="s">
        <v>1277</v>
      </c>
      <c r="H643" t="s">
        <v>1219</v>
      </c>
      <c r="I643" t="s">
        <v>389</v>
      </c>
      <c r="J643" t="s">
        <v>827</v>
      </c>
      <c r="K643" t="s">
        <v>489</v>
      </c>
      <c r="L643" t="s">
        <v>1443</v>
      </c>
      <c r="M643" t="s">
        <v>1412</v>
      </c>
      <c r="N643" t="s">
        <v>1413</v>
      </c>
      <c r="O643">
        <v>2024</v>
      </c>
    </row>
    <row r="644" spans="1:15" x14ac:dyDescent="0.25">
      <c r="A644" t="s">
        <v>1338</v>
      </c>
      <c r="B644" t="s">
        <v>1444</v>
      </c>
      <c r="C644" t="s">
        <v>764</v>
      </c>
      <c r="D644" t="s">
        <v>68</v>
      </c>
      <c r="E644" t="s">
        <v>585</v>
      </c>
      <c r="F644" t="s">
        <v>497</v>
      </c>
      <c r="G644" t="s">
        <v>1277</v>
      </c>
      <c r="H644" t="s">
        <v>1219</v>
      </c>
      <c r="I644" t="s">
        <v>389</v>
      </c>
      <c r="J644" t="s">
        <v>316</v>
      </c>
      <c r="K644" t="s">
        <v>505</v>
      </c>
      <c r="L644" t="s">
        <v>1402</v>
      </c>
      <c r="M644" t="s">
        <v>1445</v>
      </c>
      <c r="N644" t="s">
        <v>1446</v>
      </c>
      <c r="O644">
        <v>2024</v>
      </c>
    </row>
    <row r="645" spans="1:15" x14ac:dyDescent="0.25">
      <c r="A645" t="s">
        <v>1338</v>
      </c>
      <c r="B645" t="s">
        <v>1447</v>
      </c>
      <c r="C645" t="s">
        <v>421</v>
      </c>
      <c r="D645" t="s">
        <v>18</v>
      </c>
      <c r="E645" t="s">
        <v>585</v>
      </c>
      <c r="F645" t="s">
        <v>497</v>
      </c>
      <c r="G645" t="s">
        <v>487</v>
      </c>
      <c r="H645" t="s">
        <v>1219</v>
      </c>
      <c r="I645" t="s">
        <v>248</v>
      </c>
      <c r="J645" t="s">
        <v>787</v>
      </c>
      <c r="K645" t="s">
        <v>510</v>
      </c>
      <c r="L645" t="s">
        <v>1448</v>
      </c>
      <c r="M645" t="s">
        <v>1449</v>
      </c>
      <c r="N645" t="s">
        <v>1450</v>
      </c>
      <c r="O645">
        <v>2024</v>
      </c>
    </row>
    <row r="646" spans="1:15" x14ac:dyDescent="0.25">
      <c r="A646" t="s">
        <v>1338</v>
      </c>
      <c r="B646" t="s">
        <v>1451</v>
      </c>
      <c r="C646" t="s">
        <v>1017</v>
      </c>
      <c r="D646" t="s">
        <v>18</v>
      </c>
      <c r="E646" t="s">
        <v>585</v>
      </c>
      <c r="F646" t="s">
        <v>497</v>
      </c>
      <c r="G646" t="s">
        <v>1452</v>
      </c>
      <c r="H646" t="s">
        <v>1219</v>
      </c>
      <c r="I646" t="s">
        <v>248</v>
      </c>
      <c r="J646" t="s">
        <v>1453</v>
      </c>
      <c r="K646" t="s">
        <v>958</v>
      </c>
      <c r="L646" t="s">
        <v>1454</v>
      </c>
      <c r="M646" t="s">
        <v>1455</v>
      </c>
      <c r="N646" t="s">
        <v>1456</v>
      </c>
      <c r="O646">
        <v>2024</v>
      </c>
    </row>
    <row r="647" spans="1:15" x14ac:dyDescent="0.25">
      <c r="A647" t="s">
        <v>1338</v>
      </c>
      <c r="B647" t="s">
        <v>1457</v>
      </c>
      <c r="C647" t="s">
        <v>549</v>
      </c>
      <c r="D647" t="s">
        <v>68</v>
      </c>
      <c r="E647" t="s">
        <v>585</v>
      </c>
      <c r="F647" t="s">
        <v>497</v>
      </c>
      <c r="G647" t="s">
        <v>1049</v>
      </c>
      <c r="H647" t="s">
        <v>1219</v>
      </c>
      <c r="I647" t="s">
        <v>389</v>
      </c>
      <c r="J647" t="s">
        <v>1458</v>
      </c>
      <c r="K647" t="s">
        <v>529</v>
      </c>
      <c r="L647" t="s">
        <v>1408</v>
      </c>
      <c r="M647" t="s">
        <v>1459</v>
      </c>
      <c r="N647" t="s">
        <v>1437</v>
      </c>
      <c r="O647">
        <v>2024</v>
      </c>
    </row>
    <row r="648" spans="1:15" x14ac:dyDescent="0.25">
      <c r="A648" t="s">
        <v>1338</v>
      </c>
      <c r="B648" t="s">
        <v>1460</v>
      </c>
      <c r="C648" t="s">
        <v>549</v>
      </c>
      <c r="D648" t="s">
        <v>68</v>
      </c>
      <c r="E648" t="s">
        <v>585</v>
      </c>
      <c r="F648" t="s">
        <v>497</v>
      </c>
      <c r="G648" t="s">
        <v>1277</v>
      </c>
      <c r="H648" t="s">
        <v>1415</v>
      </c>
      <c r="I648" t="s">
        <v>389</v>
      </c>
      <c r="J648" t="s">
        <v>1461</v>
      </c>
      <c r="K648" t="s">
        <v>1462</v>
      </c>
      <c r="L648" t="s">
        <v>1411</v>
      </c>
      <c r="M648" t="s">
        <v>1463</v>
      </c>
      <c r="N648" t="s">
        <v>1464</v>
      </c>
      <c r="O648">
        <v>2024</v>
      </c>
    </row>
    <row r="649" spans="1:15" x14ac:dyDescent="0.25">
      <c r="A649" t="s">
        <v>1338</v>
      </c>
      <c r="B649" t="s">
        <v>1465</v>
      </c>
      <c r="C649" t="s">
        <v>496</v>
      </c>
      <c r="D649" t="s">
        <v>18</v>
      </c>
      <c r="E649" t="s">
        <v>307</v>
      </c>
      <c r="F649" t="s">
        <v>497</v>
      </c>
      <c r="G649" t="s">
        <v>1466</v>
      </c>
      <c r="H649" t="s">
        <v>1219</v>
      </c>
      <c r="I649" t="s">
        <v>389</v>
      </c>
      <c r="J649" t="s">
        <v>1453</v>
      </c>
      <c r="K649" t="s">
        <v>958</v>
      </c>
      <c r="L649" t="s">
        <v>1454</v>
      </c>
      <c r="M649" t="s">
        <v>1455</v>
      </c>
      <c r="N649" t="s">
        <v>1456</v>
      </c>
      <c r="O649">
        <v>2024</v>
      </c>
    </row>
    <row r="650" spans="1:15" x14ac:dyDescent="0.25">
      <c r="A650" t="s">
        <v>1338</v>
      </c>
      <c r="B650" t="s">
        <v>1467</v>
      </c>
      <c r="C650" t="s">
        <v>496</v>
      </c>
      <c r="D650" t="s">
        <v>68</v>
      </c>
      <c r="E650" t="s">
        <v>307</v>
      </c>
      <c r="F650" t="s">
        <v>497</v>
      </c>
      <c r="G650" t="s">
        <v>1466</v>
      </c>
      <c r="H650" t="s">
        <v>1219</v>
      </c>
      <c r="I650" t="s">
        <v>389</v>
      </c>
      <c r="J650" t="s">
        <v>936</v>
      </c>
      <c r="K650" t="s">
        <v>540</v>
      </c>
      <c r="L650" t="s">
        <v>1448</v>
      </c>
      <c r="M650" t="s">
        <v>1449</v>
      </c>
      <c r="N650" t="s">
        <v>1450</v>
      </c>
      <c r="O650">
        <v>2024</v>
      </c>
    </row>
    <row r="651" spans="1:15" x14ac:dyDescent="0.25">
      <c r="A651" t="s">
        <v>1338</v>
      </c>
      <c r="B651" t="s">
        <v>1468</v>
      </c>
      <c r="C651" t="s">
        <v>213</v>
      </c>
      <c r="D651" t="s">
        <v>162</v>
      </c>
      <c r="E651" t="s">
        <v>307</v>
      </c>
      <c r="F651" t="s">
        <v>497</v>
      </c>
      <c r="G651" t="s">
        <v>1469</v>
      </c>
      <c r="H651" t="s">
        <v>1219</v>
      </c>
      <c r="I651" t="s">
        <v>248</v>
      </c>
      <c r="J651" t="s">
        <v>1280</v>
      </c>
      <c r="K651" t="s">
        <v>697</v>
      </c>
      <c r="L651" t="s">
        <v>1470</v>
      </c>
      <c r="M651" t="s">
        <v>1471</v>
      </c>
      <c r="N651" t="s">
        <v>1472</v>
      </c>
      <c r="O651">
        <v>2024</v>
      </c>
    </row>
    <row r="652" spans="1:15" x14ac:dyDescent="0.25">
      <c r="A652" t="s">
        <v>1338</v>
      </c>
      <c r="B652" t="s">
        <v>1473</v>
      </c>
      <c r="C652" t="s">
        <v>421</v>
      </c>
      <c r="D652" t="s">
        <v>18</v>
      </c>
      <c r="E652" t="s">
        <v>307</v>
      </c>
      <c r="F652" t="s">
        <v>497</v>
      </c>
      <c r="G652" t="s">
        <v>1452</v>
      </c>
      <c r="H652" t="s">
        <v>1219</v>
      </c>
      <c r="I652" t="s">
        <v>389</v>
      </c>
      <c r="J652" t="s">
        <v>787</v>
      </c>
      <c r="K652" t="s">
        <v>510</v>
      </c>
      <c r="L652" t="s">
        <v>1448</v>
      </c>
      <c r="M652" t="s">
        <v>1474</v>
      </c>
      <c r="N652" t="s">
        <v>1475</v>
      </c>
      <c r="O652">
        <v>2024</v>
      </c>
    </row>
    <row r="653" spans="1:15" x14ac:dyDescent="0.25">
      <c r="A653" t="s">
        <v>1338</v>
      </c>
      <c r="B653" t="s">
        <v>1476</v>
      </c>
      <c r="C653" t="s">
        <v>421</v>
      </c>
      <c r="D653" t="s">
        <v>68</v>
      </c>
      <c r="E653" t="s">
        <v>307</v>
      </c>
      <c r="F653" t="s">
        <v>497</v>
      </c>
      <c r="G653" t="s">
        <v>1452</v>
      </c>
      <c r="H653" t="s">
        <v>1219</v>
      </c>
      <c r="I653" t="s">
        <v>389</v>
      </c>
      <c r="J653" t="s">
        <v>994</v>
      </c>
      <c r="K653" t="s">
        <v>689</v>
      </c>
      <c r="L653" t="s">
        <v>1477</v>
      </c>
      <c r="M653" t="s">
        <v>1478</v>
      </c>
      <c r="N653" t="s">
        <v>1479</v>
      </c>
      <c r="O653">
        <v>2024</v>
      </c>
    </row>
    <row r="654" spans="1:15" x14ac:dyDescent="0.25">
      <c r="A654" t="s">
        <v>1338</v>
      </c>
      <c r="B654" t="s">
        <v>1480</v>
      </c>
      <c r="C654" t="s">
        <v>559</v>
      </c>
      <c r="D654" t="s">
        <v>18</v>
      </c>
      <c r="E654" t="s">
        <v>307</v>
      </c>
      <c r="F654" t="s">
        <v>497</v>
      </c>
      <c r="G654" t="s">
        <v>1481</v>
      </c>
      <c r="H654" t="s">
        <v>1219</v>
      </c>
      <c r="I654" t="s">
        <v>389</v>
      </c>
      <c r="J654" t="s">
        <v>1453</v>
      </c>
      <c r="K654" t="s">
        <v>958</v>
      </c>
      <c r="L654" t="s">
        <v>1454</v>
      </c>
      <c r="M654" t="s">
        <v>1455</v>
      </c>
      <c r="N654" t="s">
        <v>1456</v>
      </c>
      <c r="O654">
        <v>2024</v>
      </c>
    </row>
    <row r="655" spans="1:15" x14ac:dyDescent="0.25">
      <c r="A655" t="s">
        <v>1338</v>
      </c>
      <c r="B655" t="s">
        <v>1482</v>
      </c>
      <c r="C655" t="s">
        <v>559</v>
      </c>
      <c r="D655" t="s">
        <v>68</v>
      </c>
      <c r="E655" t="s">
        <v>307</v>
      </c>
      <c r="F655" t="s">
        <v>497</v>
      </c>
      <c r="G655" t="s">
        <v>1481</v>
      </c>
      <c r="H655" t="s">
        <v>1219</v>
      </c>
      <c r="I655" t="s">
        <v>389</v>
      </c>
      <c r="J655" t="s">
        <v>936</v>
      </c>
      <c r="K655" t="s">
        <v>540</v>
      </c>
      <c r="L655" t="s">
        <v>1448</v>
      </c>
      <c r="M655" t="s">
        <v>1449</v>
      </c>
      <c r="N655" t="s">
        <v>1450</v>
      </c>
      <c r="O655">
        <v>2024</v>
      </c>
    </row>
    <row r="656" spans="1:15" x14ac:dyDescent="0.25">
      <c r="A656" t="s">
        <v>1338</v>
      </c>
      <c r="B656" t="s">
        <v>1483</v>
      </c>
      <c r="C656" t="s">
        <v>590</v>
      </c>
      <c r="D656" t="s">
        <v>18</v>
      </c>
      <c r="E656" t="s">
        <v>307</v>
      </c>
      <c r="F656" t="s">
        <v>497</v>
      </c>
      <c r="G656" t="s">
        <v>1466</v>
      </c>
      <c r="H656" t="s">
        <v>1219</v>
      </c>
      <c r="I656" t="s">
        <v>389</v>
      </c>
      <c r="J656" t="s">
        <v>1484</v>
      </c>
      <c r="K656" t="s">
        <v>1485</v>
      </c>
      <c r="L656" t="s">
        <v>1486</v>
      </c>
      <c r="M656" t="s">
        <v>1487</v>
      </c>
      <c r="N656" t="s">
        <v>1488</v>
      </c>
      <c r="O656">
        <v>2024</v>
      </c>
    </row>
    <row r="657" spans="1:15" x14ac:dyDescent="0.25">
      <c r="A657" t="s">
        <v>1338</v>
      </c>
      <c r="B657" t="s">
        <v>1489</v>
      </c>
      <c r="C657" t="s">
        <v>213</v>
      </c>
      <c r="D657" t="s">
        <v>18</v>
      </c>
      <c r="E657" t="s">
        <v>307</v>
      </c>
      <c r="F657" t="s">
        <v>755</v>
      </c>
      <c r="G657" t="s">
        <v>1452</v>
      </c>
      <c r="H657" t="s">
        <v>1219</v>
      </c>
      <c r="I657" t="s">
        <v>750</v>
      </c>
      <c r="J657" t="s">
        <v>787</v>
      </c>
      <c r="K657" t="s">
        <v>510</v>
      </c>
      <c r="L657" t="s">
        <v>1448</v>
      </c>
      <c r="M657" t="s">
        <v>1474</v>
      </c>
      <c r="N657" t="s">
        <v>1475</v>
      </c>
      <c r="O657">
        <v>2023</v>
      </c>
    </row>
    <row r="658" spans="1:15" x14ac:dyDescent="0.25">
      <c r="A658" t="s">
        <v>1338</v>
      </c>
      <c r="B658" t="s">
        <v>1490</v>
      </c>
      <c r="C658" t="s">
        <v>213</v>
      </c>
      <c r="D658" t="s">
        <v>68</v>
      </c>
      <c r="E658" t="s">
        <v>307</v>
      </c>
      <c r="F658" t="s">
        <v>755</v>
      </c>
      <c r="G658" t="s">
        <v>1452</v>
      </c>
      <c r="H658" t="s">
        <v>1219</v>
      </c>
      <c r="I658" t="s">
        <v>750</v>
      </c>
      <c r="J658" t="s">
        <v>994</v>
      </c>
      <c r="K658" t="s">
        <v>689</v>
      </c>
      <c r="L658" t="s">
        <v>1477</v>
      </c>
      <c r="M658" t="s">
        <v>1478</v>
      </c>
      <c r="N658" t="s">
        <v>1479</v>
      </c>
      <c r="O658">
        <v>2023</v>
      </c>
    </row>
    <row r="659" spans="1:15" x14ac:dyDescent="0.25">
      <c r="A659" t="s">
        <v>1338</v>
      </c>
      <c r="B659" t="s">
        <v>1491</v>
      </c>
      <c r="C659" t="s">
        <v>549</v>
      </c>
      <c r="D659" t="s">
        <v>18</v>
      </c>
      <c r="E659" t="s">
        <v>585</v>
      </c>
      <c r="F659" t="s">
        <v>497</v>
      </c>
      <c r="G659" t="s">
        <v>1407</v>
      </c>
      <c r="H659" t="s">
        <v>1415</v>
      </c>
      <c r="I659" t="s">
        <v>389</v>
      </c>
      <c r="J659" t="s">
        <v>1458</v>
      </c>
      <c r="K659" t="s">
        <v>529</v>
      </c>
      <c r="L659" t="s">
        <v>1408</v>
      </c>
      <c r="M659" t="s">
        <v>1459</v>
      </c>
      <c r="N659" t="s">
        <v>1437</v>
      </c>
      <c r="O659">
        <v>2024</v>
      </c>
    </row>
    <row r="660" spans="1:15" x14ac:dyDescent="0.25">
      <c r="A660" t="s">
        <v>1338</v>
      </c>
      <c r="B660" t="s">
        <v>1492</v>
      </c>
      <c r="C660" t="s">
        <v>387</v>
      </c>
      <c r="D660" t="s">
        <v>18</v>
      </c>
      <c r="E660" t="s">
        <v>585</v>
      </c>
      <c r="F660" t="s">
        <v>497</v>
      </c>
      <c r="G660" t="s">
        <v>1277</v>
      </c>
      <c r="H660" t="s">
        <v>1415</v>
      </c>
      <c r="I660" t="s">
        <v>389</v>
      </c>
      <c r="J660" t="s">
        <v>310</v>
      </c>
      <c r="K660" t="s">
        <v>546</v>
      </c>
      <c r="L660" t="s">
        <v>1411</v>
      </c>
      <c r="M660" t="s">
        <v>1409</v>
      </c>
      <c r="N660" t="s">
        <v>1493</v>
      </c>
      <c r="O660">
        <v>2024</v>
      </c>
    </row>
    <row r="661" spans="1:15" x14ac:dyDescent="0.25">
      <c r="A661" t="s">
        <v>1338</v>
      </c>
      <c r="B661" t="s">
        <v>1494</v>
      </c>
      <c r="C661" t="s">
        <v>387</v>
      </c>
      <c r="D661" t="s">
        <v>68</v>
      </c>
      <c r="E661" t="s">
        <v>585</v>
      </c>
      <c r="F661" t="s">
        <v>497</v>
      </c>
      <c r="G661" t="s">
        <v>1277</v>
      </c>
      <c r="H661" t="s">
        <v>1415</v>
      </c>
      <c r="I661" t="s">
        <v>389</v>
      </c>
      <c r="J661" t="s">
        <v>827</v>
      </c>
      <c r="K661" t="s">
        <v>531</v>
      </c>
      <c r="L661" t="s">
        <v>1443</v>
      </c>
      <c r="M661" t="s">
        <v>1412</v>
      </c>
      <c r="N661" t="s">
        <v>1495</v>
      </c>
      <c r="O661">
        <v>2024</v>
      </c>
    </row>
    <row r="662" spans="1:15" x14ac:dyDescent="0.25">
      <c r="A662" t="s">
        <v>1338</v>
      </c>
      <c r="B662" t="s">
        <v>1496</v>
      </c>
      <c r="C662" t="s">
        <v>421</v>
      </c>
      <c r="D662" t="s">
        <v>18</v>
      </c>
      <c r="E662" t="s">
        <v>585</v>
      </c>
      <c r="F662" t="s">
        <v>497</v>
      </c>
      <c r="G662" t="s">
        <v>487</v>
      </c>
      <c r="H662" t="s">
        <v>1219</v>
      </c>
      <c r="I662" t="s">
        <v>248</v>
      </c>
      <c r="J662" t="s">
        <v>936</v>
      </c>
      <c r="K662" t="s">
        <v>540</v>
      </c>
      <c r="L662" t="s">
        <v>1448</v>
      </c>
      <c r="M662" t="s">
        <v>1474</v>
      </c>
      <c r="N662" t="s">
        <v>1475</v>
      </c>
      <c r="O662">
        <v>2024</v>
      </c>
    </row>
    <row r="663" spans="1:15" x14ac:dyDescent="0.25">
      <c r="A663" t="s">
        <v>1338</v>
      </c>
      <c r="B663" t="s">
        <v>1497</v>
      </c>
      <c r="C663" t="s">
        <v>474</v>
      </c>
      <c r="D663" t="s">
        <v>68</v>
      </c>
      <c r="E663" t="s">
        <v>585</v>
      </c>
      <c r="F663" t="s">
        <v>1133</v>
      </c>
      <c r="G663" t="s">
        <v>1498</v>
      </c>
      <c r="H663" t="s">
        <v>1415</v>
      </c>
      <c r="I663" t="s">
        <v>379</v>
      </c>
      <c r="J663" t="s">
        <v>1499</v>
      </c>
      <c r="K663" t="s">
        <v>1063</v>
      </c>
      <c r="L663" t="s">
        <v>1500</v>
      </c>
      <c r="M663" t="s">
        <v>1501</v>
      </c>
      <c r="N663" t="s">
        <v>1502</v>
      </c>
      <c r="O663">
        <v>2024</v>
      </c>
    </row>
    <row r="664" spans="1:15" x14ac:dyDescent="0.25">
      <c r="A664" t="s">
        <v>1338</v>
      </c>
      <c r="B664" t="s">
        <v>1503</v>
      </c>
      <c r="C664" t="s">
        <v>474</v>
      </c>
      <c r="D664" t="s">
        <v>375</v>
      </c>
      <c r="E664" t="s">
        <v>585</v>
      </c>
      <c r="F664" t="s">
        <v>1133</v>
      </c>
      <c r="G664" t="s">
        <v>1498</v>
      </c>
      <c r="H664" t="s">
        <v>1415</v>
      </c>
      <c r="I664" t="s">
        <v>379</v>
      </c>
      <c r="J664" t="s">
        <v>796</v>
      </c>
      <c r="K664" t="s">
        <v>1504</v>
      </c>
      <c r="L664" t="s">
        <v>1348</v>
      </c>
      <c r="M664" t="s">
        <v>1349</v>
      </c>
      <c r="N664" t="s">
        <v>1505</v>
      </c>
      <c r="O664">
        <v>2024</v>
      </c>
    </row>
    <row r="665" spans="1:15" x14ac:dyDescent="0.25">
      <c r="A665" t="s">
        <v>1338</v>
      </c>
      <c r="B665" t="s">
        <v>1506</v>
      </c>
      <c r="C665" t="s">
        <v>1017</v>
      </c>
      <c r="D665" t="s">
        <v>68</v>
      </c>
      <c r="E665" t="s">
        <v>585</v>
      </c>
      <c r="F665" t="s">
        <v>1152</v>
      </c>
      <c r="G665" t="s">
        <v>1067</v>
      </c>
      <c r="H665" t="s">
        <v>1219</v>
      </c>
      <c r="I665" t="s">
        <v>44</v>
      </c>
      <c r="J665" t="s">
        <v>297</v>
      </c>
      <c r="K665" t="s">
        <v>1372</v>
      </c>
      <c r="L665" t="s">
        <v>1384</v>
      </c>
      <c r="M665" t="s">
        <v>1507</v>
      </c>
      <c r="N665" t="s">
        <v>1272</v>
      </c>
      <c r="O665">
        <v>2024</v>
      </c>
    </row>
    <row r="666" spans="1:15" x14ac:dyDescent="0.25">
      <c r="A666" t="s">
        <v>1338</v>
      </c>
      <c r="B666" t="s">
        <v>1508</v>
      </c>
      <c r="C666" t="s">
        <v>1017</v>
      </c>
      <c r="D666" t="s">
        <v>375</v>
      </c>
      <c r="E666" t="s">
        <v>585</v>
      </c>
      <c r="F666" t="s">
        <v>1152</v>
      </c>
      <c r="G666" t="s">
        <v>1067</v>
      </c>
      <c r="H666" t="s">
        <v>1219</v>
      </c>
      <c r="I666" t="s">
        <v>44</v>
      </c>
      <c r="J666" t="s">
        <v>865</v>
      </c>
      <c r="K666" t="s">
        <v>866</v>
      </c>
      <c r="L666" t="s">
        <v>1355</v>
      </c>
      <c r="M666" t="s">
        <v>1356</v>
      </c>
      <c r="N666" t="s">
        <v>1328</v>
      </c>
      <c r="O666">
        <v>2024</v>
      </c>
    </row>
    <row r="667" spans="1:15" x14ac:dyDescent="0.25">
      <c r="A667" t="s">
        <v>1338</v>
      </c>
      <c r="B667" t="s">
        <v>1509</v>
      </c>
      <c r="C667" t="s">
        <v>421</v>
      </c>
      <c r="D667" t="s">
        <v>68</v>
      </c>
      <c r="E667" t="s">
        <v>585</v>
      </c>
      <c r="F667" t="s">
        <v>527</v>
      </c>
      <c r="G667" t="s">
        <v>1078</v>
      </c>
      <c r="H667" t="s">
        <v>1307</v>
      </c>
      <c r="I667" t="s">
        <v>44</v>
      </c>
      <c r="J667" t="s">
        <v>1070</v>
      </c>
      <c r="K667" t="s">
        <v>470</v>
      </c>
      <c r="L667" t="s">
        <v>1388</v>
      </c>
      <c r="M667" t="s">
        <v>1510</v>
      </c>
      <c r="N667" t="s">
        <v>1378</v>
      </c>
      <c r="O667">
        <v>2024</v>
      </c>
    </row>
    <row r="668" spans="1:15" x14ac:dyDescent="0.25">
      <c r="A668" t="s">
        <v>1338</v>
      </c>
      <c r="B668" t="s">
        <v>1428</v>
      </c>
      <c r="C668" t="s">
        <v>421</v>
      </c>
      <c r="D668" t="s">
        <v>375</v>
      </c>
      <c r="E668" t="s">
        <v>585</v>
      </c>
      <c r="F668" t="s">
        <v>527</v>
      </c>
      <c r="G668" t="s">
        <v>1078</v>
      </c>
      <c r="H668" t="s">
        <v>1307</v>
      </c>
      <c r="I668" t="s">
        <v>44</v>
      </c>
      <c r="J668" t="s">
        <v>861</v>
      </c>
      <c r="K668" t="s">
        <v>837</v>
      </c>
      <c r="L668" t="s">
        <v>1358</v>
      </c>
      <c r="M668" t="s">
        <v>1359</v>
      </c>
      <c r="N668" t="s">
        <v>1328</v>
      </c>
      <c r="O668">
        <v>2024</v>
      </c>
    </row>
    <row r="669" spans="1:15" x14ac:dyDescent="0.25">
      <c r="A669" t="s">
        <v>1338</v>
      </c>
      <c r="B669" t="s">
        <v>1511</v>
      </c>
      <c r="C669" t="s">
        <v>1512</v>
      </c>
      <c r="D669" t="s">
        <v>162</v>
      </c>
      <c r="E669" t="s">
        <v>307</v>
      </c>
      <c r="F669" t="s">
        <v>307</v>
      </c>
      <c r="G669" t="s">
        <v>1037</v>
      </c>
      <c r="H669" t="s">
        <v>1513</v>
      </c>
      <c r="I669" t="s">
        <v>1100</v>
      </c>
      <c r="J669" t="s">
        <v>1514</v>
      </c>
      <c r="K669" t="s">
        <v>489</v>
      </c>
      <c r="L669" t="s">
        <v>1433</v>
      </c>
      <c r="M669" t="s">
        <v>1434</v>
      </c>
      <c r="N669" t="s">
        <v>1515</v>
      </c>
      <c r="O669">
        <v>2021</v>
      </c>
    </row>
    <row r="670" spans="1:15" x14ac:dyDescent="0.25">
      <c r="A670" t="s">
        <v>1338</v>
      </c>
      <c r="B670" t="s">
        <v>1094</v>
      </c>
      <c r="C670" t="s">
        <v>1512</v>
      </c>
      <c r="D670" t="s">
        <v>18</v>
      </c>
      <c r="E670" t="s">
        <v>307</v>
      </c>
      <c r="F670" t="s">
        <v>307</v>
      </c>
      <c r="G670" t="s">
        <v>1037</v>
      </c>
      <c r="H670" t="s">
        <v>1513</v>
      </c>
      <c r="I670" t="s">
        <v>1100</v>
      </c>
      <c r="J670" t="s">
        <v>818</v>
      </c>
      <c r="K670" t="s">
        <v>479</v>
      </c>
      <c r="L670" t="s">
        <v>1411</v>
      </c>
      <c r="M670" t="s">
        <v>1463</v>
      </c>
      <c r="N670" t="s">
        <v>1295</v>
      </c>
      <c r="O670">
        <v>2021</v>
      </c>
    </row>
    <row r="671" spans="1:15" x14ac:dyDescent="0.25">
      <c r="A671" t="s">
        <v>1338</v>
      </c>
      <c r="B671" t="s">
        <v>1516</v>
      </c>
      <c r="C671" t="s">
        <v>1517</v>
      </c>
      <c r="D671" t="s">
        <v>18</v>
      </c>
      <c r="E671" t="s">
        <v>307</v>
      </c>
      <c r="F671" t="s">
        <v>307</v>
      </c>
      <c r="G671" t="s">
        <v>487</v>
      </c>
      <c r="H671" t="s">
        <v>1518</v>
      </c>
      <c r="I671" t="s">
        <v>1519</v>
      </c>
      <c r="J671" t="s">
        <v>1088</v>
      </c>
      <c r="K671" t="s">
        <v>465</v>
      </c>
      <c r="L671" t="s">
        <v>1393</v>
      </c>
      <c r="M671" t="s">
        <v>1520</v>
      </c>
      <c r="N671" t="s">
        <v>1521</v>
      </c>
      <c r="O671">
        <v>2023</v>
      </c>
    </row>
    <row r="672" spans="1:15" x14ac:dyDescent="0.25">
      <c r="A672" t="s">
        <v>1338</v>
      </c>
      <c r="B672" t="s">
        <v>1096</v>
      </c>
      <c r="C672" t="s">
        <v>1517</v>
      </c>
      <c r="D672" t="s">
        <v>68</v>
      </c>
      <c r="E672" t="s">
        <v>307</v>
      </c>
      <c r="F672" t="s">
        <v>307</v>
      </c>
      <c r="G672" t="s">
        <v>487</v>
      </c>
      <c r="H672" t="s">
        <v>1518</v>
      </c>
      <c r="I672" t="s">
        <v>1519</v>
      </c>
      <c r="J672" t="s">
        <v>1070</v>
      </c>
      <c r="K672" t="s">
        <v>1102</v>
      </c>
      <c r="L672" t="s">
        <v>1522</v>
      </c>
      <c r="M672" t="s">
        <v>1385</v>
      </c>
      <c r="N672" t="s">
        <v>1272</v>
      </c>
      <c r="O672">
        <v>2023</v>
      </c>
    </row>
    <row r="673" spans="1:15" x14ac:dyDescent="0.25">
      <c r="A673" t="s">
        <v>1338</v>
      </c>
      <c r="B673" t="s">
        <v>1523</v>
      </c>
      <c r="C673" t="s">
        <v>1524</v>
      </c>
      <c r="D673" t="s">
        <v>162</v>
      </c>
      <c r="E673" t="s">
        <v>307</v>
      </c>
      <c r="F673" t="s">
        <v>307</v>
      </c>
      <c r="G673" t="s">
        <v>1466</v>
      </c>
      <c r="H673" t="s">
        <v>1513</v>
      </c>
      <c r="I673" t="s">
        <v>1100</v>
      </c>
      <c r="J673" t="s">
        <v>827</v>
      </c>
      <c r="K673" t="s">
        <v>546</v>
      </c>
      <c r="L673" t="s">
        <v>1477</v>
      </c>
      <c r="M673" t="s">
        <v>1478</v>
      </c>
      <c r="N673" t="s">
        <v>1304</v>
      </c>
      <c r="O673">
        <v>2023</v>
      </c>
    </row>
    <row r="674" spans="1:15" x14ac:dyDescent="0.25">
      <c r="A674" t="s">
        <v>1338</v>
      </c>
      <c r="B674" t="s">
        <v>1525</v>
      </c>
      <c r="C674" t="s">
        <v>1524</v>
      </c>
      <c r="D674" t="s">
        <v>18</v>
      </c>
      <c r="E674" t="s">
        <v>307</v>
      </c>
      <c r="F674" t="s">
        <v>307</v>
      </c>
      <c r="G674" t="s">
        <v>1466</v>
      </c>
      <c r="H674" t="s">
        <v>1513</v>
      </c>
      <c r="I674" t="s">
        <v>1100</v>
      </c>
      <c r="J674" t="s">
        <v>1526</v>
      </c>
      <c r="K674" t="s">
        <v>531</v>
      </c>
      <c r="L674" t="s">
        <v>1408</v>
      </c>
      <c r="M674" t="s">
        <v>1459</v>
      </c>
      <c r="N674" t="s">
        <v>1527</v>
      </c>
      <c r="O674">
        <v>2023</v>
      </c>
    </row>
    <row r="675" spans="1:15" x14ac:dyDescent="0.25">
      <c r="A675" t="s">
        <v>1338</v>
      </c>
      <c r="B675" t="s">
        <v>1528</v>
      </c>
      <c r="C675" t="s">
        <v>1529</v>
      </c>
      <c r="D675" t="s">
        <v>162</v>
      </c>
      <c r="E675" t="s">
        <v>307</v>
      </c>
      <c r="F675" t="s">
        <v>475</v>
      </c>
      <c r="G675" t="s">
        <v>1059</v>
      </c>
      <c r="H675" t="s">
        <v>1530</v>
      </c>
      <c r="I675" t="s">
        <v>338</v>
      </c>
      <c r="J675" t="s">
        <v>297</v>
      </c>
      <c r="K675" t="s">
        <v>917</v>
      </c>
      <c r="L675" t="s">
        <v>1416</v>
      </c>
      <c r="M675" t="s">
        <v>1531</v>
      </c>
      <c r="N675" t="s">
        <v>1386</v>
      </c>
      <c r="O675">
        <v>2022</v>
      </c>
    </row>
    <row r="676" spans="1:15" x14ac:dyDescent="0.25">
      <c r="A676" t="s">
        <v>1338</v>
      </c>
      <c r="B676" t="s">
        <v>1532</v>
      </c>
      <c r="C676" t="s">
        <v>1529</v>
      </c>
      <c r="D676" t="s">
        <v>18</v>
      </c>
      <c r="E676" t="s">
        <v>307</v>
      </c>
      <c r="F676" t="s">
        <v>475</v>
      </c>
      <c r="G676" t="s">
        <v>1059</v>
      </c>
      <c r="H676" t="s">
        <v>1530</v>
      </c>
      <c r="I676" t="s">
        <v>338</v>
      </c>
      <c r="J676" t="s">
        <v>303</v>
      </c>
      <c r="K676" t="s">
        <v>1533</v>
      </c>
      <c r="L676" t="s">
        <v>1388</v>
      </c>
      <c r="M676" t="s">
        <v>1510</v>
      </c>
      <c r="N676" t="s">
        <v>1275</v>
      </c>
      <c r="O676">
        <v>2022</v>
      </c>
    </row>
    <row r="677" spans="1:15" x14ac:dyDescent="0.25">
      <c r="A677" t="s">
        <v>1338</v>
      </c>
      <c r="B677" t="s">
        <v>1534</v>
      </c>
      <c r="C677" t="s">
        <v>1535</v>
      </c>
      <c r="D677" t="s">
        <v>256</v>
      </c>
      <c r="E677" t="s">
        <v>508</v>
      </c>
      <c r="F677" t="s">
        <v>307</v>
      </c>
      <c r="G677" t="s">
        <v>1536</v>
      </c>
      <c r="H677" t="s">
        <v>1537</v>
      </c>
      <c r="I677" t="s">
        <v>688</v>
      </c>
      <c r="J677" t="s">
        <v>994</v>
      </c>
      <c r="K677" t="s">
        <v>540</v>
      </c>
      <c r="L677" t="s">
        <v>1454</v>
      </c>
      <c r="M677" t="s">
        <v>1455</v>
      </c>
      <c r="N677" t="s">
        <v>1456</v>
      </c>
      <c r="O677">
        <v>2022</v>
      </c>
    </row>
    <row r="678" spans="1:15" x14ac:dyDescent="0.25">
      <c r="A678" t="s">
        <v>1338</v>
      </c>
      <c r="B678" t="s">
        <v>1538</v>
      </c>
      <c r="C678" t="s">
        <v>1535</v>
      </c>
      <c r="D678" t="s">
        <v>162</v>
      </c>
      <c r="E678" t="s">
        <v>508</v>
      </c>
      <c r="F678" t="s">
        <v>307</v>
      </c>
      <c r="G678" t="s">
        <v>1536</v>
      </c>
      <c r="H678" t="s">
        <v>1537</v>
      </c>
      <c r="I678" t="s">
        <v>688</v>
      </c>
      <c r="J678" t="s">
        <v>310</v>
      </c>
      <c r="K678" t="s">
        <v>529</v>
      </c>
      <c r="L678" t="s">
        <v>1477</v>
      </c>
      <c r="M678" t="s">
        <v>1449</v>
      </c>
      <c r="N678" t="s">
        <v>1450</v>
      </c>
      <c r="O678">
        <v>2022</v>
      </c>
    </row>
    <row r="679" spans="1:15" x14ac:dyDescent="0.25">
      <c r="A679" t="s">
        <v>1338</v>
      </c>
      <c r="B679" t="s">
        <v>1539</v>
      </c>
      <c r="C679" t="s">
        <v>1512</v>
      </c>
      <c r="D679" t="s">
        <v>162</v>
      </c>
      <c r="E679" t="s">
        <v>307</v>
      </c>
      <c r="F679" t="s">
        <v>307</v>
      </c>
      <c r="G679" t="s">
        <v>1037</v>
      </c>
      <c r="H679" t="s">
        <v>1513</v>
      </c>
      <c r="I679" t="s">
        <v>1100</v>
      </c>
      <c r="J679" t="s">
        <v>1540</v>
      </c>
      <c r="K679" t="s">
        <v>1462</v>
      </c>
      <c r="L679" t="s">
        <v>1541</v>
      </c>
      <c r="M679" t="s">
        <v>1434</v>
      </c>
      <c r="N679" t="s">
        <v>1542</v>
      </c>
      <c r="O679">
        <v>2022</v>
      </c>
    </row>
    <row r="680" spans="1:15" x14ac:dyDescent="0.25">
      <c r="A680" t="s">
        <v>1338</v>
      </c>
      <c r="B680" t="s">
        <v>1543</v>
      </c>
      <c r="C680" t="s">
        <v>1512</v>
      </c>
      <c r="D680" t="s">
        <v>18</v>
      </c>
      <c r="E680" t="s">
        <v>307</v>
      </c>
      <c r="F680" t="s">
        <v>307</v>
      </c>
      <c r="G680" t="s">
        <v>1037</v>
      </c>
      <c r="H680" t="s">
        <v>1513</v>
      </c>
      <c r="I680" t="s">
        <v>1100</v>
      </c>
      <c r="J680" t="s">
        <v>1106</v>
      </c>
      <c r="K680" t="s">
        <v>505</v>
      </c>
      <c r="L680" t="s">
        <v>1544</v>
      </c>
      <c r="M680" t="s">
        <v>1409</v>
      </c>
      <c r="N680" t="s">
        <v>1298</v>
      </c>
      <c r="O680">
        <v>2022</v>
      </c>
    </row>
    <row r="681" spans="1:15" x14ac:dyDescent="0.25">
      <c r="A681" t="s">
        <v>1338</v>
      </c>
      <c r="B681" t="s">
        <v>1545</v>
      </c>
      <c r="C681" t="s">
        <v>1546</v>
      </c>
      <c r="D681" t="s">
        <v>162</v>
      </c>
      <c r="E681" t="s">
        <v>307</v>
      </c>
      <c r="F681" t="s">
        <v>307</v>
      </c>
      <c r="G681" t="s">
        <v>1466</v>
      </c>
      <c r="H681" t="s">
        <v>1547</v>
      </c>
      <c r="I681" t="s">
        <v>693</v>
      </c>
      <c r="J681" t="s">
        <v>316</v>
      </c>
      <c r="K681" t="s">
        <v>531</v>
      </c>
      <c r="L681" t="s">
        <v>1433</v>
      </c>
      <c r="M681" t="s">
        <v>1459</v>
      </c>
      <c r="N681" t="s">
        <v>1527</v>
      </c>
      <c r="O681">
        <v>2024</v>
      </c>
    </row>
    <row r="682" spans="1:15" x14ac:dyDescent="0.25">
      <c r="A682" t="s">
        <v>1338</v>
      </c>
      <c r="B682" t="s">
        <v>1548</v>
      </c>
      <c r="C682" t="s">
        <v>1546</v>
      </c>
      <c r="D682" t="s">
        <v>18</v>
      </c>
      <c r="E682" t="s">
        <v>307</v>
      </c>
      <c r="F682" t="s">
        <v>307</v>
      </c>
      <c r="G682" t="s">
        <v>1466</v>
      </c>
      <c r="H682" t="s">
        <v>1547</v>
      </c>
      <c r="I682" t="s">
        <v>693</v>
      </c>
      <c r="J682" t="s">
        <v>818</v>
      </c>
      <c r="K682" t="s">
        <v>479</v>
      </c>
      <c r="L682" t="s">
        <v>1411</v>
      </c>
      <c r="M682" t="s">
        <v>1463</v>
      </c>
      <c r="N682" t="s">
        <v>1295</v>
      </c>
      <c r="O682">
        <v>2024</v>
      </c>
    </row>
    <row r="683" spans="1:15" x14ac:dyDescent="0.25">
      <c r="A683" t="s">
        <v>372</v>
      </c>
      <c r="B683" t="s">
        <v>373</v>
      </c>
      <c r="C683" t="s">
        <v>374</v>
      </c>
      <c r="D683" t="s">
        <v>375</v>
      </c>
      <c r="E683" t="s">
        <v>19</v>
      </c>
      <c r="F683" t="s">
        <v>376</v>
      </c>
      <c r="G683" t="s">
        <v>377</v>
      </c>
      <c r="H683" t="s">
        <v>378</v>
      </c>
      <c r="I683" t="s">
        <v>379</v>
      </c>
      <c r="J683" t="s">
        <v>380</v>
      </c>
      <c r="K683" t="s">
        <v>381</v>
      </c>
      <c r="L683" t="s">
        <v>76</v>
      </c>
      <c r="M683" t="s">
        <v>88</v>
      </c>
      <c r="N683" t="s">
        <v>382</v>
      </c>
      <c r="O683">
        <v>2024</v>
      </c>
    </row>
    <row r="684" spans="1:15" x14ac:dyDescent="0.25">
      <c r="A684" t="s">
        <v>372</v>
      </c>
      <c r="B684" t="s">
        <v>383</v>
      </c>
      <c r="C684" t="s">
        <v>374</v>
      </c>
      <c r="D684" t="s">
        <v>375</v>
      </c>
      <c r="E684" t="s">
        <v>19</v>
      </c>
      <c r="F684" t="s">
        <v>376</v>
      </c>
      <c r="G684" t="s">
        <v>377</v>
      </c>
      <c r="H684" t="s">
        <v>378</v>
      </c>
      <c r="I684" t="s">
        <v>379</v>
      </c>
      <c r="J684" t="s">
        <v>384</v>
      </c>
      <c r="K684" t="s">
        <v>385</v>
      </c>
      <c r="L684" t="s">
        <v>123</v>
      </c>
      <c r="M684" t="s">
        <v>94</v>
      </c>
      <c r="N684" t="s">
        <v>285</v>
      </c>
      <c r="O684">
        <v>2024</v>
      </c>
    </row>
    <row r="685" spans="1:15" x14ac:dyDescent="0.25">
      <c r="A685" t="s">
        <v>372</v>
      </c>
      <c r="B685" t="s">
        <v>386</v>
      </c>
      <c r="C685" t="s">
        <v>387</v>
      </c>
      <c r="D685" t="s">
        <v>68</v>
      </c>
      <c r="E685" t="s">
        <v>19</v>
      </c>
      <c r="F685" t="s">
        <v>61</v>
      </c>
      <c r="G685" t="s">
        <v>377</v>
      </c>
      <c r="H685" t="s">
        <v>388</v>
      </c>
      <c r="I685" t="s">
        <v>389</v>
      </c>
      <c r="J685" t="s">
        <v>390</v>
      </c>
      <c r="K685" t="s">
        <v>261</v>
      </c>
      <c r="L685" t="s">
        <v>46</v>
      </c>
      <c r="M685" t="s">
        <v>39</v>
      </c>
      <c r="N685" t="s">
        <v>57</v>
      </c>
      <c r="O685">
        <v>2024</v>
      </c>
    </row>
    <row r="686" spans="1:15" x14ac:dyDescent="0.25">
      <c r="A686" t="s">
        <v>372</v>
      </c>
      <c r="B686" t="s">
        <v>391</v>
      </c>
      <c r="C686" t="s">
        <v>387</v>
      </c>
      <c r="D686" t="s">
        <v>68</v>
      </c>
      <c r="E686" t="s">
        <v>19</v>
      </c>
      <c r="F686" t="s">
        <v>61</v>
      </c>
      <c r="G686" t="s">
        <v>377</v>
      </c>
      <c r="H686" t="s">
        <v>388</v>
      </c>
      <c r="I686" t="s">
        <v>389</v>
      </c>
      <c r="J686" t="s">
        <v>392</v>
      </c>
      <c r="K686" t="s">
        <v>239</v>
      </c>
      <c r="L686" t="s">
        <v>55</v>
      </c>
      <c r="M686" t="s">
        <v>56</v>
      </c>
      <c r="N686" t="s">
        <v>84</v>
      </c>
      <c r="O686">
        <v>2024</v>
      </c>
    </row>
    <row r="687" spans="1:15" x14ac:dyDescent="0.25">
      <c r="A687" t="s">
        <v>372</v>
      </c>
      <c r="B687" t="s">
        <v>393</v>
      </c>
      <c r="C687" t="s">
        <v>394</v>
      </c>
      <c r="D687" t="s">
        <v>68</v>
      </c>
      <c r="E687" t="s">
        <v>19</v>
      </c>
      <c r="F687" t="s">
        <v>61</v>
      </c>
      <c r="G687" t="s">
        <v>377</v>
      </c>
      <c r="H687" t="s">
        <v>395</v>
      </c>
      <c r="I687" t="s">
        <v>23</v>
      </c>
      <c r="J687" t="s">
        <v>396</v>
      </c>
      <c r="K687" t="s">
        <v>397</v>
      </c>
      <c r="L687" t="s">
        <v>26</v>
      </c>
      <c r="M687" t="s">
        <v>27</v>
      </c>
      <c r="N687" t="s">
        <v>173</v>
      </c>
      <c r="O687">
        <v>2024</v>
      </c>
    </row>
    <row r="688" spans="1:15" x14ac:dyDescent="0.25">
      <c r="A688" t="s">
        <v>372</v>
      </c>
      <c r="B688" t="s">
        <v>398</v>
      </c>
      <c r="C688" t="s">
        <v>394</v>
      </c>
      <c r="D688" t="s">
        <v>68</v>
      </c>
      <c r="E688" t="s">
        <v>19</v>
      </c>
      <c r="F688" t="s">
        <v>61</v>
      </c>
      <c r="G688" t="s">
        <v>377</v>
      </c>
      <c r="H688" t="s">
        <v>395</v>
      </c>
      <c r="I688" t="s">
        <v>23</v>
      </c>
      <c r="J688" t="s">
        <v>399</v>
      </c>
      <c r="K688" t="s">
        <v>261</v>
      </c>
      <c r="L688" t="s">
        <v>46</v>
      </c>
      <c r="M688" t="s">
        <v>39</v>
      </c>
      <c r="N688" t="s">
        <v>66</v>
      </c>
      <c r="O688">
        <v>2024</v>
      </c>
    </row>
    <row r="689" spans="1:15" x14ac:dyDescent="0.25">
      <c r="A689" t="s">
        <v>372</v>
      </c>
      <c r="B689" t="s">
        <v>400</v>
      </c>
      <c r="C689" t="s">
        <v>218</v>
      </c>
      <c r="D689" t="s">
        <v>375</v>
      </c>
      <c r="E689" t="s">
        <v>19</v>
      </c>
      <c r="F689" t="s">
        <v>376</v>
      </c>
      <c r="G689" t="s">
        <v>401</v>
      </c>
      <c r="H689" t="s">
        <v>378</v>
      </c>
      <c r="I689" t="s">
        <v>379</v>
      </c>
      <c r="J689" t="s">
        <v>392</v>
      </c>
      <c r="K689" t="s">
        <v>239</v>
      </c>
      <c r="L689" t="s">
        <v>118</v>
      </c>
      <c r="M689" t="s">
        <v>88</v>
      </c>
      <c r="N689" t="s">
        <v>200</v>
      </c>
      <c r="O689">
        <v>2023</v>
      </c>
    </row>
    <row r="690" spans="1:15" x14ac:dyDescent="0.25">
      <c r="A690" t="s">
        <v>372</v>
      </c>
      <c r="B690" t="s">
        <v>402</v>
      </c>
      <c r="C690" t="s">
        <v>218</v>
      </c>
      <c r="D690" t="s">
        <v>375</v>
      </c>
      <c r="E690" t="s">
        <v>19</v>
      </c>
      <c r="F690" t="s">
        <v>376</v>
      </c>
      <c r="G690" t="s">
        <v>401</v>
      </c>
      <c r="H690" t="s">
        <v>378</v>
      </c>
      <c r="I690" t="s">
        <v>379</v>
      </c>
      <c r="J690" t="s">
        <v>403</v>
      </c>
      <c r="K690" t="s">
        <v>242</v>
      </c>
      <c r="L690" t="s">
        <v>123</v>
      </c>
      <c r="M690" t="s">
        <v>94</v>
      </c>
      <c r="N690" t="s">
        <v>382</v>
      </c>
      <c r="O690">
        <v>2023</v>
      </c>
    </row>
    <row r="691" spans="1:15" x14ac:dyDescent="0.25">
      <c r="A691" t="s">
        <v>372</v>
      </c>
      <c r="B691" t="s">
        <v>404</v>
      </c>
      <c r="C691" t="s">
        <v>387</v>
      </c>
      <c r="D691" t="s">
        <v>68</v>
      </c>
      <c r="E691" t="s">
        <v>19</v>
      </c>
      <c r="F691" t="s">
        <v>61</v>
      </c>
      <c r="G691" t="s">
        <v>401</v>
      </c>
      <c r="H691" t="s">
        <v>405</v>
      </c>
      <c r="I691" t="s">
        <v>389</v>
      </c>
      <c r="J691" t="s">
        <v>406</v>
      </c>
      <c r="K691" t="s">
        <v>397</v>
      </c>
      <c r="L691" t="s">
        <v>46</v>
      </c>
      <c r="M691" t="s">
        <v>39</v>
      </c>
      <c r="N691" t="s">
        <v>51</v>
      </c>
      <c r="O691">
        <v>2023</v>
      </c>
    </row>
    <row r="692" spans="1:15" x14ac:dyDescent="0.25">
      <c r="A692" t="s">
        <v>372</v>
      </c>
      <c r="B692" t="s">
        <v>407</v>
      </c>
      <c r="C692" t="s">
        <v>387</v>
      </c>
      <c r="D692" t="s">
        <v>68</v>
      </c>
      <c r="E692" t="s">
        <v>19</v>
      </c>
      <c r="F692" t="s">
        <v>61</v>
      </c>
      <c r="G692" t="s">
        <v>401</v>
      </c>
      <c r="H692" t="s">
        <v>405</v>
      </c>
      <c r="I692" t="s">
        <v>389</v>
      </c>
      <c r="J692" t="s">
        <v>408</v>
      </c>
      <c r="K692" t="s">
        <v>261</v>
      </c>
      <c r="L692" t="s">
        <v>115</v>
      </c>
      <c r="M692" t="s">
        <v>56</v>
      </c>
      <c r="N692" t="s">
        <v>57</v>
      </c>
      <c r="O692">
        <v>2023</v>
      </c>
    </row>
    <row r="693" spans="1:15" x14ac:dyDescent="0.25">
      <c r="A693" t="s">
        <v>372</v>
      </c>
      <c r="B693" t="s">
        <v>409</v>
      </c>
      <c r="C693" t="s">
        <v>394</v>
      </c>
      <c r="D693" t="s">
        <v>68</v>
      </c>
      <c r="E693" t="s">
        <v>19</v>
      </c>
      <c r="F693" t="s">
        <v>61</v>
      </c>
      <c r="G693" t="s">
        <v>401</v>
      </c>
      <c r="H693" t="s">
        <v>410</v>
      </c>
      <c r="I693" t="s">
        <v>23</v>
      </c>
      <c r="J693" t="s">
        <v>411</v>
      </c>
      <c r="K693" t="s">
        <v>166</v>
      </c>
      <c r="L693" t="s">
        <v>142</v>
      </c>
      <c r="M693" t="s">
        <v>27</v>
      </c>
      <c r="N693" t="s">
        <v>291</v>
      </c>
      <c r="O693">
        <v>2023</v>
      </c>
    </row>
    <row r="694" spans="1:15" x14ac:dyDescent="0.25">
      <c r="A694" t="s">
        <v>372</v>
      </c>
      <c r="B694" t="s">
        <v>412</v>
      </c>
      <c r="C694" t="s">
        <v>394</v>
      </c>
      <c r="D694" t="s">
        <v>68</v>
      </c>
      <c r="E694" t="s">
        <v>19</v>
      </c>
      <c r="F694" t="s">
        <v>61</v>
      </c>
      <c r="G694" t="s">
        <v>401</v>
      </c>
      <c r="H694" t="s">
        <v>410</v>
      </c>
      <c r="I694" t="s">
        <v>23</v>
      </c>
      <c r="J694" t="s">
        <v>396</v>
      </c>
      <c r="K694" t="s">
        <v>397</v>
      </c>
      <c r="L694" t="s">
        <v>108</v>
      </c>
      <c r="M694" t="s">
        <v>39</v>
      </c>
      <c r="N694" t="s">
        <v>173</v>
      </c>
      <c r="O694">
        <v>2023</v>
      </c>
    </row>
    <row r="695" spans="1:15" x14ac:dyDescent="0.25">
      <c r="A695" t="s">
        <v>372</v>
      </c>
      <c r="B695" t="s">
        <v>413</v>
      </c>
      <c r="C695" t="s">
        <v>218</v>
      </c>
      <c r="D695" t="s">
        <v>375</v>
      </c>
      <c r="E695" t="s">
        <v>414</v>
      </c>
      <c r="F695" t="s">
        <v>415</v>
      </c>
      <c r="G695" t="s">
        <v>416</v>
      </c>
      <c r="H695" t="s">
        <v>378</v>
      </c>
      <c r="I695" t="s">
        <v>379</v>
      </c>
      <c r="J695" t="s">
        <v>417</v>
      </c>
      <c r="K695" t="s">
        <v>178</v>
      </c>
      <c r="L695" t="s">
        <v>418</v>
      </c>
      <c r="M695" t="s">
        <v>77</v>
      </c>
      <c r="N695" t="s">
        <v>159</v>
      </c>
      <c r="O695">
        <v>2022</v>
      </c>
    </row>
    <row r="696" spans="1:15" x14ac:dyDescent="0.25">
      <c r="A696" t="s">
        <v>372</v>
      </c>
      <c r="B696" t="s">
        <v>419</v>
      </c>
      <c r="C696" t="s">
        <v>218</v>
      </c>
      <c r="D696" t="s">
        <v>375</v>
      </c>
      <c r="E696" t="s">
        <v>414</v>
      </c>
      <c r="F696" t="s">
        <v>415</v>
      </c>
      <c r="G696" t="s">
        <v>416</v>
      </c>
      <c r="H696" t="s">
        <v>378</v>
      </c>
      <c r="I696" t="s">
        <v>379</v>
      </c>
      <c r="J696" t="s">
        <v>380</v>
      </c>
      <c r="K696" t="s">
        <v>381</v>
      </c>
      <c r="L696" t="s">
        <v>148</v>
      </c>
      <c r="M696" t="s">
        <v>88</v>
      </c>
      <c r="N696" t="s">
        <v>275</v>
      </c>
      <c r="O696">
        <v>2022</v>
      </c>
    </row>
    <row r="697" spans="1:15" x14ac:dyDescent="0.25">
      <c r="A697" t="s">
        <v>372</v>
      </c>
      <c r="B697" t="s">
        <v>420</v>
      </c>
      <c r="C697" t="s">
        <v>421</v>
      </c>
      <c r="D697" t="s">
        <v>68</v>
      </c>
      <c r="E697" t="s">
        <v>414</v>
      </c>
      <c r="F697" t="s">
        <v>61</v>
      </c>
      <c r="G697" t="s">
        <v>416</v>
      </c>
      <c r="H697" t="s">
        <v>422</v>
      </c>
      <c r="I697" t="s">
        <v>389</v>
      </c>
      <c r="J697" t="s">
        <v>396</v>
      </c>
      <c r="K697" t="s">
        <v>397</v>
      </c>
      <c r="L697" t="s">
        <v>108</v>
      </c>
      <c r="M697" t="s">
        <v>27</v>
      </c>
      <c r="N697" t="s">
        <v>173</v>
      </c>
      <c r="O697">
        <v>2022</v>
      </c>
    </row>
    <row r="698" spans="1:15" x14ac:dyDescent="0.25">
      <c r="A698" t="s">
        <v>372</v>
      </c>
      <c r="B698" t="s">
        <v>423</v>
      </c>
      <c r="C698" t="s">
        <v>421</v>
      </c>
      <c r="D698" t="s">
        <v>68</v>
      </c>
      <c r="E698" t="s">
        <v>414</v>
      </c>
      <c r="F698" t="s">
        <v>61</v>
      </c>
      <c r="G698" t="s">
        <v>416</v>
      </c>
      <c r="H698" t="s">
        <v>422</v>
      </c>
      <c r="I698" t="s">
        <v>389</v>
      </c>
      <c r="J698" t="s">
        <v>399</v>
      </c>
      <c r="K698" t="s">
        <v>261</v>
      </c>
      <c r="L698" t="s">
        <v>38</v>
      </c>
      <c r="M698" t="s">
        <v>39</v>
      </c>
      <c r="N698" t="s">
        <v>57</v>
      </c>
      <c r="O698">
        <v>2022</v>
      </c>
    </row>
    <row r="699" spans="1:15" x14ac:dyDescent="0.25">
      <c r="A699" t="s">
        <v>372</v>
      </c>
      <c r="B699" t="s">
        <v>424</v>
      </c>
      <c r="C699" t="s">
        <v>425</v>
      </c>
      <c r="D699" t="s">
        <v>68</v>
      </c>
      <c r="E699" t="s">
        <v>414</v>
      </c>
      <c r="F699" t="s">
        <v>61</v>
      </c>
      <c r="G699" t="s">
        <v>416</v>
      </c>
      <c r="H699" t="s">
        <v>426</v>
      </c>
      <c r="I699" t="s">
        <v>23</v>
      </c>
      <c r="J699" t="s">
        <v>427</v>
      </c>
      <c r="K699" t="s">
        <v>166</v>
      </c>
      <c r="L699" t="s">
        <v>142</v>
      </c>
      <c r="M699" t="s">
        <v>167</v>
      </c>
      <c r="N699" t="s">
        <v>34</v>
      </c>
      <c r="O699">
        <v>2022</v>
      </c>
    </row>
    <row r="700" spans="1:15" x14ac:dyDescent="0.25">
      <c r="A700" t="s">
        <v>372</v>
      </c>
      <c r="B700" t="s">
        <v>428</v>
      </c>
      <c r="C700" t="s">
        <v>425</v>
      </c>
      <c r="D700" t="s">
        <v>68</v>
      </c>
      <c r="E700" t="s">
        <v>414</v>
      </c>
      <c r="F700" t="s">
        <v>61</v>
      </c>
      <c r="G700" t="s">
        <v>416</v>
      </c>
      <c r="H700" t="s">
        <v>426</v>
      </c>
      <c r="I700" t="s">
        <v>23</v>
      </c>
      <c r="J700" t="s">
        <v>429</v>
      </c>
      <c r="K700" t="s">
        <v>397</v>
      </c>
      <c r="L700" t="s">
        <v>108</v>
      </c>
      <c r="M700" t="s">
        <v>27</v>
      </c>
      <c r="N700" t="s">
        <v>40</v>
      </c>
      <c r="O700">
        <v>2022</v>
      </c>
    </row>
    <row r="701" spans="1:15" x14ac:dyDescent="0.25">
      <c r="A701" t="s">
        <v>372</v>
      </c>
      <c r="B701" t="s">
        <v>430</v>
      </c>
      <c r="C701" t="s">
        <v>431</v>
      </c>
      <c r="D701" t="s">
        <v>375</v>
      </c>
      <c r="E701" t="s">
        <v>414</v>
      </c>
      <c r="F701" t="s">
        <v>61</v>
      </c>
      <c r="G701" t="s">
        <v>401</v>
      </c>
      <c r="H701" t="s">
        <v>432</v>
      </c>
      <c r="I701" t="s">
        <v>433</v>
      </c>
      <c r="J701" t="s">
        <v>434</v>
      </c>
      <c r="K701" t="s">
        <v>435</v>
      </c>
      <c r="L701" t="s">
        <v>436</v>
      </c>
      <c r="M701" t="s">
        <v>370</v>
      </c>
      <c r="N701" t="s">
        <v>437</v>
      </c>
      <c r="O701">
        <v>2023</v>
      </c>
    </row>
    <row r="702" spans="1:15" x14ac:dyDescent="0.25">
      <c r="A702" t="s">
        <v>372</v>
      </c>
      <c r="B702" t="s">
        <v>438</v>
      </c>
      <c r="C702" t="s">
        <v>431</v>
      </c>
      <c r="D702" t="s">
        <v>375</v>
      </c>
      <c r="E702" t="s">
        <v>414</v>
      </c>
      <c r="F702" t="s">
        <v>61</v>
      </c>
      <c r="G702" t="s">
        <v>401</v>
      </c>
      <c r="H702" t="s">
        <v>432</v>
      </c>
      <c r="I702" t="s">
        <v>433</v>
      </c>
      <c r="J702" t="s">
        <v>439</v>
      </c>
      <c r="K702" t="s">
        <v>440</v>
      </c>
      <c r="L702" t="s">
        <v>441</v>
      </c>
      <c r="M702" t="s">
        <v>442</v>
      </c>
      <c r="N702" t="s">
        <v>443</v>
      </c>
      <c r="O702">
        <v>2023</v>
      </c>
    </row>
    <row r="703" spans="1:15" x14ac:dyDescent="0.25">
      <c r="A703" t="s">
        <v>372</v>
      </c>
      <c r="B703" t="s">
        <v>444</v>
      </c>
      <c r="C703" t="s">
        <v>445</v>
      </c>
      <c r="D703" t="s">
        <v>68</v>
      </c>
      <c r="E703" t="s">
        <v>19</v>
      </c>
      <c r="F703" t="s">
        <v>132</v>
      </c>
      <c r="G703" t="s">
        <v>401</v>
      </c>
      <c r="H703" t="s">
        <v>446</v>
      </c>
      <c r="I703" t="s">
        <v>44</v>
      </c>
      <c r="J703" t="s">
        <v>396</v>
      </c>
      <c r="K703" t="s">
        <v>178</v>
      </c>
      <c r="L703" t="s">
        <v>123</v>
      </c>
      <c r="M703" t="s">
        <v>56</v>
      </c>
      <c r="N703" t="s">
        <v>447</v>
      </c>
      <c r="O703">
        <v>2023</v>
      </c>
    </row>
    <row r="704" spans="1:15" x14ac:dyDescent="0.25">
      <c r="A704" t="s">
        <v>372</v>
      </c>
      <c r="B704" t="s">
        <v>448</v>
      </c>
      <c r="C704" t="s">
        <v>445</v>
      </c>
      <c r="D704" t="s">
        <v>68</v>
      </c>
      <c r="E704" t="s">
        <v>19</v>
      </c>
      <c r="F704" t="s">
        <v>132</v>
      </c>
      <c r="G704" t="s">
        <v>401</v>
      </c>
      <c r="H704" t="s">
        <v>446</v>
      </c>
      <c r="I704" t="s">
        <v>44</v>
      </c>
      <c r="J704" t="s">
        <v>399</v>
      </c>
      <c r="K704" t="s">
        <v>381</v>
      </c>
      <c r="L704" t="s">
        <v>158</v>
      </c>
      <c r="M704" t="s">
        <v>77</v>
      </c>
      <c r="N704" t="s">
        <v>129</v>
      </c>
      <c r="O704">
        <v>2023</v>
      </c>
    </row>
    <row r="705" spans="1:15" x14ac:dyDescent="0.25">
      <c r="A705" t="s">
        <v>372</v>
      </c>
      <c r="B705" t="s">
        <v>449</v>
      </c>
      <c r="C705" t="s">
        <v>450</v>
      </c>
      <c r="D705" t="s">
        <v>375</v>
      </c>
      <c r="E705" t="s">
        <v>414</v>
      </c>
      <c r="F705" t="s">
        <v>61</v>
      </c>
      <c r="G705" t="s">
        <v>451</v>
      </c>
      <c r="H705" t="s">
        <v>432</v>
      </c>
      <c r="I705" t="s">
        <v>433</v>
      </c>
      <c r="J705" t="s">
        <v>384</v>
      </c>
      <c r="K705" t="s">
        <v>452</v>
      </c>
      <c r="L705" t="s">
        <v>453</v>
      </c>
      <c r="M705" t="s">
        <v>370</v>
      </c>
      <c r="N705" t="s">
        <v>454</v>
      </c>
      <c r="O705">
        <v>2022</v>
      </c>
    </row>
    <row r="706" spans="1:15" x14ac:dyDescent="0.25">
      <c r="A706" t="s">
        <v>372</v>
      </c>
      <c r="B706" t="s">
        <v>455</v>
      </c>
      <c r="C706" t="s">
        <v>450</v>
      </c>
      <c r="D706" t="s">
        <v>375</v>
      </c>
      <c r="E706" t="s">
        <v>414</v>
      </c>
      <c r="F706" t="s">
        <v>61</v>
      </c>
      <c r="G706" t="s">
        <v>451</v>
      </c>
      <c r="H706" t="s">
        <v>432</v>
      </c>
      <c r="I706" t="s">
        <v>433</v>
      </c>
      <c r="J706" t="s">
        <v>456</v>
      </c>
      <c r="K706" t="s">
        <v>435</v>
      </c>
      <c r="L706" t="s">
        <v>436</v>
      </c>
      <c r="M706" t="s">
        <v>442</v>
      </c>
      <c r="N706" t="s">
        <v>457</v>
      </c>
      <c r="O706">
        <v>2022</v>
      </c>
    </row>
    <row r="707" spans="1:15" x14ac:dyDescent="0.25">
      <c r="A707" t="s">
        <v>372</v>
      </c>
      <c r="B707" t="s">
        <v>458</v>
      </c>
      <c r="C707" t="s">
        <v>445</v>
      </c>
      <c r="D707" t="s">
        <v>68</v>
      </c>
      <c r="E707" t="s">
        <v>414</v>
      </c>
      <c r="F707" t="s">
        <v>132</v>
      </c>
      <c r="G707" t="s">
        <v>451</v>
      </c>
      <c r="H707" t="s">
        <v>446</v>
      </c>
      <c r="I707" t="s">
        <v>44</v>
      </c>
      <c r="J707" t="s">
        <v>411</v>
      </c>
      <c r="K707" t="s">
        <v>172</v>
      </c>
      <c r="L707" t="s">
        <v>55</v>
      </c>
      <c r="M707" t="s">
        <v>56</v>
      </c>
      <c r="N707" t="s">
        <v>84</v>
      </c>
      <c r="O707">
        <v>2022</v>
      </c>
    </row>
    <row r="708" spans="1:15" x14ac:dyDescent="0.25">
      <c r="A708" t="s">
        <v>372</v>
      </c>
      <c r="B708" t="s">
        <v>459</v>
      </c>
      <c r="C708" t="s">
        <v>445</v>
      </c>
      <c r="D708" t="s">
        <v>68</v>
      </c>
      <c r="E708" t="s">
        <v>414</v>
      </c>
      <c r="F708" t="s">
        <v>132</v>
      </c>
      <c r="G708" t="s">
        <v>451</v>
      </c>
      <c r="H708" t="s">
        <v>446</v>
      </c>
      <c r="I708" t="s">
        <v>44</v>
      </c>
      <c r="J708" t="s">
        <v>396</v>
      </c>
      <c r="K708" t="s">
        <v>178</v>
      </c>
      <c r="L708" t="s">
        <v>123</v>
      </c>
      <c r="M708" t="s">
        <v>77</v>
      </c>
      <c r="N708" t="s">
        <v>447</v>
      </c>
      <c r="O708">
        <v>2022</v>
      </c>
    </row>
    <row r="709" spans="1:15" x14ac:dyDescent="0.25">
      <c r="A709" t="s">
        <v>372</v>
      </c>
      <c r="B709" t="s">
        <v>460</v>
      </c>
      <c r="C709" t="s">
        <v>213</v>
      </c>
      <c r="D709" t="s">
        <v>18</v>
      </c>
      <c r="E709" t="s">
        <v>461</v>
      </c>
      <c r="F709" t="s">
        <v>61</v>
      </c>
      <c r="G709" t="s">
        <v>462</v>
      </c>
      <c r="H709" t="s">
        <v>378</v>
      </c>
      <c r="I709" t="s">
        <v>463</v>
      </c>
      <c r="J709" t="s">
        <v>464</v>
      </c>
      <c r="K709" t="s">
        <v>465</v>
      </c>
      <c r="L709" t="s">
        <v>466</v>
      </c>
      <c r="M709" t="s">
        <v>327</v>
      </c>
      <c r="N709" t="s">
        <v>467</v>
      </c>
      <c r="O709">
        <v>2023</v>
      </c>
    </row>
    <row r="710" spans="1:15" x14ac:dyDescent="0.25">
      <c r="A710" t="s">
        <v>372</v>
      </c>
      <c r="B710" t="s">
        <v>468</v>
      </c>
      <c r="C710" t="s">
        <v>213</v>
      </c>
      <c r="D710" t="s">
        <v>18</v>
      </c>
      <c r="E710" t="s">
        <v>461</v>
      </c>
      <c r="F710" t="s">
        <v>61</v>
      </c>
      <c r="G710" t="s">
        <v>462</v>
      </c>
      <c r="H710" t="s">
        <v>378</v>
      </c>
      <c r="I710" t="s">
        <v>463</v>
      </c>
      <c r="J710" t="s">
        <v>469</v>
      </c>
      <c r="K710" t="s">
        <v>470</v>
      </c>
      <c r="L710" t="s">
        <v>471</v>
      </c>
      <c r="M710" t="s">
        <v>472</v>
      </c>
      <c r="N710" t="s">
        <v>320</v>
      </c>
      <c r="O710">
        <v>2023</v>
      </c>
    </row>
    <row r="711" spans="1:15" x14ac:dyDescent="0.25">
      <c r="A711" t="s">
        <v>372</v>
      </c>
      <c r="B711" t="s">
        <v>473</v>
      </c>
      <c r="C711" t="s">
        <v>474</v>
      </c>
      <c r="D711" t="s">
        <v>18</v>
      </c>
      <c r="E711" t="s">
        <v>475</v>
      </c>
      <c r="F711" t="s">
        <v>476</v>
      </c>
      <c r="G711" t="s">
        <v>477</v>
      </c>
      <c r="H711" t="s">
        <v>378</v>
      </c>
      <c r="I711" t="s">
        <v>389</v>
      </c>
      <c r="J711" t="s">
        <v>478</v>
      </c>
      <c r="K711" t="s">
        <v>479</v>
      </c>
      <c r="L711" t="s">
        <v>480</v>
      </c>
      <c r="M711" t="s">
        <v>481</v>
      </c>
      <c r="N711" t="s">
        <v>482</v>
      </c>
      <c r="O711">
        <v>2023</v>
      </c>
    </row>
    <row r="712" spans="1:15" x14ac:dyDescent="0.25">
      <c r="A712" t="s">
        <v>372</v>
      </c>
      <c r="B712" t="s">
        <v>483</v>
      </c>
      <c r="C712" t="s">
        <v>474</v>
      </c>
      <c r="D712" t="s">
        <v>18</v>
      </c>
      <c r="E712" t="s">
        <v>475</v>
      </c>
      <c r="F712" t="s">
        <v>476</v>
      </c>
      <c r="G712" t="s">
        <v>477</v>
      </c>
      <c r="H712" t="s">
        <v>378</v>
      </c>
      <c r="I712" t="s">
        <v>389</v>
      </c>
      <c r="J712" t="s">
        <v>464</v>
      </c>
      <c r="K712" t="s">
        <v>465</v>
      </c>
      <c r="L712" t="s">
        <v>484</v>
      </c>
      <c r="M712" t="s">
        <v>327</v>
      </c>
      <c r="N712" t="s">
        <v>467</v>
      </c>
      <c r="O712">
        <v>2023</v>
      </c>
    </row>
    <row r="713" spans="1:15" x14ac:dyDescent="0.25">
      <c r="A713" t="s">
        <v>372</v>
      </c>
      <c r="B713" t="s">
        <v>485</v>
      </c>
      <c r="C713" t="s">
        <v>421</v>
      </c>
      <c r="D713" t="s">
        <v>18</v>
      </c>
      <c r="E713" t="s">
        <v>475</v>
      </c>
      <c r="F713" t="s">
        <v>486</v>
      </c>
      <c r="G713" t="s">
        <v>487</v>
      </c>
      <c r="H713" t="s">
        <v>378</v>
      </c>
      <c r="I713" t="s">
        <v>248</v>
      </c>
      <c r="J713" t="s">
        <v>488</v>
      </c>
      <c r="K713" t="s">
        <v>489</v>
      </c>
      <c r="L713" t="s">
        <v>490</v>
      </c>
      <c r="M713" t="s">
        <v>491</v>
      </c>
      <c r="N713" t="s">
        <v>314</v>
      </c>
      <c r="O713">
        <v>2023</v>
      </c>
    </row>
    <row r="714" spans="1:15" x14ac:dyDescent="0.25">
      <c r="A714" t="s">
        <v>372</v>
      </c>
      <c r="B714" t="s">
        <v>492</v>
      </c>
      <c r="C714" t="s">
        <v>421</v>
      </c>
      <c r="D714" t="s">
        <v>18</v>
      </c>
      <c r="E714" t="s">
        <v>475</v>
      </c>
      <c r="F714" t="s">
        <v>486</v>
      </c>
      <c r="G714" t="s">
        <v>487</v>
      </c>
      <c r="H714" t="s">
        <v>378</v>
      </c>
      <c r="I714" t="s">
        <v>248</v>
      </c>
      <c r="J714" t="s">
        <v>493</v>
      </c>
      <c r="K714" t="s">
        <v>494</v>
      </c>
      <c r="L714" t="s">
        <v>480</v>
      </c>
      <c r="M714" t="s">
        <v>481</v>
      </c>
      <c r="N714" t="s">
        <v>482</v>
      </c>
      <c r="O714">
        <v>2023</v>
      </c>
    </row>
    <row r="715" spans="1:15" x14ac:dyDescent="0.25">
      <c r="A715" t="s">
        <v>372</v>
      </c>
      <c r="B715" t="s">
        <v>495</v>
      </c>
      <c r="C715" t="s">
        <v>496</v>
      </c>
      <c r="D715" t="s">
        <v>162</v>
      </c>
      <c r="E715" t="s">
        <v>475</v>
      </c>
      <c r="F715" t="s">
        <v>497</v>
      </c>
      <c r="G715" t="s">
        <v>498</v>
      </c>
      <c r="H715" t="s">
        <v>378</v>
      </c>
      <c r="I715" t="s">
        <v>389</v>
      </c>
      <c r="J715" t="s">
        <v>499</v>
      </c>
      <c r="K715" t="s">
        <v>500</v>
      </c>
      <c r="L715" t="s">
        <v>501</v>
      </c>
      <c r="M715" t="s">
        <v>502</v>
      </c>
      <c r="N715" t="s">
        <v>503</v>
      </c>
      <c r="O715">
        <v>2023</v>
      </c>
    </row>
    <row r="716" spans="1:15" x14ac:dyDescent="0.25">
      <c r="A716" t="s">
        <v>372</v>
      </c>
      <c r="B716" t="s">
        <v>504</v>
      </c>
      <c r="C716" t="s">
        <v>496</v>
      </c>
      <c r="D716" t="s">
        <v>162</v>
      </c>
      <c r="E716" t="s">
        <v>475</v>
      </c>
      <c r="F716" t="s">
        <v>497</v>
      </c>
      <c r="G716" t="s">
        <v>498</v>
      </c>
      <c r="H716" t="s">
        <v>378</v>
      </c>
      <c r="I716" t="s">
        <v>389</v>
      </c>
      <c r="J716" t="s">
        <v>488</v>
      </c>
      <c r="K716" t="s">
        <v>505</v>
      </c>
      <c r="L716" t="s">
        <v>506</v>
      </c>
      <c r="M716" t="s">
        <v>491</v>
      </c>
      <c r="N716" t="s">
        <v>314</v>
      </c>
      <c r="O716">
        <v>2023</v>
      </c>
    </row>
    <row r="717" spans="1:15" x14ac:dyDescent="0.25">
      <c r="A717" t="s">
        <v>372</v>
      </c>
      <c r="B717" t="s">
        <v>507</v>
      </c>
      <c r="C717" t="s">
        <v>235</v>
      </c>
      <c r="D717" t="s">
        <v>162</v>
      </c>
      <c r="E717" t="s">
        <v>508</v>
      </c>
      <c r="F717" t="s">
        <v>497</v>
      </c>
      <c r="G717" t="s">
        <v>498</v>
      </c>
      <c r="H717" t="s">
        <v>378</v>
      </c>
      <c r="I717" t="s">
        <v>248</v>
      </c>
      <c r="J717" t="s">
        <v>509</v>
      </c>
      <c r="K717" t="s">
        <v>510</v>
      </c>
      <c r="L717" t="s">
        <v>511</v>
      </c>
      <c r="M717" t="s">
        <v>512</v>
      </c>
      <c r="N717" t="s">
        <v>513</v>
      </c>
      <c r="O717">
        <v>2022</v>
      </c>
    </row>
    <row r="718" spans="1:15" x14ac:dyDescent="0.25">
      <c r="A718" t="s">
        <v>372</v>
      </c>
      <c r="B718" t="s">
        <v>514</v>
      </c>
      <c r="C718" t="s">
        <v>235</v>
      </c>
      <c r="D718" t="s">
        <v>162</v>
      </c>
      <c r="E718" t="s">
        <v>508</v>
      </c>
      <c r="F718" t="s">
        <v>497</v>
      </c>
      <c r="G718" t="s">
        <v>498</v>
      </c>
      <c r="H718" t="s">
        <v>378</v>
      </c>
      <c r="I718" t="s">
        <v>248</v>
      </c>
      <c r="J718" t="s">
        <v>499</v>
      </c>
      <c r="K718" t="s">
        <v>500</v>
      </c>
      <c r="L718" t="s">
        <v>515</v>
      </c>
      <c r="M718" t="s">
        <v>502</v>
      </c>
      <c r="N718" t="s">
        <v>516</v>
      </c>
      <c r="O718">
        <v>2022</v>
      </c>
    </row>
    <row r="719" spans="1:15" x14ac:dyDescent="0.25">
      <c r="A719" t="s">
        <v>372</v>
      </c>
      <c r="B719" t="s">
        <v>517</v>
      </c>
      <c r="C719" t="s">
        <v>518</v>
      </c>
      <c r="D719" t="s">
        <v>68</v>
      </c>
      <c r="E719" t="s">
        <v>461</v>
      </c>
      <c r="F719" t="s">
        <v>519</v>
      </c>
      <c r="G719" t="s">
        <v>462</v>
      </c>
      <c r="H719" t="s">
        <v>520</v>
      </c>
      <c r="I719" t="s">
        <v>44</v>
      </c>
      <c r="J719" t="s">
        <v>469</v>
      </c>
      <c r="K719" t="s">
        <v>521</v>
      </c>
      <c r="L719" t="s">
        <v>522</v>
      </c>
      <c r="M719" t="s">
        <v>481</v>
      </c>
      <c r="N719" t="s">
        <v>482</v>
      </c>
      <c r="O719">
        <v>2023</v>
      </c>
    </row>
    <row r="720" spans="1:15" x14ac:dyDescent="0.25">
      <c r="A720" t="s">
        <v>372</v>
      </c>
      <c r="B720" t="s">
        <v>523</v>
      </c>
      <c r="C720" t="s">
        <v>518</v>
      </c>
      <c r="D720" t="s">
        <v>68</v>
      </c>
      <c r="E720" t="s">
        <v>461</v>
      </c>
      <c r="F720" t="s">
        <v>519</v>
      </c>
      <c r="G720" t="s">
        <v>462</v>
      </c>
      <c r="H720" t="s">
        <v>520</v>
      </c>
      <c r="I720" t="s">
        <v>44</v>
      </c>
      <c r="J720" t="s">
        <v>524</v>
      </c>
      <c r="K720" t="s">
        <v>525</v>
      </c>
      <c r="L720" t="s">
        <v>312</v>
      </c>
      <c r="M720" t="s">
        <v>327</v>
      </c>
      <c r="N720" t="s">
        <v>467</v>
      </c>
      <c r="O720">
        <v>2023</v>
      </c>
    </row>
    <row r="721" spans="1:15" x14ac:dyDescent="0.25">
      <c r="A721" t="s">
        <v>372</v>
      </c>
      <c r="B721" t="s">
        <v>526</v>
      </c>
      <c r="C721" t="s">
        <v>474</v>
      </c>
      <c r="D721" t="s">
        <v>18</v>
      </c>
      <c r="E721" t="s">
        <v>475</v>
      </c>
      <c r="F721" t="s">
        <v>527</v>
      </c>
      <c r="G721" t="s">
        <v>528</v>
      </c>
      <c r="H721" t="s">
        <v>520</v>
      </c>
      <c r="I721" t="s">
        <v>248</v>
      </c>
      <c r="J721" t="s">
        <v>488</v>
      </c>
      <c r="K721" t="s">
        <v>529</v>
      </c>
      <c r="L721" t="s">
        <v>506</v>
      </c>
      <c r="M721" t="s">
        <v>491</v>
      </c>
      <c r="N721" t="s">
        <v>503</v>
      </c>
      <c r="O721">
        <v>2023</v>
      </c>
    </row>
    <row r="722" spans="1:15" x14ac:dyDescent="0.25">
      <c r="A722" t="s">
        <v>372</v>
      </c>
      <c r="B722" t="s">
        <v>530</v>
      </c>
      <c r="C722" t="s">
        <v>474</v>
      </c>
      <c r="D722" t="s">
        <v>18</v>
      </c>
      <c r="E722" t="s">
        <v>475</v>
      </c>
      <c r="F722" t="s">
        <v>527</v>
      </c>
      <c r="G722" t="s">
        <v>528</v>
      </c>
      <c r="H722" t="s">
        <v>520</v>
      </c>
      <c r="I722" t="s">
        <v>248</v>
      </c>
      <c r="J722" t="s">
        <v>493</v>
      </c>
      <c r="K722" t="s">
        <v>531</v>
      </c>
      <c r="L722" t="s">
        <v>484</v>
      </c>
      <c r="M722" t="s">
        <v>481</v>
      </c>
      <c r="N722" t="s">
        <v>314</v>
      </c>
      <c r="O722">
        <v>2023</v>
      </c>
    </row>
    <row r="723" spans="1:15" x14ac:dyDescent="0.25">
      <c r="A723" t="s">
        <v>372</v>
      </c>
      <c r="B723" t="s">
        <v>532</v>
      </c>
      <c r="C723" t="s">
        <v>518</v>
      </c>
      <c r="D723" t="s">
        <v>162</v>
      </c>
      <c r="E723" t="s">
        <v>475</v>
      </c>
      <c r="F723" t="s">
        <v>497</v>
      </c>
      <c r="G723" t="s">
        <v>498</v>
      </c>
      <c r="H723" t="s">
        <v>520</v>
      </c>
      <c r="I723" t="s">
        <v>389</v>
      </c>
      <c r="J723" t="s">
        <v>499</v>
      </c>
      <c r="K723" t="s">
        <v>510</v>
      </c>
      <c r="L723" t="s">
        <v>515</v>
      </c>
      <c r="M723" t="s">
        <v>502</v>
      </c>
      <c r="N723" t="s">
        <v>516</v>
      </c>
      <c r="O723">
        <v>2023</v>
      </c>
    </row>
    <row r="724" spans="1:15" x14ac:dyDescent="0.25">
      <c r="A724" t="s">
        <v>372</v>
      </c>
      <c r="B724" t="s">
        <v>533</v>
      </c>
      <c r="C724" t="s">
        <v>518</v>
      </c>
      <c r="D724" t="s">
        <v>162</v>
      </c>
      <c r="E724" t="s">
        <v>475</v>
      </c>
      <c r="F724" t="s">
        <v>497</v>
      </c>
      <c r="G724" t="s">
        <v>498</v>
      </c>
      <c r="H724" t="s">
        <v>520</v>
      </c>
      <c r="I724" t="s">
        <v>389</v>
      </c>
      <c r="J724" t="s">
        <v>488</v>
      </c>
      <c r="K724" t="s">
        <v>529</v>
      </c>
      <c r="L724" t="s">
        <v>490</v>
      </c>
      <c r="M724" t="s">
        <v>491</v>
      </c>
      <c r="N724" t="s">
        <v>503</v>
      </c>
      <c r="O724">
        <v>2023</v>
      </c>
    </row>
    <row r="725" spans="1:15" x14ac:dyDescent="0.25">
      <c r="A725" t="s">
        <v>372</v>
      </c>
      <c r="B725" t="s">
        <v>534</v>
      </c>
      <c r="C725" t="s">
        <v>235</v>
      </c>
      <c r="D725" t="s">
        <v>162</v>
      </c>
      <c r="E725" t="s">
        <v>508</v>
      </c>
      <c r="F725" t="s">
        <v>535</v>
      </c>
      <c r="G725" t="s">
        <v>536</v>
      </c>
      <c r="H725" t="s">
        <v>378</v>
      </c>
      <c r="I725" t="s">
        <v>248</v>
      </c>
      <c r="J725" t="s">
        <v>509</v>
      </c>
      <c r="K725" t="s">
        <v>537</v>
      </c>
      <c r="L725" t="s">
        <v>538</v>
      </c>
      <c r="M725" t="s">
        <v>512</v>
      </c>
      <c r="N725" t="s">
        <v>513</v>
      </c>
      <c r="O725">
        <v>2022</v>
      </c>
    </row>
    <row r="726" spans="1:15" x14ac:dyDescent="0.25">
      <c r="A726" t="s">
        <v>372</v>
      </c>
      <c r="B726" t="s">
        <v>539</v>
      </c>
      <c r="C726" t="s">
        <v>235</v>
      </c>
      <c r="D726" t="s">
        <v>162</v>
      </c>
      <c r="E726" t="s">
        <v>508</v>
      </c>
      <c r="F726" t="s">
        <v>535</v>
      </c>
      <c r="G726" t="s">
        <v>536</v>
      </c>
      <c r="H726" t="s">
        <v>378</v>
      </c>
      <c r="I726" t="s">
        <v>248</v>
      </c>
      <c r="J726" t="s">
        <v>499</v>
      </c>
      <c r="K726" t="s">
        <v>540</v>
      </c>
      <c r="L726" t="s">
        <v>541</v>
      </c>
      <c r="M726" t="s">
        <v>502</v>
      </c>
      <c r="N726" t="s">
        <v>516</v>
      </c>
      <c r="O726">
        <v>2022</v>
      </c>
    </row>
    <row r="727" spans="1:15" x14ac:dyDescent="0.25">
      <c r="A727" t="s">
        <v>372</v>
      </c>
      <c r="B727" t="s">
        <v>542</v>
      </c>
      <c r="C727" t="s">
        <v>474</v>
      </c>
      <c r="D727" t="s">
        <v>68</v>
      </c>
      <c r="E727" t="s">
        <v>461</v>
      </c>
      <c r="F727" t="s">
        <v>519</v>
      </c>
      <c r="G727" t="s">
        <v>462</v>
      </c>
      <c r="H727" t="s">
        <v>520</v>
      </c>
      <c r="I727" t="s">
        <v>44</v>
      </c>
      <c r="J727" t="s">
        <v>464</v>
      </c>
      <c r="K727" t="s">
        <v>521</v>
      </c>
      <c r="L727" t="s">
        <v>466</v>
      </c>
      <c r="M727" t="s">
        <v>481</v>
      </c>
      <c r="N727" t="s">
        <v>482</v>
      </c>
      <c r="O727">
        <v>2023</v>
      </c>
    </row>
    <row r="728" spans="1:15" x14ac:dyDescent="0.25">
      <c r="A728" t="s">
        <v>372</v>
      </c>
      <c r="B728" t="s">
        <v>543</v>
      </c>
      <c r="C728" t="s">
        <v>474</v>
      </c>
      <c r="D728" t="s">
        <v>68</v>
      </c>
      <c r="E728" t="s">
        <v>461</v>
      </c>
      <c r="F728" t="s">
        <v>519</v>
      </c>
      <c r="G728" t="s">
        <v>462</v>
      </c>
      <c r="H728" t="s">
        <v>520</v>
      </c>
      <c r="I728" t="s">
        <v>44</v>
      </c>
      <c r="J728" t="s">
        <v>469</v>
      </c>
      <c r="K728" t="s">
        <v>525</v>
      </c>
      <c r="L728" t="s">
        <v>544</v>
      </c>
      <c r="M728" t="s">
        <v>327</v>
      </c>
      <c r="N728" t="s">
        <v>467</v>
      </c>
      <c r="O728">
        <v>2023</v>
      </c>
    </row>
    <row r="729" spans="1:15" x14ac:dyDescent="0.25">
      <c r="A729" t="s">
        <v>372</v>
      </c>
      <c r="B729" t="s">
        <v>545</v>
      </c>
      <c r="C729" t="s">
        <v>496</v>
      </c>
      <c r="D729" t="s">
        <v>18</v>
      </c>
      <c r="E729" t="s">
        <v>475</v>
      </c>
      <c r="F729" t="s">
        <v>527</v>
      </c>
      <c r="G729" t="s">
        <v>528</v>
      </c>
      <c r="H729" t="s">
        <v>520</v>
      </c>
      <c r="I729" t="s">
        <v>248</v>
      </c>
      <c r="J729" t="s">
        <v>488</v>
      </c>
      <c r="K729" t="s">
        <v>546</v>
      </c>
      <c r="L729" t="s">
        <v>480</v>
      </c>
      <c r="M729" t="s">
        <v>491</v>
      </c>
      <c r="N729" t="s">
        <v>503</v>
      </c>
      <c r="O729">
        <v>2023</v>
      </c>
    </row>
    <row r="730" spans="1:15" x14ac:dyDescent="0.25">
      <c r="A730" t="s">
        <v>372</v>
      </c>
      <c r="B730" t="s">
        <v>547</v>
      </c>
      <c r="C730" t="s">
        <v>496</v>
      </c>
      <c r="D730" t="s">
        <v>18</v>
      </c>
      <c r="E730" t="s">
        <v>475</v>
      </c>
      <c r="F730" t="s">
        <v>527</v>
      </c>
      <c r="G730" t="s">
        <v>528</v>
      </c>
      <c r="H730" t="s">
        <v>520</v>
      </c>
      <c r="I730" t="s">
        <v>248</v>
      </c>
      <c r="J730" t="s">
        <v>493</v>
      </c>
      <c r="K730" t="s">
        <v>505</v>
      </c>
      <c r="L730" t="s">
        <v>484</v>
      </c>
      <c r="M730" t="s">
        <v>481</v>
      </c>
      <c r="N730" t="s">
        <v>314</v>
      </c>
      <c r="O730">
        <v>2023</v>
      </c>
    </row>
    <row r="731" spans="1:15" x14ac:dyDescent="0.25">
      <c r="A731" t="s">
        <v>372</v>
      </c>
      <c r="B731" t="s">
        <v>548</v>
      </c>
      <c r="C731" t="s">
        <v>549</v>
      </c>
      <c r="D731" t="s">
        <v>162</v>
      </c>
      <c r="E731" t="s">
        <v>475</v>
      </c>
      <c r="F731" t="s">
        <v>497</v>
      </c>
      <c r="G731" t="s">
        <v>498</v>
      </c>
      <c r="H731" t="s">
        <v>520</v>
      </c>
      <c r="I731" t="s">
        <v>389</v>
      </c>
      <c r="J731" t="s">
        <v>499</v>
      </c>
      <c r="K731" t="s">
        <v>510</v>
      </c>
      <c r="L731" t="s">
        <v>515</v>
      </c>
      <c r="M731" t="s">
        <v>502</v>
      </c>
      <c r="N731" t="s">
        <v>516</v>
      </c>
      <c r="O731">
        <v>2023</v>
      </c>
    </row>
    <row r="732" spans="1:15" x14ac:dyDescent="0.25">
      <c r="A732" t="s">
        <v>372</v>
      </c>
      <c r="B732" t="s">
        <v>550</v>
      </c>
      <c r="C732" t="s">
        <v>549</v>
      </c>
      <c r="D732" t="s">
        <v>162</v>
      </c>
      <c r="E732" t="s">
        <v>475</v>
      </c>
      <c r="F732" t="s">
        <v>497</v>
      </c>
      <c r="G732" t="s">
        <v>498</v>
      </c>
      <c r="H732" t="s">
        <v>520</v>
      </c>
      <c r="I732" t="s">
        <v>389</v>
      </c>
      <c r="J732" t="s">
        <v>488</v>
      </c>
      <c r="K732" t="s">
        <v>529</v>
      </c>
      <c r="L732" t="s">
        <v>490</v>
      </c>
      <c r="M732" t="s">
        <v>491</v>
      </c>
      <c r="N732" t="s">
        <v>503</v>
      </c>
      <c r="O732">
        <v>2023</v>
      </c>
    </row>
    <row r="733" spans="1:15" x14ac:dyDescent="0.25">
      <c r="A733" t="s">
        <v>372</v>
      </c>
      <c r="B733" t="s">
        <v>551</v>
      </c>
      <c r="C733" t="s">
        <v>277</v>
      </c>
      <c r="D733" t="s">
        <v>375</v>
      </c>
      <c r="E733" t="s">
        <v>414</v>
      </c>
      <c r="F733" t="s">
        <v>415</v>
      </c>
      <c r="G733" t="s">
        <v>552</v>
      </c>
      <c r="H733" t="s">
        <v>422</v>
      </c>
      <c r="I733" t="s">
        <v>553</v>
      </c>
      <c r="J733" t="s">
        <v>554</v>
      </c>
      <c r="K733" t="s">
        <v>65</v>
      </c>
      <c r="L733" t="s">
        <v>123</v>
      </c>
      <c r="M733" t="s">
        <v>94</v>
      </c>
      <c r="N733" t="s">
        <v>159</v>
      </c>
      <c r="O733">
        <v>2020</v>
      </c>
    </row>
    <row r="734" spans="1:15" x14ac:dyDescent="0.25">
      <c r="A734" t="s">
        <v>372</v>
      </c>
      <c r="B734" t="s">
        <v>555</v>
      </c>
      <c r="C734" t="s">
        <v>277</v>
      </c>
      <c r="D734" t="s">
        <v>375</v>
      </c>
      <c r="E734" t="s">
        <v>414</v>
      </c>
      <c r="F734" t="s">
        <v>415</v>
      </c>
      <c r="G734" t="s">
        <v>552</v>
      </c>
      <c r="H734" t="s">
        <v>422</v>
      </c>
      <c r="I734" t="s">
        <v>553</v>
      </c>
      <c r="J734" t="s">
        <v>556</v>
      </c>
      <c r="K734" t="s">
        <v>557</v>
      </c>
      <c r="L734" t="s">
        <v>154</v>
      </c>
      <c r="M734" t="s">
        <v>128</v>
      </c>
      <c r="N734" t="s">
        <v>254</v>
      </c>
      <c r="O734">
        <v>2020</v>
      </c>
    </row>
    <row r="735" spans="1:15" x14ac:dyDescent="0.25">
      <c r="A735" t="s">
        <v>372</v>
      </c>
      <c r="B735" t="s">
        <v>558</v>
      </c>
      <c r="C735" t="s">
        <v>559</v>
      </c>
      <c r="D735" t="s">
        <v>68</v>
      </c>
      <c r="E735" t="s">
        <v>414</v>
      </c>
      <c r="F735" t="s">
        <v>415</v>
      </c>
      <c r="G735" t="s">
        <v>552</v>
      </c>
      <c r="H735" t="s">
        <v>560</v>
      </c>
      <c r="I735" t="s">
        <v>44</v>
      </c>
      <c r="J735" t="s">
        <v>561</v>
      </c>
      <c r="K735" t="s">
        <v>562</v>
      </c>
      <c r="L735" t="s">
        <v>38</v>
      </c>
      <c r="M735" t="s">
        <v>56</v>
      </c>
      <c r="N735" t="s">
        <v>89</v>
      </c>
      <c r="O735">
        <v>2020</v>
      </c>
    </row>
    <row r="736" spans="1:15" x14ac:dyDescent="0.25">
      <c r="A736" t="s">
        <v>372</v>
      </c>
      <c r="B736" t="s">
        <v>563</v>
      </c>
      <c r="C736" t="s">
        <v>559</v>
      </c>
      <c r="D736" t="s">
        <v>68</v>
      </c>
      <c r="E736" t="s">
        <v>414</v>
      </c>
      <c r="F736" t="s">
        <v>415</v>
      </c>
      <c r="G736" t="s">
        <v>552</v>
      </c>
      <c r="H736" t="s">
        <v>560</v>
      </c>
      <c r="I736" t="s">
        <v>44</v>
      </c>
      <c r="J736" t="s">
        <v>564</v>
      </c>
      <c r="K736" t="s">
        <v>37</v>
      </c>
      <c r="L736" t="s">
        <v>70</v>
      </c>
      <c r="M736" t="s">
        <v>77</v>
      </c>
      <c r="N736" t="s">
        <v>95</v>
      </c>
      <c r="O736">
        <v>2020</v>
      </c>
    </row>
    <row r="737" spans="1:15" x14ac:dyDescent="0.25">
      <c r="A737" t="s">
        <v>372</v>
      </c>
      <c r="B737" t="s">
        <v>565</v>
      </c>
      <c r="C737" t="s">
        <v>387</v>
      </c>
      <c r="D737" t="s">
        <v>375</v>
      </c>
      <c r="E737" t="s">
        <v>414</v>
      </c>
      <c r="F737" t="s">
        <v>566</v>
      </c>
      <c r="G737" t="s">
        <v>567</v>
      </c>
      <c r="H737" t="s">
        <v>560</v>
      </c>
      <c r="I737" t="s">
        <v>379</v>
      </c>
      <c r="J737" t="s">
        <v>568</v>
      </c>
      <c r="K737" t="s">
        <v>101</v>
      </c>
      <c r="L737" t="s">
        <v>146</v>
      </c>
      <c r="M737" t="s">
        <v>77</v>
      </c>
      <c r="N737" t="s">
        <v>78</v>
      </c>
      <c r="O737">
        <v>2019</v>
      </c>
    </row>
    <row r="738" spans="1:15" x14ac:dyDescent="0.25">
      <c r="A738" t="s">
        <v>372</v>
      </c>
      <c r="B738" t="s">
        <v>569</v>
      </c>
      <c r="C738" t="s">
        <v>387</v>
      </c>
      <c r="D738" t="s">
        <v>375</v>
      </c>
      <c r="E738" t="s">
        <v>414</v>
      </c>
      <c r="F738" t="s">
        <v>566</v>
      </c>
      <c r="G738" t="s">
        <v>567</v>
      </c>
      <c r="H738" t="s">
        <v>560</v>
      </c>
      <c r="I738" t="s">
        <v>379</v>
      </c>
      <c r="J738" t="s">
        <v>554</v>
      </c>
      <c r="K738" t="s">
        <v>31</v>
      </c>
      <c r="L738" t="s">
        <v>55</v>
      </c>
      <c r="M738" t="s">
        <v>88</v>
      </c>
      <c r="N738" t="s">
        <v>95</v>
      </c>
      <c r="O738">
        <v>2019</v>
      </c>
    </row>
    <row r="739" spans="1:15" x14ac:dyDescent="0.25">
      <c r="A739" t="s">
        <v>372</v>
      </c>
      <c r="B739" t="s">
        <v>570</v>
      </c>
      <c r="C739" t="s">
        <v>394</v>
      </c>
      <c r="D739" t="s">
        <v>68</v>
      </c>
      <c r="E739" t="s">
        <v>414</v>
      </c>
      <c r="F739" t="s">
        <v>566</v>
      </c>
      <c r="G739" t="s">
        <v>567</v>
      </c>
      <c r="H739" t="s">
        <v>571</v>
      </c>
      <c r="I739" t="s">
        <v>572</v>
      </c>
      <c r="J739" t="s">
        <v>573</v>
      </c>
      <c r="K739" t="s">
        <v>574</v>
      </c>
      <c r="L739" t="s">
        <v>111</v>
      </c>
      <c r="M739" t="s">
        <v>50</v>
      </c>
      <c r="N739" t="s">
        <v>72</v>
      </c>
      <c r="O739">
        <v>2019</v>
      </c>
    </row>
    <row r="740" spans="1:15" x14ac:dyDescent="0.25">
      <c r="A740" t="s">
        <v>372</v>
      </c>
      <c r="B740" t="s">
        <v>575</v>
      </c>
      <c r="C740" t="s">
        <v>394</v>
      </c>
      <c r="D740" t="s">
        <v>68</v>
      </c>
      <c r="E740" t="s">
        <v>414</v>
      </c>
      <c r="F740" t="s">
        <v>566</v>
      </c>
      <c r="G740" t="s">
        <v>567</v>
      </c>
      <c r="H740" t="s">
        <v>571</v>
      </c>
      <c r="I740" t="s">
        <v>572</v>
      </c>
      <c r="J740" t="s">
        <v>576</v>
      </c>
      <c r="K740" t="s">
        <v>577</v>
      </c>
      <c r="L740" t="s">
        <v>136</v>
      </c>
      <c r="M740" t="s">
        <v>39</v>
      </c>
      <c r="N740" t="s">
        <v>51</v>
      </c>
      <c r="O740">
        <v>2019</v>
      </c>
    </row>
    <row r="741" spans="1:15" x14ac:dyDescent="0.25">
      <c r="A741" t="s">
        <v>372</v>
      </c>
      <c r="B741" t="s">
        <v>578</v>
      </c>
      <c r="C741" t="s">
        <v>579</v>
      </c>
      <c r="D741" t="s">
        <v>18</v>
      </c>
      <c r="E741" t="s">
        <v>475</v>
      </c>
      <c r="F741" t="s">
        <v>580</v>
      </c>
      <c r="G741" t="s">
        <v>462</v>
      </c>
      <c r="H741" t="s">
        <v>581</v>
      </c>
      <c r="I741" t="s">
        <v>389</v>
      </c>
      <c r="J741" t="s">
        <v>478</v>
      </c>
      <c r="K741" t="s">
        <v>582</v>
      </c>
      <c r="L741" t="s">
        <v>312</v>
      </c>
      <c r="M741" t="s">
        <v>331</v>
      </c>
      <c r="N741" t="s">
        <v>583</v>
      </c>
      <c r="O741">
        <v>2022</v>
      </c>
    </row>
    <row r="742" spans="1:15" x14ac:dyDescent="0.25">
      <c r="A742" t="s">
        <v>372</v>
      </c>
      <c r="B742" t="s">
        <v>584</v>
      </c>
      <c r="C742" t="s">
        <v>131</v>
      </c>
      <c r="D742" t="s">
        <v>162</v>
      </c>
      <c r="E742" t="s">
        <v>508</v>
      </c>
      <c r="F742" t="s">
        <v>585</v>
      </c>
      <c r="G742" t="s">
        <v>498</v>
      </c>
      <c r="H742" t="s">
        <v>586</v>
      </c>
      <c r="I742" t="s">
        <v>587</v>
      </c>
      <c r="J742" t="s">
        <v>509</v>
      </c>
      <c r="K742" t="s">
        <v>588</v>
      </c>
      <c r="L742" t="s">
        <v>541</v>
      </c>
      <c r="M742" t="s">
        <v>502</v>
      </c>
      <c r="N742" t="s">
        <v>513</v>
      </c>
      <c r="O742">
        <v>2020</v>
      </c>
    </row>
    <row r="743" spans="1:15" x14ac:dyDescent="0.25">
      <c r="A743" t="s">
        <v>372</v>
      </c>
      <c r="B743" t="s">
        <v>589</v>
      </c>
      <c r="C743" t="s">
        <v>590</v>
      </c>
      <c r="D743" t="s">
        <v>162</v>
      </c>
      <c r="E743" t="s">
        <v>585</v>
      </c>
      <c r="F743" t="s">
        <v>591</v>
      </c>
      <c r="G743" t="s">
        <v>592</v>
      </c>
      <c r="H743" t="s">
        <v>571</v>
      </c>
      <c r="I743" t="s">
        <v>593</v>
      </c>
      <c r="J743" t="s">
        <v>594</v>
      </c>
      <c r="K743" t="s">
        <v>595</v>
      </c>
      <c r="L743" t="s">
        <v>506</v>
      </c>
      <c r="M743" t="s">
        <v>512</v>
      </c>
      <c r="N743" t="s">
        <v>596</v>
      </c>
      <c r="O743">
        <v>2018</v>
      </c>
    </row>
    <row r="744" spans="1:15" x14ac:dyDescent="0.25">
      <c r="A744" t="s">
        <v>372</v>
      </c>
      <c r="B744" t="s">
        <v>597</v>
      </c>
      <c r="C744" t="s">
        <v>598</v>
      </c>
      <c r="D744" t="s">
        <v>256</v>
      </c>
      <c r="E744" t="s">
        <v>475</v>
      </c>
      <c r="F744" t="s">
        <v>475</v>
      </c>
      <c r="G744" t="s">
        <v>599</v>
      </c>
      <c r="H744" t="s">
        <v>600</v>
      </c>
      <c r="I744" t="s">
        <v>601</v>
      </c>
      <c r="J744" t="s">
        <v>602</v>
      </c>
      <c r="K744" t="s">
        <v>595</v>
      </c>
      <c r="L744" t="s">
        <v>490</v>
      </c>
      <c r="M744" t="s">
        <v>603</v>
      </c>
      <c r="N744" t="s">
        <v>604</v>
      </c>
      <c r="O744">
        <v>2017</v>
      </c>
    </row>
    <row r="745" spans="1:15" x14ac:dyDescent="0.25">
      <c r="A745" t="s">
        <v>372</v>
      </c>
      <c r="B745" t="s">
        <v>605</v>
      </c>
      <c r="C745" t="s">
        <v>606</v>
      </c>
      <c r="D745" t="s">
        <v>162</v>
      </c>
      <c r="E745" t="s">
        <v>307</v>
      </c>
      <c r="F745" t="s">
        <v>607</v>
      </c>
      <c r="G745" t="s">
        <v>608</v>
      </c>
      <c r="H745" t="s">
        <v>609</v>
      </c>
      <c r="I745" t="s">
        <v>593</v>
      </c>
      <c r="J745" t="s">
        <v>602</v>
      </c>
      <c r="K745" t="s">
        <v>540</v>
      </c>
      <c r="L745" t="s">
        <v>501</v>
      </c>
      <c r="M745" t="s">
        <v>610</v>
      </c>
      <c r="N745" t="s">
        <v>604</v>
      </c>
      <c r="O745">
        <v>2018</v>
      </c>
    </row>
    <row r="746" spans="1:15" x14ac:dyDescent="0.25">
      <c r="A746" t="s">
        <v>372</v>
      </c>
      <c r="B746" t="s">
        <v>611</v>
      </c>
      <c r="C746" t="s">
        <v>612</v>
      </c>
      <c r="D746" t="s">
        <v>613</v>
      </c>
      <c r="E746" t="s">
        <v>508</v>
      </c>
      <c r="F746" t="s">
        <v>475</v>
      </c>
      <c r="G746" t="s">
        <v>614</v>
      </c>
      <c r="H746" t="s">
        <v>586</v>
      </c>
      <c r="I746" t="s">
        <v>601</v>
      </c>
      <c r="J746" t="s">
        <v>615</v>
      </c>
      <c r="K746" t="s">
        <v>616</v>
      </c>
      <c r="L746" t="s">
        <v>617</v>
      </c>
      <c r="M746" t="s">
        <v>618</v>
      </c>
      <c r="N746" t="s">
        <v>619</v>
      </c>
      <c r="O746">
        <v>2018</v>
      </c>
    </row>
    <row r="747" spans="1:15" x14ac:dyDescent="0.25">
      <c r="A747" t="s">
        <v>372</v>
      </c>
      <c r="B747" t="s">
        <v>620</v>
      </c>
      <c r="C747" t="s">
        <v>213</v>
      </c>
      <c r="D747" t="s">
        <v>18</v>
      </c>
      <c r="E747" t="s">
        <v>585</v>
      </c>
      <c r="F747" t="s">
        <v>621</v>
      </c>
      <c r="G747" t="s">
        <v>622</v>
      </c>
      <c r="H747" t="s">
        <v>395</v>
      </c>
      <c r="I747" t="s">
        <v>593</v>
      </c>
      <c r="J747" t="s">
        <v>623</v>
      </c>
      <c r="K747" t="s">
        <v>624</v>
      </c>
      <c r="L747" t="s">
        <v>625</v>
      </c>
      <c r="M747" t="s">
        <v>327</v>
      </c>
      <c r="N747" t="s">
        <v>482</v>
      </c>
      <c r="O747">
        <v>2016</v>
      </c>
    </row>
    <row r="748" spans="1:15" x14ac:dyDescent="0.25">
      <c r="A748" t="s">
        <v>372</v>
      </c>
      <c r="B748" t="s">
        <v>626</v>
      </c>
      <c r="C748" t="s">
        <v>627</v>
      </c>
      <c r="D748" t="s">
        <v>162</v>
      </c>
      <c r="E748" t="s">
        <v>585</v>
      </c>
      <c r="F748" t="s">
        <v>585</v>
      </c>
      <c r="G748" t="s">
        <v>628</v>
      </c>
      <c r="H748" t="s">
        <v>609</v>
      </c>
      <c r="I748" t="s">
        <v>629</v>
      </c>
      <c r="J748" t="s">
        <v>509</v>
      </c>
      <c r="K748" t="s">
        <v>630</v>
      </c>
      <c r="L748" t="s">
        <v>471</v>
      </c>
      <c r="M748" t="s">
        <v>491</v>
      </c>
      <c r="N748" t="s">
        <v>516</v>
      </c>
      <c r="O748">
        <v>2017</v>
      </c>
    </row>
    <row r="749" spans="1:15" x14ac:dyDescent="0.25">
      <c r="A749" t="s">
        <v>372</v>
      </c>
      <c r="B749" t="s">
        <v>631</v>
      </c>
      <c r="C749" t="s">
        <v>632</v>
      </c>
      <c r="D749" t="s">
        <v>162</v>
      </c>
      <c r="E749" t="s">
        <v>307</v>
      </c>
      <c r="F749" t="s">
        <v>585</v>
      </c>
      <c r="G749" t="s">
        <v>633</v>
      </c>
      <c r="H749" t="s">
        <v>634</v>
      </c>
      <c r="I749" t="s">
        <v>635</v>
      </c>
      <c r="J749" t="s">
        <v>602</v>
      </c>
      <c r="K749" t="s">
        <v>636</v>
      </c>
      <c r="L749" t="s">
        <v>637</v>
      </c>
      <c r="M749" t="s">
        <v>502</v>
      </c>
      <c r="N749" t="s">
        <v>596</v>
      </c>
      <c r="O749">
        <v>2016</v>
      </c>
    </row>
    <row r="750" spans="1:15" x14ac:dyDescent="0.25">
      <c r="A750" t="s">
        <v>372</v>
      </c>
      <c r="B750" t="s">
        <v>638</v>
      </c>
      <c r="C750" t="s">
        <v>218</v>
      </c>
      <c r="D750" t="s">
        <v>375</v>
      </c>
      <c r="E750" t="s">
        <v>414</v>
      </c>
      <c r="F750" t="s">
        <v>415</v>
      </c>
      <c r="G750" t="s">
        <v>639</v>
      </c>
      <c r="H750" t="s">
        <v>422</v>
      </c>
      <c r="I750" t="s">
        <v>433</v>
      </c>
      <c r="J750" t="s">
        <v>640</v>
      </c>
      <c r="K750" t="s">
        <v>65</v>
      </c>
      <c r="L750" t="s">
        <v>453</v>
      </c>
      <c r="M750" t="s">
        <v>641</v>
      </c>
      <c r="N750" t="s">
        <v>642</v>
      </c>
      <c r="O750">
        <v>2021</v>
      </c>
    </row>
    <row r="751" spans="1:15" x14ac:dyDescent="0.25">
      <c r="A751" t="s">
        <v>372</v>
      </c>
      <c r="B751" t="s">
        <v>643</v>
      </c>
      <c r="C751" t="s">
        <v>644</v>
      </c>
      <c r="D751" t="s">
        <v>375</v>
      </c>
      <c r="E751" t="s">
        <v>414</v>
      </c>
      <c r="F751" t="s">
        <v>415</v>
      </c>
      <c r="G751" t="s">
        <v>639</v>
      </c>
      <c r="H751" t="s">
        <v>422</v>
      </c>
      <c r="I751" t="s">
        <v>433</v>
      </c>
      <c r="J751" t="s">
        <v>645</v>
      </c>
      <c r="K751" t="s">
        <v>37</v>
      </c>
      <c r="L751" t="s">
        <v>646</v>
      </c>
      <c r="M751" t="s">
        <v>128</v>
      </c>
      <c r="N751" t="s">
        <v>254</v>
      </c>
      <c r="O751">
        <v>2020</v>
      </c>
    </row>
    <row r="752" spans="1:15" x14ac:dyDescent="0.25">
      <c r="A752" t="s">
        <v>372</v>
      </c>
      <c r="B752" t="s">
        <v>647</v>
      </c>
      <c r="C752" t="s">
        <v>648</v>
      </c>
      <c r="D752" t="s">
        <v>375</v>
      </c>
      <c r="E752" t="s">
        <v>132</v>
      </c>
      <c r="F752" t="s">
        <v>649</v>
      </c>
      <c r="G752" t="s">
        <v>401</v>
      </c>
      <c r="H752" t="s">
        <v>650</v>
      </c>
      <c r="I752" t="s">
        <v>651</v>
      </c>
      <c r="J752" t="s">
        <v>396</v>
      </c>
      <c r="K752" t="s">
        <v>652</v>
      </c>
      <c r="L752" t="s">
        <v>646</v>
      </c>
      <c r="M752" t="s">
        <v>88</v>
      </c>
      <c r="N752" t="s">
        <v>159</v>
      </c>
      <c r="O752">
        <v>2023</v>
      </c>
    </row>
    <row r="753" spans="1:15" x14ac:dyDescent="0.25">
      <c r="A753" t="s">
        <v>372</v>
      </c>
      <c r="B753" t="s">
        <v>653</v>
      </c>
      <c r="C753" t="s">
        <v>654</v>
      </c>
      <c r="D753" t="s">
        <v>375</v>
      </c>
      <c r="E753" t="s">
        <v>19</v>
      </c>
      <c r="F753" t="s">
        <v>649</v>
      </c>
      <c r="G753" t="s">
        <v>401</v>
      </c>
      <c r="H753" t="s">
        <v>655</v>
      </c>
      <c r="I753" t="s">
        <v>656</v>
      </c>
      <c r="J753" t="s">
        <v>640</v>
      </c>
      <c r="K753" t="s">
        <v>65</v>
      </c>
      <c r="L753" t="s">
        <v>195</v>
      </c>
      <c r="M753" t="s">
        <v>56</v>
      </c>
      <c r="N753" t="s">
        <v>89</v>
      </c>
      <c r="O753">
        <v>2023</v>
      </c>
    </row>
    <row r="754" spans="1:15" x14ac:dyDescent="0.25">
      <c r="A754" t="s">
        <v>372</v>
      </c>
      <c r="B754" t="s">
        <v>657</v>
      </c>
      <c r="C754" t="s">
        <v>658</v>
      </c>
      <c r="D754" t="s">
        <v>68</v>
      </c>
      <c r="E754" t="s">
        <v>19</v>
      </c>
      <c r="F754" t="s">
        <v>475</v>
      </c>
      <c r="G754" t="s">
        <v>401</v>
      </c>
      <c r="H754" t="s">
        <v>659</v>
      </c>
      <c r="I754" t="s">
        <v>338</v>
      </c>
      <c r="J754" t="s">
        <v>660</v>
      </c>
      <c r="K754" t="s">
        <v>661</v>
      </c>
      <c r="L754" t="s">
        <v>118</v>
      </c>
      <c r="M754" t="s">
        <v>27</v>
      </c>
      <c r="N754" t="s">
        <v>173</v>
      </c>
      <c r="O754">
        <v>2023</v>
      </c>
    </row>
    <row r="755" spans="1:15" x14ac:dyDescent="0.25">
      <c r="A755" t="s">
        <v>372</v>
      </c>
      <c r="B755" t="s">
        <v>662</v>
      </c>
      <c r="C755" t="s">
        <v>663</v>
      </c>
      <c r="D755" t="s">
        <v>18</v>
      </c>
      <c r="E755" t="s">
        <v>19</v>
      </c>
      <c r="F755" t="s">
        <v>307</v>
      </c>
      <c r="G755" t="s">
        <v>462</v>
      </c>
      <c r="H755" t="s">
        <v>664</v>
      </c>
      <c r="I755" t="s">
        <v>296</v>
      </c>
      <c r="J755" t="s">
        <v>561</v>
      </c>
      <c r="K755" t="s">
        <v>665</v>
      </c>
      <c r="L755" t="s">
        <v>142</v>
      </c>
      <c r="M755" t="s">
        <v>666</v>
      </c>
      <c r="N755" t="s">
        <v>667</v>
      </c>
      <c r="O755">
        <v>2023</v>
      </c>
    </row>
    <row r="756" spans="1:15" x14ac:dyDescent="0.25">
      <c r="A756" t="s">
        <v>372</v>
      </c>
      <c r="B756" t="s">
        <v>668</v>
      </c>
      <c r="C756" t="s">
        <v>669</v>
      </c>
      <c r="D756" t="s">
        <v>375</v>
      </c>
      <c r="E756" t="s">
        <v>132</v>
      </c>
      <c r="F756" t="s">
        <v>670</v>
      </c>
      <c r="G756" t="s">
        <v>451</v>
      </c>
      <c r="H756" t="s">
        <v>650</v>
      </c>
      <c r="I756" t="s">
        <v>651</v>
      </c>
      <c r="J756" t="s">
        <v>411</v>
      </c>
      <c r="K756" t="s">
        <v>671</v>
      </c>
      <c r="L756" t="s">
        <v>672</v>
      </c>
      <c r="M756" t="s">
        <v>77</v>
      </c>
      <c r="N756" t="s">
        <v>272</v>
      </c>
      <c r="O756">
        <v>2022</v>
      </c>
    </row>
    <row r="757" spans="1:15" x14ac:dyDescent="0.25">
      <c r="A757" t="s">
        <v>372</v>
      </c>
      <c r="B757" t="s">
        <v>673</v>
      </c>
      <c r="C757" t="s">
        <v>674</v>
      </c>
      <c r="D757" t="s">
        <v>68</v>
      </c>
      <c r="E757" t="s">
        <v>19</v>
      </c>
      <c r="F757" t="s">
        <v>670</v>
      </c>
      <c r="G757" t="s">
        <v>451</v>
      </c>
      <c r="H757" t="s">
        <v>655</v>
      </c>
      <c r="I757" t="s">
        <v>656</v>
      </c>
      <c r="J757" t="s">
        <v>675</v>
      </c>
      <c r="K757" t="s">
        <v>49</v>
      </c>
      <c r="L757" t="s">
        <v>192</v>
      </c>
      <c r="M757" t="s">
        <v>39</v>
      </c>
      <c r="N757" t="s">
        <v>72</v>
      </c>
      <c r="O757">
        <v>2022</v>
      </c>
    </row>
    <row r="758" spans="1:15" x14ac:dyDescent="0.25">
      <c r="A758" t="s">
        <v>372</v>
      </c>
      <c r="B758" t="s">
        <v>676</v>
      </c>
      <c r="C758" t="s">
        <v>677</v>
      </c>
      <c r="D758" t="s">
        <v>68</v>
      </c>
      <c r="E758" t="s">
        <v>19</v>
      </c>
      <c r="F758" t="s">
        <v>670</v>
      </c>
      <c r="G758" t="s">
        <v>451</v>
      </c>
      <c r="H758" t="s">
        <v>664</v>
      </c>
      <c r="I758" t="s">
        <v>338</v>
      </c>
      <c r="J758" t="s">
        <v>556</v>
      </c>
      <c r="K758" t="s">
        <v>101</v>
      </c>
      <c r="L758" t="s">
        <v>55</v>
      </c>
      <c r="M758" t="s">
        <v>167</v>
      </c>
      <c r="N758" t="s">
        <v>34</v>
      </c>
      <c r="O758">
        <v>2022</v>
      </c>
    </row>
    <row r="759" spans="1:15" x14ac:dyDescent="0.25">
      <c r="A759" t="s">
        <v>372</v>
      </c>
      <c r="B759" t="s">
        <v>678</v>
      </c>
      <c r="C759" t="s">
        <v>679</v>
      </c>
      <c r="D759" t="s">
        <v>68</v>
      </c>
      <c r="E759" t="s">
        <v>508</v>
      </c>
      <c r="F759" t="s">
        <v>307</v>
      </c>
      <c r="G759" t="s">
        <v>680</v>
      </c>
      <c r="H759" t="s">
        <v>681</v>
      </c>
      <c r="I759" t="s">
        <v>338</v>
      </c>
      <c r="J759" t="s">
        <v>682</v>
      </c>
      <c r="K759" t="s">
        <v>479</v>
      </c>
      <c r="L759" t="s">
        <v>480</v>
      </c>
      <c r="M759" t="s">
        <v>683</v>
      </c>
      <c r="N759" t="s">
        <v>513</v>
      </c>
      <c r="O759">
        <v>2023</v>
      </c>
    </row>
    <row r="760" spans="1:15" x14ac:dyDescent="0.25">
      <c r="A760" t="s">
        <v>372</v>
      </c>
      <c r="B760" t="s">
        <v>684</v>
      </c>
      <c r="C760" t="s">
        <v>685</v>
      </c>
      <c r="D760" t="s">
        <v>162</v>
      </c>
      <c r="E760" t="s">
        <v>686</v>
      </c>
      <c r="F760" t="s">
        <v>307</v>
      </c>
      <c r="G760" t="s">
        <v>487</v>
      </c>
      <c r="H760" t="s">
        <v>687</v>
      </c>
      <c r="I760" t="s">
        <v>688</v>
      </c>
      <c r="J760" t="s">
        <v>478</v>
      </c>
      <c r="K760" t="s">
        <v>689</v>
      </c>
      <c r="L760" t="s">
        <v>541</v>
      </c>
      <c r="M760" t="s">
        <v>603</v>
      </c>
      <c r="N760" t="s">
        <v>604</v>
      </c>
      <c r="O760">
        <v>2023</v>
      </c>
    </row>
    <row r="761" spans="1:15" x14ac:dyDescent="0.25">
      <c r="A761" t="s">
        <v>372</v>
      </c>
      <c r="B761" t="s">
        <v>690</v>
      </c>
      <c r="C761" t="s">
        <v>691</v>
      </c>
      <c r="D761" t="s">
        <v>162</v>
      </c>
      <c r="E761" t="s">
        <v>508</v>
      </c>
      <c r="F761" t="s">
        <v>307</v>
      </c>
      <c r="G761" t="s">
        <v>692</v>
      </c>
      <c r="H761" t="s">
        <v>681</v>
      </c>
      <c r="I761" t="s">
        <v>693</v>
      </c>
      <c r="J761" t="s">
        <v>694</v>
      </c>
      <c r="K761" t="s">
        <v>529</v>
      </c>
      <c r="L761" t="s">
        <v>501</v>
      </c>
      <c r="M761" t="s">
        <v>512</v>
      </c>
      <c r="N761" t="s">
        <v>596</v>
      </c>
      <c r="O761">
        <v>2022</v>
      </c>
    </row>
    <row r="762" spans="1:15" x14ac:dyDescent="0.25">
      <c r="A762" t="s">
        <v>372</v>
      </c>
      <c r="B762" t="s">
        <v>695</v>
      </c>
      <c r="C762" t="s">
        <v>685</v>
      </c>
      <c r="D762" t="s">
        <v>256</v>
      </c>
      <c r="E762" t="s">
        <v>686</v>
      </c>
      <c r="F762" t="s">
        <v>307</v>
      </c>
      <c r="G762" t="s">
        <v>696</v>
      </c>
      <c r="H762" t="s">
        <v>687</v>
      </c>
      <c r="I762" t="s">
        <v>688</v>
      </c>
      <c r="J762" t="s">
        <v>602</v>
      </c>
      <c r="K762" t="s">
        <v>697</v>
      </c>
      <c r="L762" t="s">
        <v>617</v>
      </c>
      <c r="M762" t="s">
        <v>698</v>
      </c>
      <c r="N762" t="s">
        <v>699</v>
      </c>
      <c r="O762">
        <v>2021</v>
      </c>
    </row>
    <row r="763" spans="1:15" x14ac:dyDescent="0.25">
      <c r="A763" t="s">
        <v>372</v>
      </c>
      <c r="B763" t="s">
        <v>700</v>
      </c>
      <c r="C763" t="s">
        <v>701</v>
      </c>
      <c r="D763" t="s">
        <v>18</v>
      </c>
      <c r="E763" t="s">
        <v>508</v>
      </c>
      <c r="F763" t="s">
        <v>475</v>
      </c>
      <c r="G763" t="s">
        <v>462</v>
      </c>
      <c r="H763" t="s">
        <v>702</v>
      </c>
      <c r="I763" t="s">
        <v>703</v>
      </c>
      <c r="J763" t="s">
        <v>561</v>
      </c>
      <c r="K763" t="s">
        <v>704</v>
      </c>
      <c r="L763" t="s">
        <v>304</v>
      </c>
      <c r="M763" t="s">
        <v>666</v>
      </c>
      <c r="N763" t="s">
        <v>705</v>
      </c>
      <c r="O763">
        <v>2024</v>
      </c>
    </row>
    <row r="764" spans="1:15" x14ac:dyDescent="0.25">
      <c r="A764" t="s">
        <v>372</v>
      </c>
      <c r="B764" t="s">
        <v>706</v>
      </c>
      <c r="C764" t="s">
        <v>707</v>
      </c>
      <c r="D764" t="s">
        <v>18</v>
      </c>
      <c r="E764" t="s">
        <v>307</v>
      </c>
      <c r="F764" t="s">
        <v>475</v>
      </c>
      <c r="G764" t="s">
        <v>708</v>
      </c>
      <c r="H764" t="s">
        <v>709</v>
      </c>
      <c r="I764" t="s">
        <v>710</v>
      </c>
      <c r="J764" t="s">
        <v>554</v>
      </c>
      <c r="K764" t="s">
        <v>574</v>
      </c>
      <c r="L764" t="s">
        <v>711</v>
      </c>
      <c r="M764" t="s">
        <v>712</v>
      </c>
      <c r="N764" t="s">
        <v>168</v>
      </c>
      <c r="O764">
        <v>2022</v>
      </c>
    </row>
    <row r="765" spans="1:15" x14ac:dyDescent="0.25">
      <c r="A765" t="s">
        <v>372</v>
      </c>
      <c r="B765" t="s">
        <v>713</v>
      </c>
      <c r="C765" t="s">
        <v>714</v>
      </c>
      <c r="D765" t="s">
        <v>162</v>
      </c>
      <c r="E765" t="s">
        <v>508</v>
      </c>
      <c r="F765" t="s">
        <v>475</v>
      </c>
      <c r="G765" t="s">
        <v>715</v>
      </c>
      <c r="H765" t="s">
        <v>702</v>
      </c>
      <c r="I765" t="s">
        <v>703</v>
      </c>
      <c r="J765" t="s">
        <v>576</v>
      </c>
      <c r="K765" t="s">
        <v>716</v>
      </c>
      <c r="L765" t="s">
        <v>717</v>
      </c>
      <c r="M765" t="s">
        <v>331</v>
      </c>
      <c r="N765" t="s">
        <v>718</v>
      </c>
      <c r="O765">
        <v>2020</v>
      </c>
    </row>
    <row r="766" spans="1:15" x14ac:dyDescent="0.25">
      <c r="A766" t="s">
        <v>372</v>
      </c>
      <c r="B766" t="s">
        <v>719</v>
      </c>
      <c r="C766" t="s">
        <v>306</v>
      </c>
      <c r="D766" t="s">
        <v>720</v>
      </c>
      <c r="E766" t="s">
        <v>686</v>
      </c>
      <c r="F766" t="s">
        <v>508</v>
      </c>
      <c r="G766" t="s">
        <v>721</v>
      </c>
      <c r="H766" t="s">
        <v>378</v>
      </c>
      <c r="I766" t="s">
        <v>710</v>
      </c>
      <c r="J766" t="s">
        <v>722</v>
      </c>
      <c r="K766" t="s">
        <v>723</v>
      </c>
      <c r="L766" t="s">
        <v>724</v>
      </c>
      <c r="M766" t="s">
        <v>618</v>
      </c>
      <c r="N766" t="s">
        <v>619</v>
      </c>
      <c r="O766">
        <v>2016</v>
      </c>
    </row>
    <row r="767" spans="1:15" x14ac:dyDescent="0.25">
      <c r="A767" t="s">
        <v>372</v>
      </c>
      <c r="B767" t="s">
        <v>725</v>
      </c>
      <c r="C767" t="s">
        <v>726</v>
      </c>
      <c r="D767" t="s">
        <v>720</v>
      </c>
      <c r="E767" t="s">
        <v>686</v>
      </c>
      <c r="F767" t="s">
        <v>508</v>
      </c>
      <c r="G767" t="s">
        <v>727</v>
      </c>
      <c r="H767" t="s">
        <v>378</v>
      </c>
      <c r="I767" t="s">
        <v>703</v>
      </c>
      <c r="J767" t="s">
        <v>728</v>
      </c>
      <c r="K767" t="s">
        <v>729</v>
      </c>
      <c r="L767" t="s">
        <v>730</v>
      </c>
      <c r="M767" t="s">
        <v>731</v>
      </c>
      <c r="N767" t="s">
        <v>732</v>
      </c>
      <c r="O767">
        <v>2016</v>
      </c>
    </row>
    <row r="768" spans="1:15" x14ac:dyDescent="0.25">
      <c r="A768" t="s">
        <v>372</v>
      </c>
      <c r="B768" t="s">
        <v>2344</v>
      </c>
      <c r="C768" t="s">
        <v>1120</v>
      </c>
      <c r="D768" t="s">
        <v>375</v>
      </c>
      <c r="E768" t="s">
        <v>2345</v>
      </c>
      <c r="F768" t="s">
        <v>580</v>
      </c>
      <c r="G768" t="s">
        <v>737</v>
      </c>
      <c r="H768" t="s">
        <v>432</v>
      </c>
      <c r="I768" t="s">
        <v>433</v>
      </c>
      <c r="J768" t="s">
        <v>2346</v>
      </c>
      <c r="K768" t="s">
        <v>2347</v>
      </c>
      <c r="L768" t="s">
        <v>2348</v>
      </c>
      <c r="M768" t="s">
        <v>442</v>
      </c>
      <c r="N768" t="s">
        <v>2349</v>
      </c>
      <c r="O768">
        <v>2024</v>
      </c>
    </row>
    <row r="769" spans="1:15" x14ac:dyDescent="0.25">
      <c r="A769" t="s">
        <v>372</v>
      </c>
      <c r="B769" t="s">
        <v>2350</v>
      </c>
      <c r="C769" t="s">
        <v>1120</v>
      </c>
      <c r="D769" t="s">
        <v>375</v>
      </c>
      <c r="E769" t="s">
        <v>2345</v>
      </c>
      <c r="F769" t="s">
        <v>580</v>
      </c>
      <c r="G769" t="s">
        <v>737</v>
      </c>
      <c r="H769" t="s">
        <v>432</v>
      </c>
      <c r="I769" t="s">
        <v>433</v>
      </c>
      <c r="J769" t="s">
        <v>2351</v>
      </c>
      <c r="K769" t="s">
        <v>2352</v>
      </c>
      <c r="L769" t="s">
        <v>2353</v>
      </c>
      <c r="M769" t="s">
        <v>2354</v>
      </c>
      <c r="N769" t="s">
        <v>2355</v>
      </c>
      <c r="O769">
        <v>2024</v>
      </c>
    </row>
    <row r="770" spans="1:15" x14ac:dyDescent="0.25">
      <c r="A770" t="s">
        <v>372</v>
      </c>
      <c r="B770" t="s">
        <v>2356</v>
      </c>
      <c r="C770" t="s">
        <v>1120</v>
      </c>
      <c r="D770" t="s">
        <v>375</v>
      </c>
      <c r="E770" t="s">
        <v>2345</v>
      </c>
      <c r="F770" t="s">
        <v>580</v>
      </c>
      <c r="G770" t="s">
        <v>737</v>
      </c>
      <c r="H770" t="s">
        <v>432</v>
      </c>
      <c r="I770" t="s">
        <v>433</v>
      </c>
      <c r="J770" t="s">
        <v>2357</v>
      </c>
      <c r="K770" t="s">
        <v>2358</v>
      </c>
      <c r="L770" t="s">
        <v>2359</v>
      </c>
      <c r="M770" t="s">
        <v>2360</v>
      </c>
      <c r="N770" t="s">
        <v>2361</v>
      </c>
      <c r="O770">
        <v>2024</v>
      </c>
    </row>
    <row r="771" spans="1:15" x14ac:dyDescent="0.25">
      <c r="A771" t="s">
        <v>1887</v>
      </c>
      <c r="B771" t="s">
        <v>1888</v>
      </c>
      <c r="C771" t="s">
        <v>789</v>
      </c>
      <c r="D771" t="s">
        <v>375</v>
      </c>
      <c r="E771" t="s">
        <v>19</v>
      </c>
      <c r="F771" t="s">
        <v>19</v>
      </c>
      <c r="G771" t="s">
        <v>451</v>
      </c>
      <c r="H771" t="s">
        <v>1219</v>
      </c>
      <c r="I771" t="s">
        <v>248</v>
      </c>
      <c r="J771" t="s">
        <v>1889</v>
      </c>
      <c r="K771" t="s">
        <v>121</v>
      </c>
      <c r="L771" t="s">
        <v>118</v>
      </c>
      <c r="M771" t="s">
        <v>364</v>
      </c>
      <c r="N771" t="s">
        <v>365</v>
      </c>
      <c r="O771">
        <v>2022</v>
      </c>
    </row>
    <row r="772" spans="1:15" x14ac:dyDescent="0.25">
      <c r="A772" t="s">
        <v>1887</v>
      </c>
      <c r="B772" t="s">
        <v>1890</v>
      </c>
      <c r="C772" t="s">
        <v>131</v>
      </c>
      <c r="D772" t="s">
        <v>68</v>
      </c>
      <c r="E772" t="s">
        <v>19</v>
      </c>
      <c r="F772" t="s">
        <v>19</v>
      </c>
      <c r="G772" t="s">
        <v>451</v>
      </c>
      <c r="H772" t="s">
        <v>1219</v>
      </c>
      <c r="I772" t="s">
        <v>23</v>
      </c>
      <c r="J772" t="s">
        <v>1891</v>
      </c>
      <c r="K772" t="s">
        <v>37</v>
      </c>
      <c r="L772" t="s">
        <v>108</v>
      </c>
      <c r="M772" t="s">
        <v>56</v>
      </c>
      <c r="N772" t="s">
        <v>84</v>
      </c>
      <c r="O772">
        <v>2022</v>
      </c>
    </row>
    <row r="773" spans="1:15" x14ac:dyDescent="0.25">
      <c r="A773" t="s">
        <v>1887</v>
      </c>
      <c r="B773" t="s">
        <v>1892</v>
      </c>
      <c r="C773" t="s">
        <v>1893</v>
      </c>
      <c r="D773" t="s">
        <v>18</v>
      </c>
      <c r="E773" t="s">
        <v>307</v>
      </c>
      <c r="F773" t="s">
        <v>19</v>
      </c>
      <c r="G773" t="s">
        <v>680</v>
      </c>
      <c r="H773" t="s">
        <v>1219</v>
      </c>
      <c r="I773" t="s">
        <v>593</v>
      </c>
      <c r="J773" t="s">
        <v>233</v>
      </c>
      <c r="K773" t="s">
        <v>665</v>
      </c>
      <c r="L773" t="s">
        <v>299</v>
      </c>
      <c r="M773" t="s">
        <v>331</v>
      </c>
      <c r="N773" t="s">
        <v>332</v>
      </c>
      <c r="O773">
        <v>2022</v>
      </c>
    </row>
    <row r="774" spans="1:15" x14ac:dyDescent="0.25">
      <c r="A774" t="s">
        <v>1887</v>
      </c>
      <c r="B774" t="s">
        <v>1894</v>
      </c>
      <c r="C774" t="s">
        <v>445</v>
      </c>
      <c r="D774" t="s">
        <v>375</v>
      </c>
      <c r="E774" t="s">
        <v>19</v>
      </c>
      <c r="F774" t="s">
        <v>20</v>
      </c>
      <c r="G774" t="s">
        <v>401</v>
      </c>
      <c r="H774" t="s">
        <v>1219</v>
      </c>
      <c r="I774" t="s">
        <v>248</v>
      </c>
      <c r="J774" t="s">
        <v>1895</v>
      </c>
      <c r="K774" t="s">
        <v>92</v>
      </c>
      <c r="L774" t="s">
        <v>123</v>
      </c>
      <c r="M774" t="s">
        <v>1896</v>
      </c>
      <c r="N774" t="s">
        <v>1897</v>
      </c>
      <c r="O774">
        <v>2023</v>
      </c>
    </row>
    <row r="775" spans="1:15" x14ac:dyDescent="0.25">
      <c r="A775" t="s">
        <v>1887</v>
      </c>
      <c r="B775" t="s">
        <v>1898</v>
      </c>
      <c r="C775" t="s">
        <v>606</v>
      </c>
      <c r="D775" t="s">
        <v>68</v>
      </c>
      <c r="E775" t="s">
        <v>19</v>
      </c>
      <c r="F775" t="s">
        <v>20</v>
      </c>
      <c r="G775" t="s">
        <v>401</v>
      </c>
      <c r="H775" t="s">
        <v>1219</v>
      </c>
      <c r="I775" t="s">
        <v>23</v>
      </c>
      <c r="J775" t="s">
        <v>1899</v>
      </c>
      <c r="K775" t="s">
        <v>49</v>
      </c>
      <c r="L775" t="s">
        <v>146</v>
      </c>
      <c r="M775" t="s">
        <v>77</v>
      </c>
      <c r="N775" t="s">
        <v>447</v>
      </c>
      <c r="O775">
        <v>2023</v>
      </c>
    </row>
    <row r="776" spans="1:15" x14ac:dyDescent="0.25">
      <c r="A776" t="s">
        <v>1887</v>
      </c>
      <c r="B776" t="s">
        <v>1900</v>
      </c>
      <c r="C776" t="s">
        <v>208</v>
      </c>
      <c r="D776" t="s">
        <v>18</v>
      </c>
      <c r="E776" t="s">
        <v>307</v>
      </c>
      <c r="F776" t="s">
        <v>20</v>
      </c>
      <c r="G776" t="s">
        <v>680</v>
      </c>
      <c r="H776" t="s">
        <v>1219</v>
      </c>
      <c r="I776" t="s">
        <v>23</v>
      </c>
      <c r="J776" t="s">
        <v>765</v>
      </c>
      <c r="K776" t="s">
        <v>704</v>
      </c>
      <c r="L776" t="s">
        <v>304</v>
      </c>
      <c r="M776" t="s">
        <v>300</v>
      </c>
      <c r="N776" t="s">
        <v>667</v>
      </c>
      <c r="O776">
        <v>2023</v>
      </c>
    </row>
    <row r="777" spans="1:15" x14ac:dyDescent="0.25">
      <c r="A777" t="s">
        <v>1887</v>
      </c>
      <c r="B777" t="s">
        <v>1901</v>
      </c>
      <c r="C777" t="s">
        <v>496</v>
      </c>
      <c r="D777" t="s">
        <v>375</v>
      </c>
      <c r="E777" t="s">
        <v>19</v>
      </c>
      <c r="F777" t="s">
        <v>20</v>
      </c>
      <c r="G777" t="s">
        <v>737</v>
      </c>
      <c r="H777" t="s">
        <v>1219</v>
      </c>
      <c r="I777" t="s">
        <v>248</v>
      </c>
      <c r="J777" t="s">
        <v>1902</v>
      </c>
      <c r="K777" t="s">
        <v>895</v>
      </c>
      <c r="L777" t="s">
        <v>154</v>
      </c>
      <c r="M777" t="s">
        <v>370</v>
      </c>
      <c r="N777" t="s">
        <v>1903</v>
      </c>
      <c r="O777">
        <v>2024</v>
      </c>
    </row>
    <row r="778" spans="1:15" x14ac:dyDescent="0.25">
      <c r="A778" t="s">
        <v>1887</v>
      </c>
      <c r="B778" t="s">
        <v>1904</v>
      </c>
      <c r="C778" t="s">
        <v>809</v>
      </c>
      <c r="D778" t="s">
        <v>68</v>
      </c>
      <c r="E778" t="s">
        <v>19</v>
      </c>
      <c r="F778" t="s">
        <v>20</v>
      </c>
      <c r="G778" t="s">
        <v>737</v>
      </c>
      <c r="H778" t="s">
        <v>1219</v>
      </c>
      <c r="I778" t="s">
        <v>23</v>
      </c>
      <c r="J778" t="s">
        <v>1765</v>
      </c>
      <c r="K778" t="s">
        <v>65</v>
      </c>
      <c r="L778" t="s">
        <v>418</v>
      </c>
      <c r="M778" t="s">
        <v>88</v>
      </c>
      <c r="N778" t="s">
        <v>129</v>
      </c>
      <c r="O778">
        <v>2024</v>
      </c>
    </row>
    <row r="779" spans="1:15" x14ac:dyDescent="0.25">
      <c r="A779" t="s">
        <v>1887</v>
      </c>
      <c r="B779" t="s">
        <v>1905</v>
      </c>
      <c r="C779" t="s">
        <v>425</v>
      </c>
      <c r="D779" t="s">
        <v>18</v>
      </c>
      <c r="E779" t="s">
        <v>307</v>
      </c>
      <c r="F779" t="s">
        <v>20</v>
      </c>
      <c r="G779" t="s">
        <v>1648</v>
      </c>
      <c r="H779" t="s">
        <v>1219</v>
      </c>
      <c r="I779" t="s">
        <v>23</v>
      </c>
      <c r="J779" t="s">
        <v>1570</v>
      </c>
      <c r="K779" t="s">
        <v>577</v>
      </c>
      <c r="L779" t="s">
        <v>883</v>
      </c>
      <c r="M779" t="s">
        <v>167</v>
      </c>
      <c r="N779" t="s">
        <v>705</v>
      </c>
      <c r="O779">
        <v>2024</v>
      </c>
    </row>
    <row r="780" spans="1:15" x14ac:dyDescent="0.25">
      <c r="A780" t="s">
        <v>1981</v>
      </c>
      <c r="B780" t="s">
        <v>1982</v>
      </c>
      <c r="C780" t="s">
        <v>496</v>
      </c>
      <c r="D780" t="s">
        <v>162</v>
      </c>
      <c r="E780" t="s">
        <v>307</v>
      </c>
      <c r="F780" t="s">
        <v>475</v>
      </c>
      <c r="G780" t="s">
        <v>1983</v>
      </c>
      <c r="H780" t="s">
        <v>1219</v>
      </c>
      <c r="I780" t="s">
        <v>389</v>
      </c>
      <c r="J780" t="s">
        <v>971</v>
      </c>
      <c r="K780" t="s">
        <v>723</v>
      </c>
      <c r="L780" t="s">
        <v>730</v>
      </c>
      <c r="M780" t="s">
        <v>618</v>
      </c>
      <c r="N780" t="s">
        <v>619</v>
      </c>
      <c r="O780">
        <v>2024</v>
      </c>
    </row>
    <row r="781" spans="1:15" x14ac:dyDescent="0.25">
      <c r="A781" t="s">
        <v>1981</v>
      </c>
      <c r="B781" t="s">
        <v>1984</v>
      </c>
      <c r="C781" t="s">
        <v>1985</v>
      </c>
      <c r="D781" t="s">
        <v>68</v>
      </c>
      <c r="E781" t="s">
        <v>475</v>
      </c>
      <c r="F781" t="s">
        <v>580</v>
      </c>
      <c r="G781" t="s">
        <v>1986</v>
      </c>
      <c r="H781" t="s">
        <v>1987</v>
      </c>
      <c r="I781" t="s">
        <v>338</v>
      </c>
      <c r="J781" t="s">
        <v>325</v>
      </c>
      <c r="K781" t="s">
        <v>917</v>
      </c>
      <c r="L781" t="s">
        <v>471</v>
      </c>
      <c r="M781" t="s">
        <v>481</v>
      </c>
      <c r="N781" t="s">
        <v>482</v>
      </c>
      <c r="O781">
        <v>2024</v>
      </c>
    </row>
    <row r="782" spans="1:15" x14ac:dyDescent="0.25">
      <c r="A782" t="s">
        <v>1981</v>
      </c>
      <c r="B782" t="s">
        <v>1988</v>
      </c>
      <c r="C782" t="s">
        <v>421</v>
      </c>
      <c r="D782" t="s">
        <v>256</v>
      </c>
      <c r="E782" t="s">
        <v>508</v>
      </c>
      <c r="F782" t="s">
        <v>307</v>
      </c>
      <c r="G782" t="s">
        <v>1626</v>
      </c>
      <c r="H782" t="s">
        <v>1219</v>
      </c>
      <c r="I782" t="s">
        <v>791</v>
      </c>
      <c r="J782" t="s">
        <v>941</v>
      </c>
      <c r="K782" t="s">
        <v>1627</v>
      </c>
      <c r="L782" t="s">
        <v>1989</v>
      </c>
      <c r="M782" t="s">
        <v>731</v>
      </c>
      <c r="N782" t="s">
        <v>732</v>
      </c>
      <c r="O782">
        <v>2024</v>
      </c>
    </row>
    <row r="783" spans="1:15" x14ac:dyDescent="0.25">
      <c r="A783" t="s">
        <v>1981</v>
      </c>
      <c r="B783" t="s">
        <v>1990</v>
      </c>
      <c r="C783" t="s">
        <v>1991</v>
      </c>
      <c r="D783" t="s">
        <v>18</v>
      </c>
      <c r="E783" t="s">
        <v>19</v>
      </c>
      <c r="F783" t="s">
        <v>580</v>
      </c>
      <c r="G783" t="s">
        <v>1037</v>
      </c>
      <c r="H783" t="s">
        <v>1992</v>
      </c>
      <c r="I783" t="s">
        <v>296</v>
      </c>
      <c r="J783" t="s">
        <v>316</v>
      </c>
      <c r="K783" t="s">
        <v>494</v>
      </c>
      <c r="L783" t="s">
        <v>312</v>
      </c>
      <c r="M783" t="s">
        <v>491</v>
      </c>
      <c r="N783" t="s">
        <v>503</v>
      </c>
      <c r="O783">
        <v>2024</v>
      </c>
    </row>
    <row r="784" spans="1:15" x14ac:dyDescent="0.25">
      <c r="A784" t="s">
        <v>1981</v>
      </c>
      <c r="B784" t="s">
        <v>1993</v>
      </c>
      <c r="C784" t="s">
        <v>549</v>
      </c>
      <c r="D784" t="s">
        <v>68</v>
      </c>
      <c r="E784" t="s">
        <v>461</v>
      </c>
      <c r="F784" t="s">
        <v>580</v>
      </c>
      <c r="G784" t="s">
        <v>1277</v>
      </c>
      <c r="H784" t="s">
        <v>1415</v>
      </c>
      <c r="I784" t="s">
        <v>379</v>
      </c>
      <c r="J784" t="s">
        <v>303</v>
      </c>
      <c r="K784" t="s">
        <v>776</v>
      </c>
      <c r="L784" t="s">
        <v>838</v>
      </c>
      <c r="M784" t="s">
        <v>331</v>
      </c>
      <c r="N784" t="s">
        <v>667</v>
      </c>
      <c r="O784">
        <v>2024</v>
      </c>
    </row>
    <row r="785" spans="1:15" x14ac:dyDescent="0.25">
      <c r="A785" t="s">
        <v>1981</v>
      </c>
      <c r="B785" t="s">
        <v>1994</v>
      </c>
      <c r="C785" t="s">
        <v>764</v>
      </c>
      <c r="D785" t="s">
        <v>18</v>
      </c>
      <c r="E785" t="s">
        <v>585</v>
      </c>
      <c r="F785" t="s">
        <v>580</v>
      </c>
      <c r="G785" t="s">
        <v>1407</v>
      </c>
      <c r="H785" t="s">
        <v>1219</v>
      </c>
      <c r="I785" t="s">
        <v>389</v>
      </c>
      <c r="J785" t="s">
        <v>787</v>
      </c>
      <c r="K785" t="s">
        <v>510</v>
      </c>
      <c r="L785" t="s">
        <v>511</v>
      </c>
      <c r="M785" t="s">
        <v>512</v>
      </c>
      <c r="N785" t="s">
        <v>1020</v>
      </c>
      <c r="O785">
        <v>2024</v>
      </c>
    </row>
    <row r="786" spans="1:15" x14ac:dyDescent="0.25">
      <c r="A786" t="s">
        <v>1981</v>
      </c>
      <c r="B786" t="s">
        <v>1995</v>
      </c>
      <c r="C786" t="s">
        <v>421</v>
      </c>
      <c r="D786" t="s">
        <v>18</v>
      </c>
      <c r="E786" t="s">
        <v>585</v>
      </c>
      <c r="F786" t="s">
        <v>580</v>
      </c>
      <c r="G786" t="s">
        <v>756</v>
      </c>
      <c r="H786" t="s">
        <v>1219</v>
      </c>
      <c r="I786" t="s">
        <v>389</v>
      </c>
      <c r="J786" t="s">
        <v>936</v>
      </c>
      <c r="K786" t="s">
        <v>689</v>
      </c>
      <c r="L786" t="s">
        <v>515</v>
      </c>
      <c r="M786" t="s">
        <v>683</v>
      </c>
      <c r="N786" t="s">
        <v>1621</v>
      </c>
      <c r="O786">
        <v>2024</v>
      </c>
    </row>
    <row r="787" spans="1:15" x14ac:dyDescent="0.25">
      <c r="A787" t="s">
        <v>1981</v>
      </c>
      <c r="B787" t="s">
        <v>1996</v>
      </c>
      <c r="C787" t="s">
        <v>496</v>
      </c>
      <c r="D787" t="s">
        <v>256</v>
      </c>
      <c r="E787" t="s">
        <v>508</v>
      </c>
      <c r="F787" t="s">
        <v>307</v>
      </c>
      <c r="G787" t="s">
        <v>1997</v>
      </c>
      <c r="H787" t="s">
        <v>1219</v>
      </c>
      <c r="I787" t="s">
        <v>791</v>
      </c>
      <c r="J787" t="s">
        <v>1300</v>
      </c>
      <c r="K787" t="s">
        <v>1998</v>
      </c>
      <c r="L787" t="s">
        <v>1999</v>
      </c>
      <c r="M787" t="s">
        <v>2000</v>
      </c>
      <c r="N787" t="s">
        <v>2001</v>
      </c>
      <c r="O787">
        <v>2024</v>
      </c>
    </row>
    <row r="788" spans="1:15" x14ac:dyDescent="0.25">
      <c r="A788" t="s">
        <v>1981</v>
      </c>
      <c r="B788" t="s">
        <v>2002</v>
      </c>
      <c r="C788" t="s">
        <v>735</v>
      </c>
      <c r="D788" t="s">
        <v>68</v>
      </c>
      <c r="E788" t="s">
        <v>461</v>
      </c>
      <c r="F788" t="s">
        <v>580</v>
      </c>
      <c r="G788" t="s">
        <v>487</v>
      </c>
      <c r="H788" t="s">
        <v>1415</v>
      </c>
      <c r="I788" t="s">
        <v>379</v>
      </c>
      <c r="J788" t="s">
        <v>827</v>
      </c>
      <c r="K788" t="s">
        <v>489</v>
      </c>
      <c r="L788" t="s">
        <v>480</v>
      </c>
      <c r="M788" t="s">
        <v>996</v>
      </c>
      <c r="N788" t="s">
        <v>516</v>
      </c>
      <c r="O788">
        <v>2024</v>
      </c>
    </row>
    <row r="789" spans="1:15" x14ac:dyDescent="0.25">
      <c r="A789" t="s">
        <v>1981</v>
      </c>
      <c r="B789" t="s">
        <v>2003</v>
      </c>
      <c r="C789" t="s">
        <v>559</v>
      </c>
      <c r="D789" t="s">
        <v>162</v>
      </c>
      <c r="E789" t="s">
        <v>585</v>
      </c>
      <c r="F789" t="s">
        <v>580</v>
      </c>
      <c r="G789" t="s">
        <v>1466</v>
      </c>
      <c r="H789" t="s">
        <v>1219</v>
      </c>
      <c r="I789" t="s">
        <v>389</v>
      </c>
      <c r="J789" t="s">
        <v>931</v>
      </c>
      <c r="K789" t="s">
        <v>537</v>
      </c>
      <c r="L789" t="s">
        <v>538</v>
      </c>
      <c r="M789" t="s">
        <v>603</v>
      </c>
      <c r="N789" t="s">
        <v>604</v>
      </c>
      <c r="O789">
        <v>2024</v>
      </c>
    </row>
    <row r="790" spans="1:15" x14ac:dyDescent="0.25">
      <c r="A790" t="s">
        <v>1981</v>
      </c>
      <c r="B790" t="s">
        <v>2004</v>
      </c>
      <c r="C790" t="s">
        <v>2005</v>
      </c>
      <c r="D790" t="s">
        <v>375</v>
      </c>
      <c r="E790" t="s">
        <v>461</v>
      </c>
      <c r="F790" t="s">
        <v>907</v>
      </c>
      <c r="G790" t="s">
        <v>2006</v>
      </c>
      <c r="H790" t="s">
        <v>1354</v>
      </c>
      <c r="I790" t="s">
        <v>2007</v>
      </c>
      <c r="J790" t="s">
        <v>367</v>
      </c>
      <c r="K790" t="s">
        <v>2008</v>
      </c>
      <c r="L790" t="s">
        <v>441</v>
      </c>
      <c r="M790" t="s">
        <v>370</v>
      </c>
      <c r="N790" t="s">
        <v>437</v>
      </c>
      <c r="O790">
        <v>2024</v>
      </c>
    </row>
    <row r="791" spans="1:15" x14ac:dyDescent="0.25">
      <c r="A791" t="s">
        <v>1981</v>
      </c>
      <c r="B791" t="s">
        <v>2009</v>
      </c>
      <c r="C791" t="s">
        <v>421</v>
      </c>
      <c r="D791" t="s">
        <v>68</v>
      </c>
      <c r="E791" t="s">
        <v>461</v>
      </c>
      <c r="F791" t="s">
        <v>580</v>
      </c>
      <c r="G791" t="s">
        <v>2010</v>
      </c>
      <c r="H791" t="s">
        <v>110</v>
      </c>
      <c r="I791" t="s">
        <v>553</v>
      </c>
      <c r="J791" t="s">
        <v>227</v>
      </c>
      <c r="K791" t="s">
        <v>25</v>
      </c>
      <c r="L791" t="s">
        <v>108</v>
      </c>
      <c r="M791" t="s">
        <v>56</v>
      </c>
      <c r="N791" t="s">
        <v>89</v>
      </c>
      <c r="O791">
        <v>2024</v>
      </c>
    </row>
    <row r="792" spans="1:15" x14ac:dyDescent="0.25">
      <c r="A792" t="s">
        <v>1981</v>
      </c>
      <c r="B792" t="s">
        <v>2011</v>
      </c>
      <c r="C792" t="s">
        <v>1812</v>
      </c>
      <c r="D792" t="s">
        <v>68</v>
      </c>
      <c r="E792" t="s">
        <v>585</v>
      </c>
      <c r="F792" t="s">
        <v>580</v>
      </c>
      <c r="G792" t="s">
        <v>1277</v>
      </c>
      <c r="H792" t="s">
        <v>1375</v>
      </c>
      <c r="I792" t="s">
        <v>379</v>
      </c>
      <c r="J792" t="s">
        <v>325</v>
      </c>
      <c r="K792" t="s">
        <v>917</v>
      </c>
      <c r="L792" t="s">
        <v>471</v>
      </c>
      <c r="M792" t="s">
        <v>481</v>
      </c>
      <c r="N792" t="s">
        <v>482</v>
      </c>
      <c r="O792">
        <v>2024</v>
      </c>
    </row>
    <row r="793" spans="1:15" x14ac:dyDescent="0.25">
      <c r="A793" t="s">
        <v>1981</v>
      </c>
      <c r="B793" t="s">
        <v>2012</v>
      </c>
      <c r="C793" t="s">
        <v>496</v>
      </c>
      <c r="D793" t="s">
        <v>162</v>
      </c>
      <c r="E793" t="s">
        <v>585</v>
      </c>
      <c r="F793" t="s">
        <v>580</v>
      </c>
      <c r="G793" t="s">
        <v>1466</v>
      </c>
      <c r="H793" t="s">
        <v>1219</v>
      </c>
      <c r="I793" t="s">
        <v>389</v>
      </c>
      <c r="J793" t="s">
        <v>1280</v>
      </c>
      <c r="K793" t="s">
        <v>697</v>
      </c>
      <c r="L793" t="s">
        <v>617</v>
      </c>
      <c r="M793" t="s">
        <v>698</v>
      </c>
      <c r="N793" t="s">
        <v>699</v>
      </c>
      <c r="O793">
        <v>2024</v>
      </c>
    </row>
    <row r="794" spans="1:15" x14ac:dyDescent="0.25">
      <c r="A794" t="s">
        <v>1981</v>
      </c>
      <c r="B794" t="s">
        <v>2013</v>
      </c>
      <c r="C794" t="s">
        <v>421</v>
      </c>
      <c r="D794" t="s">
        <v>256</v>
      </c>
      <c r="E794" t="s">
        <v>508</v>
      </c>
      <c r="F794" t="s">
        <v>307</v>
      </c>
      <c r="G794" t="s">
        <v>1626</v>
      </c>
      <c r="H794" t="s">
        <v>1219</v>
      </c>
      <c r="I794" t="s">
        <v>791</v>
      </c>
      <c r="J794" t="s">
        <v>941</v>
      </c>
      <c r="K794" t="s">
        <v>1627</v>
      </c>
      <c r="L794" t="s">
        <v>1989</v>
      </c>
      <c r="M794" t="s">
        <v>731</v>
      </c>
      <c r="N794" t="s">
        <v>732</v>
      </c>
      <c r="O794">
        <v>2024</v>
      </c>
    </row>
    <row r="795" spans="1:15" x14ac:dyDescent="0.25">
      <c r="A795" t="s">
        <v>1981</v>
      </c>
      <c r="B795" t="s">
        <v>2014</v>
      </c>
      <c r="C795" t="s">
        <v>518</v>
      </c>
      <c r="D795" t="s">
        <v>375</v>
      </c>
      <c r="E795" t="s">
        <v>580</v>
      </c>
      <c r="F795" t="s">
        <v>753</v>
      </c>
      <c r="G795" t="s">
        <v>1078</v>
      </c>
      <c r="H795" t="s">
        <v>1415</v>
      </c>
      <c r="I795" t="s">
        <v>553</v>
      </c>
      <c r="J795" t="s">
        <v>227</v>
      </c>
      <c r="K795" t="s">
        <v>25</v>
      </c>
      <c r="L795" t="s">
        <v>55</v>
      </c>
      <c r="M795" t="s">
        <v>77</v>
      </c>
      <c r="N795" t="s">
        <v>95</v>
      </c>
      <c r="O795">
        <v>2024</v>
      </c>
    </row>
    <row r="796" spans="1:15" x14ac:dyDescent="0.25">
      <c r="A796" t="s">
        <v>1981</v>
      </c>
      <c r="B796" t="s">
        <v>2015</v>
      </c>
      <c r="C796" t="s">
        <v>421</v>
      </c>
      <c r="D796" t="s">
        <v>162</v>
      </c>
      <c r="E796" t="s">
        <v>585</v>
      </c>
      <c r="F796" t="s">
        <v>580</v>
      </c>
      <c r="G796" t="s">
        <v>1466</v>
      </c>
      <c r="H796" t="s">
        <v>1219</v>
      </c>
      <c r="I796" t="s">
        <v>389</v>
      </c>
      <c r="J796" t="s">
        <v>1453</v>
      </c>
      <c r="K796" t="s">
        <v>958</v>
      </c>
      <c r="L796" t="s">
        <v>511</v>
      </c>
      <c r="M796" t="s">
        <v>603</v>
      </c>
      <c r="N796" t="s">
        <v>604</v>
      </c>
      <c r="O796">
        <v>2024</v>
      </c>
    </row>
    <row r="797" spans="1:15" x14ac:dyDescent="0.25">
      <c r="A797" t="s">
        <v>1981</v>
      </c>
      <c r="B797" t="s">
        <v>2016</v>
      </c>
      <c r="C797" t="s">
        <v>851</v>
      </c>
      <c r="D797" t="s">
        <v>68</v>
      </c>
      <c r="E797" t="s">
        <v>461</v>
      </c>
      <c r="F797" t="s">
        <v>580</v>
      </c>
      <c r="G797" t="s">
        <v>1277</v>
      </c>
      <c r="H797" t="s">
        <v>1415</v>
      </c>
      <c r="I797" t="s">
        <v>379</v>
      </c>
      <c r="J797" t="s">
        <v>316</v>
      </c>
      <c r="K797" t="s">
        <v>494</v>
      </c>
      <c r="L797" t="s">
        <v>312</v>
      </c>
      <c r="M797" t="s">
        <v>313</v>
      </c>
      <c r="N797" t="s">
        <v>314</v>
      </c>
      <c r="O797">
        <v>2024</v>
      </c>
    </row>
    <row r="798" spans="1:15" x14ac:dyDescent="0.25">
      <c r="A798" t="s">
        <v>1981</v>
      </c>
      <c r="B798" t="s">
        <v>2017</v>
      </c>
      <c r="C798" t="s">
        <v>2018</v>
      </c>
      <c r="D798" t="s">
        <v>68</v>
      </c>
      <c r="E798" t="s">
        <v>585</v>
      </c>
      <c r="F798" t="s">
        <v>580</v>
      </c>
      <c r="G798" t="s">
        <v>487</v>
      </c>
      <c r="H798" t="s">
        <v>1375</v>
      </c>
      <c r="I798" t="s">
        <v>379</v>
      </c>
      <c r="J798" t="s">
        <v>2019</v>
      </c>
      <c r="K798" t="s">
        <v>479</v>
      </c>
      <c r="L798" t="s">
        <v>637</v>
      </c>
      <c r="M798" t="s">
        <v>491</v>
      </c>
      <c r="N798" t="s">
        <v>503</v>
      </c>
      <c r="O798">
        <v>2024</v>
      </c>
    </row>
    <row r="799" spans="1:15" x14ac:dyDescent="0.25">
      <c r="A799" t="s">
        <v>1981</v>
      </c>
      <c r="B799" t="s">
        <v>2020</v>
      </c>
      <c r="C799" t="s">
        <v>851</v>
      </c>
      <c r="D799" t="s">
        <v>375</v>
      </c>
      <c r="E799" t="s">
        <v>580</v>
      </c>
      <c r="F799" t="s">
        <v>753</v>
      </c>
      <c r="G799" t="s">
        <v>1078</v>
      </c>
      <c r="H799" t="s">
        <v>1415</v>
      </c>
      <c r="I799" t="s">
        <v>553</v>
      </c>
      <c r="J799" t="s">
        <v>233</v>
      </c>
      <c r="K799" t="s">
        <v>37</v>
      </c>
      <c r="L799" t="s">
        <v>76</v>
      </c>
      <c r="M799" t="s">
        <v>88</v>
      </c>
      <c r="N799" t="s">
        <v>159</v>
      </c>
      <c r="O799">
        <v>2024</v>
      </c>
    </row>
    <row r="800" spans="1:15" x14ac:dyDescent="0.25">
      <c r="A800" t="s">
        <v>1981</v>
      </c>
      <c r="B800" t="s">
        <v>2021</v>
      </c>
      <c r="C800" t="s">
        <v>735</v>
      </c>
      <c r="D800" t="s">
        <v>375</v>
      </c>
      <c r="E800" t="s">
        <v>580</v>
      </c>
      <c r="F800" t="s">
        <v>907</v>
      </c>
      <c r="G800" t="s">
        <v>1067</v>
      </c>
      <c r="H800" t="s">
        <v>1415</v>
      </c>
      <c r="I800" t="s">
        <v>379</v>
      </c>
      <c r="J800" t="s">
        <v>1141</v>
      </c>
      <c r="K800" t="s">
        <v>574</v>
      </c>
      <c r="L800" t="s">
        <v>142</v>
      </c>
      <c r="M800" t="s">
        <v>39</v>
      </c>
      <c r="N800" t="s">
        <v>173</v>
      </c>
      <c r="O800">
        <v>2024</v>
      </c>
    </row>
    <row r="801" spans="1:15" x14ac:dyDescent="0.25">
      <c r="A801" t="s">
        <v>1981</v>
      </c>
      <c r="B801" t="s">
        <v>2022</v>
      </c>
      <c r="C801" t="s">
        <v>549</v>
      </c>
      <c r="D801" t="s">
        <v>68</v>
      </c>
      <c r="E801" t="s">
        <v>461</v>
      </c>
      <c r="F801" t="s">
        <v>580</v>
      </c>
      <c r="G801" t="s">
        <v>1277</v>
      </c>
      <c r="H801" t="s">
        <v>1219</v>
      </c>
      <c r="I801" t="s">
        <v>44</v>
      </c>
      <c r="J801" t="s">
        <v>303</v>
      </c>
      <c r="K801" t="s">
        <v>776</v>
      </c>
      <c r="L801" t="s">
        <v>838</v>
      </c>
      <c r="M801" t="s">
        <v>331</v>
      </c>
      <c r="N801" t="s">
        <v>667</v>
      </c>
      <c r="O801">
        <v>2024</v>
      </c>
    </row>
    <row r="802" spans="1:15" x14ac:dyDescent="0.25">
      <c r="A802" t="s">
        <v>1981</v>
      </c>
      <c r="B802" t="s">
        <v>2023</v>
      </c>
      <c r="C802" t="s">
        <v>421</v>
      </c>
      <c r="D802" t="s">
        <v>18</v>
      </c>
      <c r="E802" t="s">
        <v>461</v>
      </c>
      <c r="F802" t="s">
        <v>580</v>
      </c>
      <c r="G802" t="s">
        <v>487</v>
      </c>
      <c r="H802" t="s">
        <v>1219</v>
      </c>
      <c r="I802" t="s">
        <v>44</v>
      </c>
      <c r="J802" t="s">
        <v>325</v>
      </c>
      <c r="K802" t="s">
        <v>917</v>
      </c>
      <c r="L802" t="s">
        <v>471</v>
      </c>
      <c r="M802" t="s">
        <v>481</v>
      </c>
      <c r="N802" t="s">
        <v>482</v>
      </c>
      <c r="O802">
        <v>2024</v>
      </c>
    </row>
    <row r="803" spans="1:15" x14ac:dyDescent="0.25">
      <c r="A803" t="s">
        <v>1981</v>
      </c>
      <c r="B803" t="s">
        <v>2024</v>
      </c>
      <c r="C803" t="s">
        <v>2018</v>
      </c>
      <c r="D803" t="s">
        <v>375</v>
      </c>
      <c r="E803" t="s">
        <v>461</v>
      </c>
      <c r="F803" t="s">
        <v>907</v>
      </c>
      <c r="G803" t="s">
        <v>855</v>
      </c>
      <c r="H803" t="s">
        <v>1375</v>
      </c>
      <c r="I803" t="s">
        <v>553</v>
      </c>
      <c r="J803" t="s">
        <v>227</v>
      </c>
      <c r="K803" t="s">
        <v>25</v>
      </c>
      <c r="L803" t="s">
        <v>55</v>
      </c>
      <c r="M803" t="s">
        <v>77</v>
      </c>
      <c r="N803" t="s">
        <v>95</v>
      </c>
      <c r="O803">
        <v>2024</v>
      </c>
    </row>
    <row r="804" spans="1:15" x14ac:dyDescent="0.25">
      <c r="A804" t="s">
        <v>1981</v>
      </c>
      <c r="B804" t="s">
        <v>2025</v>
      </c>
      <c r="C804" t="s">
        <v>851</v>
      </c>
      <c r="D804" t="s">
        <v>68</v>
      </c>
      <c r="E804" t="s">
        <v>461</v>
      </c>
      <c r="F804" t="s">
        <v>580</v>
      </c>
      <c r="G804" t="s">
        <v>487</v>
      </c>
      <c r="H804" t="s">
        <v>1415</v>
      </c>
      <c r="I804" t="s">
        <v>379</v>
      </c>
      <c r="J804" t="s">
        <v>827</v>
      </c>
      <c r="K804" t="s">
        <v>489</v>
      </c>
      <c r="L804" t="s">
        <v>480</v>
      </c>
      <c r="M804" t="s">
        <v>996</v>
      </c>
      <c r="N804" t="s">
        <v>516</v>
      </c>
      <c r="O804">
        <v>2024</v>
      </c>
    </row>
    <row r="805" spans="1:15" x14ac:dyDescent="0.25">
      <c r="A805" t="s">
        <v>1981</v>
      </c>
      <c r="B805" t="s">
        <v>2026</v>
      </c>
      <c r="C805" t="s">
        <v>421</v>
      </c>
      <c r="D805" t="s">
        <v>18</v>
      </c>
      <c r="E805" t="s">
        <v>585</v>
      </c>
      <c r="F805" t="s">
        <v>580</v>
      </c>
      <c r="G805" t="s">
        <v>1466</v>
      </c>
      <c r="H805" t="s">
        <v>1219</v>
      </c>
      <c r="I805" t="s">
        <v>389</v>
      </c>
      <c r="J805" t="s">
        <v>787</v>
      </c>
      <c r="K805" t="s">
        <v>510</v>
      </c>
      <c r="L805" t="s">
        <v>511</v>
      </c>
      <c r="M805" t="s">
        <v>512</v>
      </c>
      <c r="N805" t="s">
        <v>1020</v>
      </c>
      <c r="O805">
        <v>2024</v>
      </c>
    </row>
    <row r="806" spans="1:15" x14ac:dyDescent="0.25">
      <c r="A806" t="s">
        <v>1981</v>
      </c>
      <c r="B806" t="s">
        <v>2027</v>
      </c>
      <c r="C806" t="s">
        <v>559</v>
      </c>
      <c r="D806" t="s">
        <v>162</v>
      </c>
      <c r="E806" t="s">
        <v>585</v>
      </c>
      <c r="F806" t="s">
        <v>580</v>
      </c>
      <c r="G806" t="s">
        <v>1466</v>
      </c>
      <c r="H806" t="s">
        <v>1219</v>
      </c>
      <c r="I806" t="s">
        <v>389</v>
      </c>
      <c r="J806" t="s">
        <v>931</v>
      </c>
      <c r="K806" t="s">
        <v>537</v>
      </c>
      <c r="L806" t="s">
        <v>538</v>
      </c>
      <c r="M806" t="s">
        <v>603</v>
      </c>
      <c r="N806" t="s">
        <v>604</v>
      </c>
      <c r="O806">
        <v>2024</v>
      </c>
    </row>
    <row r="807" spans="1:15" x14ac:dyDescent="0.25">
      <c r="A807" t="s">
        <v>1981</v>
      </c>
      <c r="B807" t="s">
        <v>2028</v>
      </c>
      <c r="C807" t="s">
        <v>496</v>
      </c>
      <c r="D807" t="s">
        <v>162</v>
      </c>
      <c r="E807" t="s">
        <v>585</v>
      </c>
      <c r="F807" t="s">
        <v>580</v>
      </c>
      <c r="G807" t="s">
        <v>1466</v>
      </c>
      <c r="H807" t="s">
        <v>1219</v>
      </c>
      <c r="I807" t="s">
        <v>389</v>
      </c>
      <c r="J807" t="s">
        <v>1280</v>
      </c>
      <c r="K807" t="s">
        <v>697</v>
      </c>
      <c r="L807" t="s">
        <v>617</v>
      </c>
      <c r="M807" t="s">
        <v>698</v>
      </c>
      <c r="N807" t="s">
        <v>699</v>
      </c>
      <c r="O807">
        <v>2024</v>
      </c>
    </row>
    <row r="808" spans="1:15" x14ac:dyDescent="0.25">
      <c r="A808" t="s">
        <v>1981</v>
      </c>
      <c r="B808" t="s">
        <v>2029</v>
      </c>
      <c r="C808" t="s">
        <v>421</v>
      </c>
      <c r="D808" t="s">
        <v>256</v>
      </c>
      <c r="E808" t="s">
        <v>508</v>
      </c>
      <c r="F808" t="s">
        <v>307</v>
      </c>
      <c r="G808" t="s">
        <v>1626</v>
      </c>
      <c r="H808" t="s">
        <v>1219</v>
      </c>
      <c r="I808" t="s">
        <v>791</v>
      </c>
      <c r="J808" t="s">
        <v>941</v>
      </c>
      <c r="K808" t="s">
        <v>1627</v>
      </c>
      <c r="L808" t="s">
        <v>1989</v>
      </c>
      <c r="M808" t="s">
        <v>731</v>
      </c>
      <c r="N808" t="s">
        <v>732</v>
      </c>
      <c r="O808">
        <v>2024</v>
      </c>
    </row>
    <row r="809" spans="1:15" x14ac:dyDescent="0.25">
      <c r="A809" t="s">
        <v>1981</v>
      </c>
      <c r="B809" t="s">
        <v>2030</v>
      </c>
      <c r="C809" t="s">
        <v>421</v>
      </c>
      <c r="D809" t="s">
        <v>256</v>
      </c>
      <c r="E809" t="s">
        <v>508</v>
      </c>
      <c r="F809" t="s">
        <v>307</v>
      </c>
      <c r="G809" t="s">
        <v>1997</v>
      </c>
      <c r="H809" t="s">
        <v>1219</v>
      </c>
      <c r="I809" t="s">
        <v>791</v>
      </c>
      <c r="J809" t="s">
        <v>1300</v>
      </c>
      <c r="K809" t="s">
        <v>1998</v>
      </c>
      <c r="L809" t="s">
        <v>1999</v>
      </c>
      <c r="M809" t="s">
        <v>2000</v>
      </c>
      <c r="N809" t="s">
        <v>2001</v>
      </c>
      <c r="O809">
        <v>2024</v>
      </c>
    </row>
    <row r="810" spans="1:15" x14ac:dyDescent="0.25">
      <c r="A810" t="s">
        <v>1981</v>
      </c>
      <c r="B810" t="s">
        <v>2031</v>
      </c>
      <c r="C810" t="s">
        <v>518</v>
      </c>
      <c r="D810" t="s">
        <v>375</v>
      </c>
      <c r="E810" t="s">
        <v>580</v>
      </c>
      <c r="F810" t="s">
        <v>753</v>
      </c>
      <c r="G810" t="s">
        <v>1078</v>
      </c>
      <c r="H810" t="s">
        <v>1415</v>
      </c>
      <c r="I810" t="s">
        <v>553</v>
      </c>
      <c r="J810" t="s">
        <v>227</v>
      </c>
      <c r="K810" t="s">
        <v>25</v>
      </c>
      <c r="L810" t="s">
        <v>55</v>
      </c>
      <c r="M810" t="s">
        <v>77</v>
      </c>
      <c r="N810" t="s">
        <v>95</v>
      </c>
      <c r="O810">
        <v>2024</v>
      </c>
    </row>
    <row r="811" spans="1:15" x14ac:dyDescent="0.25">
      <c r="A811" t="s">
        <v>1981</v>
      </c>
      <c r="B811" t="s">
        <v>2032</v>
      </c>
      <c r="C811" t="s">
        <v>518</v>
      </c>
      <c r="D811" t="s">
        <v>375</v>
      </c>
      <c r="E811" t="s">
        <v>580</v>
      </c>
      <c r="F811" t="s">
        <v>753</v>
      </c>
      <c r="G811" t="s">
        <v>1277</v>
      </c>
      <c r="H811" t="s">
        <v>1415</v>
      </c>
      <c r="I811" t="s">
        <v>553</v>
      </c>
      <c r="J811" t="s">
        <v>1141</v>
      </c>
      <c r="K811" t="s">
        <v>577</v>
      </c>
      <c r="L811" t="s">
        <v>740</v>
      </c>
      <c r="M811" t="s">
        <v>39</v>
      </c>
      <c r="N811" t="s">
        <v>66</v>
      </c>
      <c r="O811">
        <v>2024</v>
      </c>
    </row>
    <row r="812" spans="1:15" x14ac:dyDescent="0.25">
      <c r="A812" t="s">
        <v>1981</v>
      </c>
      <c r="B812" t="s">
        <v>2033</v>
      </c>
      <c r="C812" t="s">
        <v>764</v>
      </c>
      <c r="D812" t="s">
        <v>68</v>
      </c>
      <c r="E812" t="s">
        <v>461</v>
      </c>
      <c r="F812" t="s">
        <v>580</v>
      </c>
      <c r="G812" t="s">
        <v>487</v>
      </c>
      <c r="H812" t="s">
        <v>1219</v>
      </c>
      <c r="I812" t="s">
        <v>44</v>
      </c>
      <c r="J812" t="s">
        <v>297</v>
      </c>
      <c r="K812" t="s">
        <v>746</v>
      </c>
      <c r="L812" t="s">
        <v>751</v>
      </c>
      <c r="M812" t="s">
        <v>472</v>
      </c>
      <c r="N812" t="s">
        <v>332</v>
      </c>
      <c r="O812">
        <v>2024</v>
      </c>
    </row>
    <row r="813" spans="1:15" x14ac:dyDescent="0.25">
      <c r="A813" t="s">
        <v>1981</v>
      </c>
      <c r="B813" t="s">
        <v>2034</v>
      </c>
      <c r="C813" t="s">
        <v>735</v>
      </c>
      <c r="D813" t="s">
        <v>375</v>
      </c>
      <c r="E813" t="s">
        <v>580</v>
      </c>
      <c r="F813" t="s">
        <v>753</v>
      </c>
      <c r="G813" t="s">
        <v>1067</v>
      </c>
      <c r="H813" t="s">
        <v>1415</v>
      </c>
      <c r="I813" t="s">
        <v>379</v>
      </c>
      <c r="J813" t="s">
        <v>288</v>
      </c>
      <c r="K813" t="s">
        <v>101</v>
      </c>
      <c r="L813" t="s">
        <v>38</v>
      </c>
      <c r="M813" t="s">
        <v>71</v>
      </c>
      <c r="N813" t="s">
        <v>89</v>
      </c>
      <c r="O813">
        <v>2024</v>
      </c>
    </row>
    <row r="814" spans="1:15" x14ac:dyDescent="0.25">
      <c r="A814" t="s">
        <v>1981</v>
      </c>
      <c r="B814" t="s">
        <v>2035</v>
      </c>
      <c r="C814" t="s">
        <v>764</v>
      </c>
      <c r="D814" t="s">
        <v>68</v>
      </c>
      <c r="E814" t="s">
        <v>461</v>
      </c>
      <c r="F814" t="s">
        <v>580</v>
      </c>
      <c r="G814" t="s">
        <v>1277</v>
      </c>
      <c r="H814" t="s">
        <v>1219</v>
      </c>
      <c r="I814" t="s">
        <v>44</v>
      </c>
      <c r="J814" t="s">
        <v>303</v>
      </c>
      <c r="K814" t="s">
        <v>776</v>
      </c>
      <c r="L814" t="s">
        <v>838</v>
      </c>
      <c r="M814" t="s">
        <v>331</v>
      </c>
      <c r="N814" t="s">
        <v>667</v>
      </c>
      <c r="O814">
        <v>2024</v>
      </c>
    </row>
    <row r="815" spans="1:15" x14ac:dyDescent="0.25">
      <c r="A815" t="s">
        <v>1981</v>
      </c>
      <c r="B815" t="s">
        <v>2036</v>
      </c>
      <c r="C815" t="s">
        <v>549</v>
      </c>
      <c r="D815" t="s">
        <v>18</v>
      </c>
      <c r="E815" t="s">
        <v>461</v>
      </c>
      <c r="F815" t="s">
        <v>580</v>
      </c>
      <c r="G815" t="s">
        <v>487</v>
      </c>
      <c r="H815" t="s">
        <v>1219</v>
      </c>
      <c r="I815" t="s">
        <v>44</v>
      </c>
      <c r="J815" t="s">
        <v>325</v>
      </c>
      <c r="K815" t="s">
        <v>917</v>
      </c>
      <c r="L815" t="s">
        <v>471</v>
      </c>
      <c r="M815" t="s">
        <v>481</v>
      </c>
      <c r="N815" t="s">
        <v>482</v>
      </c>
      <c r="O815">
        <v>2024</v>
      </c>
    </row>
    <row r="816" spans="1:15" x14ac:dyDescent="0.25">
      <c r="A816" t="s">
        <v>1981</v>
      </c>
      <c r="B816" t="s">
        <v>2037</v>
      </c>
      <c r="C816" t="s">
        <v>421</v>
      </c>
      <c r="D816" t="s">
        <v>18</v>
      </c>
      <c r="E816" t="s">
        <v>461</v>
      </c>
      <c r="F816" t="s">
        <v>580</v>
      </c>
      <c r="G816" t="s">
        <v>487</v>
      </c>
      <c r="H816" t="s">
        <v>1219</v>
      </c>
      <c r="I816" t="s">
        <v>44</v>
      </c>
      <c r="J816" t="s">
        <v>325</v>
      </c>
      <c r="K816" t="s">
        <v>917</v>
      </c>
      <c r="L816" t="s">
        <v>471</v>
      </c>
      <c r="M816" t="s">
        <v>481</v>
      </c>
      <c r="N816" t="s">
        <v>482</v>
      </c>
      <c r="O816">
        <v>2024</v>
      </c>
    </row>
    <row r="817" spans="1:15" x14ac:dyDescent="0.25">
      <c r="A817" t="s">
        <v>1981</v>
      </c>
      <c r="B817" t="s">
        <v>2038</v>
      </c>
      <c r="C817" t="s">
        <v>2039</v>
      </c>
      <c r="D817" t="s">
        <v>68</v>
      </c>
      <c r="E817" t="s">
        <v>461</v>
      </c>
      <c r="F817" t="s">
        <v>580</v>
      </c>
      <c r="G817" t="s">
        <v>812</v>
      </c>
      <c r="H817" t="s">
        <v>1375</v>
      </c>
      <c r="I817" t="s">
        <v>553</v>
      </c>
      <c r="J817" t="s">
        <v>745</v>
      </c>
      <c r="K817" t="s">
        <v>704</v>
      </c>
      <c r="L817" t="s">
        <v>886</v>
      </c>
      <c r="M817" t="s">
        <v>167</v>
      </c>
      <c r="N817" t="s">
        <v>28</v>
      </c>
      <c r="O817">
        <v>2024</v>
      </c>
    </row>
    <row r="818" spans="1:15" x14ac:dyDescent="0.25">
      <c r="A818" t="s">
        <v>1981</v>
      </c>
      <c r="B818" t="s">
        <v>2040</v>
      </c>
      <c r="C818" t="s">
        <v>2018</v>
      </c>
      <c r="D818" t="s">
        <v>68</v>
      </c>
      <c r="E818" t="s">
        <v>585</v>
      </c>
      <c r="F818" t="s">
        <v>580</v>
      </c>
      <c r="G818" t="s">
        <v>487</v>
      </c>
      <c r="H818" t="s">
        <v>1375</v>
      </c>
      <c r="I818" t="s">
        <v>379</v>
      </c>
      <c r="J818" t="s">
        <v>316</v>
      </c>
      <c r="K818" t="s">
        <v>494</v>
      </c>
      <c r="L818" t="s">
        <v>312</v>
      </c>
      <c r="M818" t="s">
        <v>313</v>
      </c>
      <c r="N818" t="s">
        <v>314</v>
      </c>
      <c r="O818">
        <v>2024</v>
      </c>
    </row>
    <row r="819" spans="1:15" x14ac:dyDescent="0.25">
      <c r="A819" t="s">
        <v>890</v>
      </c>
      <c r="B819" t="s">
        <v>891</v>
      </c>
      <c r="C819" t="s">
        <v>892</v>
      </c>
      <c r="D819" t="s">
        <v>375</v>
      </c>
      <c r="E819" t="s">
        <v>461</v>
      </c>
      <c r="F819" t="s">
        <v>580</v>
      </c>
      <c r="G819" t="s">
        <v>893</v>
      </c>
      <c r="H819" t="s">
        <v>520</v>
      </c>
      <c r="I819" t="s">
        <v>807</v>
      </c>
      <c r="J819" t="s">
        <v>765</v>
      </c>
      <c r="K819" t="s">
        <v>121</v>
      </c>
      <c r="L819" t="s">
        <v>55</v>
      </c>
      <c r="M819" t="s">
        <v>56</v>
      </c>
      <c r="N819" t="s">
        <v>72</v>
      </c>
      <c r="O819">
        <v>2024</v>
      </c>
    </row>
    <row r="820" spans="1:15" x14ac:dyDescent="0.25">
      <c r="A820" t="s">
        <v>890</v>
      </c>
      <c r="B820" t="s">
        <v>894</v>
      </c>
      <c r="C820" t="s">
        <v>892</v>
      </c>
      <c r="D820" t="s">
        <v>375</v>
      </c>
      <c r="E820" t="s">
        <v>461</v>
      </c>
      <c r="F820" t="s">
        <v>580</v>
      </c>
      <c r="G820" t="s">
        <v>893</v>
      </c>
      <c r="H820" t="s">
        <v>520</v>
      </c>
      <c r="I820" t="s">
        <v>807</v>
      </c>
      <c r="J820" t="s">
        <v>238</v>
      </c>
      <c r="K820" t="s">
        <v>895</v>
      </c>
      <c r="L820" t="s">
        <v>76</v>
      </c>
      <c r="M820" t="s">
        <v>77</v>
      </c>
      <c r="N820" t="s">
        <v>89</v>
      </c>
      <c r="O820">
        <v>2024</v>
      </c>
    </row>
    <row r="821" spans="1:15" x14ac:dyDescent="0.25">
      <c r="A821" t="s">
        <v>890</v>
      </c>
      <c r="B821" t="s">
        <v>896</v>
      </c>
      <c r="C821" t="s">
        <v>892</v>
      </c>
      <c r="D821" t="s">
        <v>759</v>
      </c>
      <c r="E821" t="s">
        <v>461</v>
      </c>
      <c r="F821" t="s">
        <v>897</v>
      </c>
      <c r="G821" t="s">
        <v>893</v>
      </c>
      <c r="H821" t="s">
        <v>520</v>
      </c>
      <c r="I821" t="s">
        <v>807</v>
      </c>
      <c r="J821" t="s">
        <v>874</v>
      </c>
      <c r="K821" t="s">
        <v>898</v>
      </c>
      <c r="L821" t="s">
        <v>123</v>
      </c>
      <c r="M821" t="s">
        <v>88</v>
      </c>
      <c r="N821" t="s">
        <v>129</v>
      </c>
      <c r="O821">
        <v>2024</v>
      </c>
    </row>
    <row r="822" spans="1:15" x14ac:dyDescent="0.25">
      <c r="A822" t="s">
        <v>890</v>
      </c>
      <c r="B822" t="s">
        <v>899</v>
      </c>
      <c r="C822" t="s">
        <v>892</v>
      </c>
      <c r="D822" t="s">
        <v>759</v>
      </c>
      <c r="E822" t="s">
        <v>461</v>
      </c>
      <c r="F822" t="s">
        <v>897</v>
      </c>
      <c r="G822" t="s">
        <v>893</v>
      </c>
      <c r="H822" t="s">
        <v>520</v>
      </c>
      <c r="I822" t="s">
        <v>807</v>
      </c>
      <c r="J822" t="s">
        <v>45</v>
      </c>
      <c r="K822" t="s">
        <v>900</v>
      </c>
      <c r="L822" t="s">
        <v>154</v>
      </c>
      <c r="M822" t="s">
        <v>94</v>
      </c>
      <c r="N822" t="s">
        <v>901</v>
      </c>
      <c r="O822">
        <v>2024</v>
      </c>
    </row>
    <row r="823" spans="1:15" x14ac:dyDescent="0.25">
      <c r="A823" t="s">
        <v>890</v>
      </c>
      <c r="B823" t="s">
        <v>902</v>
      </c>
      <c r="C823" t="s">
        <v>445</v>
      </c>
      <c r="D823" t="s">
        <v>759</v>
      </c>
      <c r="E823" t="s">
        <v>461</v>
      </c>
      <c r="F823" t="s">
        <v>580</v>
      </c>
      <c r="G823" t="s">
        <v>893</v>
      </c>
      <c r="H823" t="s">
        <v>903</v>
      </c>
      <c r="I823" t="s">
        <v>904</v>
      </c>
      <c r="J823" t="s">
        <v>343</v>
      </c>
      <c r="K823" t="s">
        <v>83</v>
      </c>
      <c r="L823" t="s">
        <v>38</v>
      </c>
      <c r="M823" t="s">
        <v>50</v>
      </c>
      <c r="N823" t="s">
        <v>66</v>
      </c>
      <c r="O823">
        <v>2024</v>
      </c>
    </row>
    <row r="824" spans="1:15" x14ac:dyDescent="0.25">
      <c r="A824" t="s">
        <v>890</v>
      </c>
      <c r="B824" t="s">
        <v>905</v>
      </c>
      <c r="C824" t="s">
        <v>748</v>
      </c>
      <c r="D824" t="s">
        <v>68</v>
      </c>
      <c r="E824" t="s">
        <v>906</v>
      </c>
      <c r="F824" t="s">
        <v>907</v>
      </c>
      <c r="G824" t="s">
        <v>708</v>
      </c>
      <c r="H824" t="s">
        <v>908</v>
      </c>
      <c r="I824" t="s">
        <v>823</v>
      </c>
      <c r="J824" t="s">
        <v>297</v>
      </c>
      <c r="K824" t="s">
        <v>716</v>
      </c>
      <c r="L824" t="s">
        <v>717</v>
      </c>
      <c r="M824" t="s">
        <v>472</v>
      </c>
      <c r="N824" t="s">
        <v>909</v>
      </c>
      <c r="O824">
        <v>2024</v>
      </c>
    </row>
    <row r="825" spans="1:15" x14ac:dyDescent="0.25">
      <c r="A825" t="s">
        <v>890</v>
      </c>
      <c r="B825" t="s">
        <v>910</v>
      </c>
      <c r="C825" t="s">
        <v>496</v>
      </c>
      <c r="D825" t="s">
        <v>375</v>
      </c>
      <c r="E825" t="s">
        <v>585</v>
      </c>
      <c r="F825" t="s">
        <v>907</v>
      </c>
      <c r="G825" t="s">
        <v>911</v>
      </c>
      <c r="H825" t="s">
        <v>378</v>
      </c>
      <c r="I825" t="s">
        <v>912</v>
      </c>
      <c r="J825" t="s">
        <v>325</v>
      </c>
      <c r="K825" t="s">
        <v>776</v>
      </c>
      <c r="L825" t="s">
        <v>471</v>
      </c>
      <c r="M825" t="s">
        <v>327</v>
      </c>
      <c r="N825" t="s">
        <v>320</v>
      </c>
      <c r="O825">
        <v>2024</v>
      </c>
    </row>
    <row r="826" spans="1:15" x14ac:dyDescent="0.25">
      <c r="A826" t="s">
        <v>890</v>
      </c>
      <c r="B826" t="s">
        <v>913</v>
      </c>
      <c r="C826" t="s">
        <v>809</v>
      </c>
      <c r="D826" t="s">
        <v>68</v>
      </c>
      <c r="E826" t="s">
        <v>585</v>
      </c>
      <c r="F826" t="s">
        <v>580</v>
      </c>
      <c r="G826" t="s">
        <v>804</v>
      </c>
      <c r="H826" t="s">
        <v>378</v>
      </c>
      <c r="I826" t="s">
        <v>858</v>
      </c>
      <c r="J826" t="s">
        <v>316</v>
      </c>
      <c r="K826" t="s">
        <v>746</v>
      </c>
      <c r="L826" t="s">
        <v>312</v>
      </c>
      <c r="M826" t="s">
        <v>481</v>
      </c>
      <c r="N826" t="s">
        <v>482</v>
      </c>
      <c r="O826">
        <v>2024</v>
      </c>
    </row>
    <row r="827" spans="1:15" x14ac:dyDescent="0.25">
      <c r="A827" t="s">
        <v>890</v>
      </c>
      <c r="B827" t="s">
        <v>914</v>
      </c>
      <c r="C827" t="s">
        <v>598</v>
      </c>
      <c r="D827" t="s">
        <v>68</v>
      </c>
      <c r="E827" t="s">
        <v>585</v>
      </c>
      <c r="F827" t="s">
        <v>907</v>
      </c>
      <c r="G827" t="s">
        <v>915</v>
      </c>
      <c r="H827" t="s">
        <v>422</v>
      </c>
      <c r="I827" t="s">
        <v>916</v>
      </c>
      <c r="J827" t="s">
        <v>827</v>
      </c>
      <c r="K827" t="s">
        <v>917</v>
      </c>
      <c r="L827" t="s">
        <v>484</v>
      </c>
      <c r="M827" t="s">
        <v>491</v>
      </c>
      <c r="N827" t="s">
        <v>503</v>
      </c>
      <c r="O827">
        <v>2024</v>
      </c>
    </row>
    <row r="828" spans="1:15" x14ac:dyDescent="0.25">
      <c r="A828" t="s">
        <v>890</v>
      </c>
      <c r="B828" t="s">
        <v>918</v>
      </c>
      <c r="C828" t="s">
        <v>213</v>
      </c>
      <c r="D828" t="s">
        <v>375</v>
      </c>
      <c r="E828" t="s">
        <v>461</v>
      </c>
      <c r="F828" t="s">
        <v>753</v>
      </c>
      <c r="G828" t="s">
        <v>401</v>
      </c>
      <c r="H828" t="s">
        <v>405</v>
      </c>
      <c r="I828" t="s">
        <v>919</v>
      </c>
      <c r="J828" t="s">
        <v>861</v>
      </c>
      <c r="K828" t="s">
        <v>577</v>
      </c>
      <c r="L828" t="s">
        <v>883</v>
      </c>
      <c r="M828" t="s">
        <v>300</v>
      </c>
      <c r="N828" t="s">
        <v>705</v>
      </c>
      <c r="O828">
        <v>2024</v>
      </c>
    </row>
    <row r="829" spans="1:15" x14ac:dyDescent="0.25">
      <c r="A829" t="s">
        <v>890</v>
      </c>
      <c r="B829" t="s">
        <v>920</v>
      </c>
      <c r="C829" t="s">
        <v>559</v>
      </c>
      <c r="D829" t="s">
        <v>375</v>
      </c>
      <c r="E829" t="s">
        <v>461</v>
      </c>
      <c r="F829" t="s">
        <v>907</v>
      </c>
      <c r="G829" t="s">
        <v>921</v>
      </c>
      <c r="H829" t="s">
        <v>422</v>
      </c>
      <c r="I829" t="s">
        <v>823</v>
      </c>
      <c r="J829" t="s">
        <v>303</v>
      </c>
      <c r="K829" t="s">
        <v>665</v>
      </c>
      <c r="L829" t="s">
        <v>326</v>
      </c>
      <c r="M829" t="s">
        <v>666</v>
      </c>
      <c r="N829" t="s">
        <v>667</v>
      </c>
      <c r="O829">
        <v>2024</v>
      </c>
    </row>
    <row r="830" spans="1:15" x14ac:dyDescent="0.25">
      <c r="A830" t="s">
        <v>890</v>
      </c>
      <c r="B830" t="s">
        <v>922</v>
      </c>
      <c r="C830" t="s">
        <v>851</v>
      </c>
      <c r="D830" t="s">
        <v>759</v>
      </c>
      <c r="E830" t="s">
        <v>585</v>
      </c>
      <c r="F830" t="s">
        <v>580</v>
      </c>
      <c r="G830" t="s">
        <v>737</v>
      </c>
      <c r="H830" t="s">
        <v>378</v>
      </c>
      <c r="I830" t="s">
        <v>807</v>
      </c>
      <c r="J830" t="s">
        <v>836</v>
      </c>
      <c r="K830" t="s">
        <v>574</v>
      </c>
      <c r="L830" t="s">
        <v>886</v>
      </c>
      <c r="M830" t="s">
        <v>167</v>
      </c>
      <c r="N830" t="s">
        <v>168</v>
      </c>
      <c r="O830">
        <v>2024</v>
      </c>
    </row>
    <row r="831" spans="1:15" x14ac:dyDescent="0.25">
      <c r="A831" t="s">
        <v>890</v>
      </c>
      <c r="B831" t="s">
        <v>923</v>
      </c>
      <c r="C831" t="s">
        <v>846</v>
      </c>
      <c r="D831" t="s">
        <v>18</v>
      </c>
      <c r="E831" t="s">
        <v>19</v>
      </c>
      <c r="F831" t="s">
        <v>585</v>
      </c>
      <c r="G831" t="s">
        <v>924</v>
      </c>
      <c r="H831" t="s">
        <v>925</v>
      </c>
      <c r="I831" t="s">
        <v>572</v>
      </c>
      <c r="J831" t="s">
        <v>787</v>
      </c>
      <c r="K831" t="s">
        <v>479</v>
      </c>
      <c r="L831" t="s">
        <v>506</v>
      </c>
      <c r="M831" t="s">
        <v>502</v>
      </c>
      <c r="N831" t="s">
        <v>513</v>
      </c>
      <c r="O831">
        <v>2018</v>
      </c>
    </row>
    <row r="832" spans="1:15" x14ac:dyDescent="0.25">
      <c r="A832" t="s">
        <v>890</v>
      </c>
      <c r="B832" t="s">
        <v>926</v>
      </c>
      <c r="C832" t="s">
        <v>927</v>
      </c>
      <c r="D832" t="s">
        <v>162</v>
      </c>
      <c r="E832" t="s">
        <v>928</v>
      </c>
      <c r="F832" t="s">
        <v>585</v>
      </c>
      <c r="G832" t="s">
        <v>929</v>
      </c>
      <c r="H832" t="s">
        <v>930</v>
      </c>
      <c r="I832" t="s">
        <v>572</v>
      </c>
      <c r="J832" t="s">
        <v>931</v>
      </c>
      <c r="K832" t="s">
        <v>489</v>
      </c>
      <c r="L832" t="s">
        <v>501</v>
      </c>
      <c r="M832" t="s">
        <v>932</v>
      </c>
      <c r="N832" t="s">
        <v>596</v>
      </c>
      <c r="O832">
        <v>2018</v>
      </c>
    </row>
    <row r="833" spans="1:15" x14ac:dyDescent="0.25">
      <c r="A833" t="s">
        <v>890</v>
      </c>
      <c r="B833" t="s">
        <v>933</v>
      </c>
      <c r="C833" t="s">
        <v>474</v>
      </c>
      <c r="D833" t="s">
        <v>18</v>
      </c>
      <c r="E833" t="s">
        <v>934</v>
      </c>
      <c r="F833" t="s">
        <v>585</v>
      </c>
      <c r="G833" t="s">
        <v>622</v>
      </c>
      <c r="H833" t="s">
        <v>395</v>
      </c>
      <c r="I833" t="s">
        <v>935</v>
      </c>
      <c r="J833" t="s">
        <v>936</v>
      </c>
      <c r="K833" t="s">
        <v>494</v>
      </c>
      <c r="L833" t="s">
        <v>466</v>
      </c>
      <c r="M833" t="s">
        <v>491</v>
      </c>
      <c r="N833" t="s">
        <v>503</v>
      </c>
      <c r="O833">
        <v>2017</v>
      </c>
    </row>
    <row r="834" spans="1:15" x14ac:dyDescent="0.25">
      <c r="A834" t="s">
        <v>890</v>
      </c>
      <c r="B834" t="s">
        <v>937</v>
      </c>
      <c r="C834" t="s">
        <v>938</v>
      </c>
      <c r="D834" t="s">
        <v>256</v>
      </c>
      <c r="E834" t="s">
        <v>508</v>
      </c>
      <c r="F834" t="s">
        <v>475</v>
      </c>
      <c r="G834" t="s">
        <v>939</v>
      </c>
      <c r="H834" t="s">
        <v>930</v>
      </c>
      <c r="I834" t="s">
        <v>940</v>
      </c>
      <c r="J834" t="s">
        <v>941</v>
      </c>
      <c r="K834" t="s">
        <v>537</v>
      </c>
      <c r="L834" t="s">
        <v>617</v>
      </c>
      <c r="M834" t="s">
        <v>698</v>
      </c>
      <c r="N834" t="s">
        <v>942</v>
      </c>
      <c r="O834">
        <v>2018</v>
      </c>
    </row>
    <row r="835" spans="1:15" x14ac:dyDescent="0.25">
      <c r="A835" t="s">
        <v>890</v>
      </c>
      <c r="B835" t="s">
        <v>943</v>
      </c>
      <c r="C835" t="s">
        <v>938</v>
      </c>
      <c r="D835" t="s">
        <v>613</v>
      </c>
      <c r="E835" t="s">
        <v>508</v>
      </c>
      <c r="F835" t="s">
        <v>475</v>
      </c>
      <c r="G835" t="s">
        <v>944</v>
      </c>
      <c r="H835" t="s">
        <v>945</v>
      </c>
      <c r="I835" t="s">
        <v>601</v>
      </c>
      <c r="J835" t="s">
        <v>792</v>
      </c>
      <c r="K835" t="s">
        <v>689</v>
      </c>
      <c r="L835" t="s">
        <v>541</v>
      </c>
      <c r="M835" t="s">
        <v>512</v>
      </c>
      <c r="N835" t="s">
        <v>604</v>
      </c>
      <c r="O835">
        <v>2014</v>
      </c>
    </row>
    <row r="836" spans="1:15" x14ac:dyDescent="0.25">
      <c r="A836" t="s">
        <v>890</v>
      </c>
      <c r="B836" t="s">
        <v>946</v>
      </c>
      <c r="C836" t="s">
        <v>947</v>
      </c>
      <c r="D836" t="s">
        <v>162</v>
      </c>
      <c r="E836" t="s">
        <v>934</v>
      </c>
      <c r="F836" t="s">
        <v>585</v>
      </c>
      <c r="G836" t="s">
        <v>628</v>
      </c>
      <c r="H836" t="s">
        <v>948</v>
      </c>
      <c r="I836" t="s">
        <v>601</v>
      </c>
      <c r="J836" t="s">
        <v>787</v>
      </c>
      <c r="K836" t="s">
        <v>479</v>
      </c>
      <c r="L836" t="s">
        <v>506</v>
      </c>
      <c r="M836" t="s">
        <v>502</v>
      </c>
      <c r="N836" t="s">
        <v>513</v>
      </c>
      <c r="O836">
        <v>2017</v>
      </c>
    </row>
    <row r="837" spans="1:15" x14ac:dyDescent="0.25">
      <c r="A837" t="s">
        <v>890</v>
      </c>
      <c r="B837" t="s">
        <v>949</v>
      </c>
      <c r="C837" t="s">
        <v>950</v>
      </c>
      <c r="D837" t="s">
        <v>162</v>
      </c>
      <c r="E837" t="s">
        <v>951</v>
      </c>
      <c r="F837" t="s">
        <v>952</v>
      </c>
      <c r="G837" t="s">
        <v>953</v>
      </c>
      <c r="H837" t="s">
        <v>954</v>
      </c>
      <c r="I837" t="s">
        <v>940</v>
      </c>
      <c r="J837" t="s">
        <v>792</v>
      </c>
      <c r="K837" t="s">
        <v>689</v>
      </c>
      <c r="L837" t="s">
        <v>541</v>
      </c>
      <c r="M837" t="s">
        <v>512</v>
      </c>
      <c r="N837" t="s">
        <v>604</v>
      </c>
      <c r="O837">
        <v>2018</v>
      </c>
    </row>
    <row r="838" spans="1:15" x14ac:dyDescent="0.25">
      <c r="A838" t="s">
        <v>890</v>
      </c>
      <c r="B838" t="s">
        <v>955</v>
      </c>
      <c r="C838" t="s">
        <v>394</v>
      </c>
      <c r="D838" t="s">
        <v>162</v>
      </c>
      <c r="E838" t="s">
        <v>307</v>
      </c>
      <c r="F838" t="s">
        <v>475</v>
      </c>
      <c r="G838" t="s">
        <v>956</v>
      </c>
      <c r="H838" t="s">
        <v>586</v>
      </c>
      <c r="I838" t="s">
        <v>601</v>
      </c>
      <c r="J838" t="s">
        <v>957</v>
      </c>
      <c r="K838" t="s">
        <v>958</v>
      </c>
      <c r="L838" t="s">
        <v>511</v>
      </c>
      <c r="M838" t="s">
        <v>603</v>
      </c>
      <c r="N838" t="s">
        <v>959</v>
      </c>
      <c r="O838">
        <v>2016</v>
      </c>
    </row>
    <row r="839" spans="1:15" x14ac:dyDescent="0.25">
      <c r="A839" t="s">
        <v>890</v>
      </c>
      <c r="B839" t="s">
        <v>960</v>
      </c>
      <c r="C839" t="s">
        <v>961</v>
      </c>
      <c r="D839" t="s">
        <v>962</v>
      </c>
      <c r="E839" t="s">
        <v>508</v>
      </c>
      <c r="F839" t="s">
        <v>475</v>
      </c>
      <c r="G839" t="s">
        <v>963</v>
      </c>
      <c r="H839" t="s">
        <v>964</v>
      </c>
      <c r="I839" t="s">
        <v>965</v>
      </c>
      <c r="J839" t="s">
        <v>966</v>
      </c>
      <c r="K839" t="s">
        <v>967</v>
      </c>
      <c r="L839" t="s">
        <v>724</v>
      </c>
      <c r="M839" t="s">
        <v>968</v>
      </c>
      <c r="N839" t="s">
        <v>619</v>
      </c>
      <c r="O839">
        <v>2014</v>
      </c>
    </row>
    <row r="840" spans="1:15" x14ac:dyDescent="0.25">
      <c r="A840" t="s">
        <v>890</v>
      </c>
      <c r="B840" t="s">
        <v>969</v>
      </c>
      <c r="C840" t="s">
        <v>864</v>
      </c>
      <c r="D840" t="s">
        <v>256</v>
      </c>
      <c r="E840" t="s">
        <v>585</v>
      </c>
      <c r="F840" t="s">
        <v>475</v>
      </c>
      <c r="G840" t="s">
        <v>970</v>
      </c>
      <c r="H840" t="s">
        <v>586</v>
      </c>
      <c r="I840" t="s">
        <v>601</v>
      </c>
      <c r="J840" t="s">
        <v>971</v>
      </c>
      <c r="K840" t="s">
        <v>510</v>
      </c>
      <c r="L840" t="s">
        <v>511</v>
      </c>
      <c r="M840" t="s">
        <v>603</v>
      </c>
      <c r="N840" t="s">
        <v>959</v>
      </c>
      <c r="O840">
        <v>2017</v>
      </c>
    </row>
    <row r="841" spans="1:15" x14ac:dyDescent="0.25">
      <c r="A841" t="s">
        <v>890</v>
      </c>
      <c r="B841" t="s">
        <v>972</v>
      </c>
      <c r="C841" t="s">
        <v>973</v>
      </c>
      <c r="D841" t="s">
        <v>68</v>
      </c>
      <c r="E841" t="s">
        <v>461</v>
      </c>
      <c r="F841" t="s">
        <v>20</v>
      </c>
      <c r="G841" t="s">
        <v>974</v>
      </c>
      <c r="H841" t="s">
        <v>422</v>
      </c>
      <c r="I841" t="s">
        <v>823</v>
      </c>
      <c r="J841" t="s">
        <v>310</v>
      </c>
      <c r="K841" t="s">
        <v>975</v>
      </c>
      <c r="L841" t="s">
        <v>751</v>
      </c>
      <c r="M841" t="s">
        <v>327</v>
      </c>
      <c r="N841" t="s">
        <v>320</v>
      </c>
      <c r="O841">
        <v>2020</v>
      </c>
    </row>
    <row r="842" spans="1:15" x14ac:dyDescent="0.25">
      <c r="A842" t="s">
        <v>890</v>
      </c>
      <c r="B842" t="s">
        <v>976</v>
      </c>
      <c r="C842" t="s">
        <v>973</v>
      </c>
      <c r="D842" t="s">
        <v>68</v>
      </c>
      <c r="E842" t="s">
        <v>461</v>
      </c>
      <c r="F842" t="s">
        <v>20</v>
      </c>
      <c r="G842" t="s">
        <v>974</v>
      </c>
      <c r="H842" t="s">
        <v>422</v>
      </c>
      <c r="I842" t="s">
        <v>823</v>
      </c>
      <c r="J842" t="s">
        <v>827</v>
      </c>
      <c r="K842" t="s">
        <v>977</v>
      </c>
      <c r="L842" t="s">
        <v>838</v>
      </c>
      <c r="M842" t="s">
        <v>319</v>
      </c>
      <c r="N842" t="s">
        <v>978</v>
      </c>
      <c r="O842">
        <v>2020</v>
      </c>
    </row>
    <row r="843" spans="1:15" x14ac:dyDescent="0.25">
      <c r="A843" t="s">
        <v>890</v>
      </c>
      <c r="B843" t="s">
        <v>979</v>
      </c>
      <c r="C843" t="s">
        <v>980</v>
      </c>
      <c r="D843" t="s">
        <v>68</v>
      </c>
      <c r="E843" t="s">
        <v>461</v>
      </c>
      <c r="F843" t="s">
        <v>20</v>
      </c>
      <c r="G843" t="s">
        <v>981</v>
      </c>
      <c r="H843" t="s">
        <v>908</v>
      </c>
      <c r="I843" t="s">
        <v>823</v>
      </c>
      <c r="J843" t="s">
        <v>827</v>
      </c>
      <c r="K843" t="s">
        <v>975</v>
      </c>
      <c r="L843" t="s">
        <v>717</v>
      </c>
      <c r="M843" t="s">
        <v>327</v>
      </c>
      <c r="N843" t="s">
        <v>320</v>
      </c>
      <c r="O843">
        <v>2019</v>
      </c>
    </row>
    <row r="844" spans="1:15" x14ac:dyDescent="0.25">
      <c r="A844" t="s">
        <v>890</v>
      </c>
      <c r="B844" t="s">
        <v>982</v>
      </c>
      <c r="C844" t="s">
        <v>980</v>
      </c>
      <c r="D844" t="s">
        <v>68</v>
      </c>
      <c r="E844" t="s">
        <v>461</v>
      </c>
      <c r="F844" t="s">
        <v>20</v>
      </c>
      <c r="G844" t="s">
        <v>981</v>
      </c>
      <c r="H844" t="s">
        <v>908</v>
      </c>
      <c r="I844" t="s">
        <v>823</v>
      </c>
      <c r="J844" t="s">
        <v>316</v>
      </c>
      <c r="K844" t="s">
        <v>983</v>
      </c>
      <c r="L844" t="s">
        <v>838</v>
      </c>
      <c r="M844" t="s">
        <v>319</v>
      </c>
      <c r="N844" t="s">
        <v>978</v>
      </c>
      <c r="O844">
        <v>2019</v>
      </c>
    </row>
    <row r="845" spans="1:15" x14ac:dyDescent="0.25">
      <c r="A845" t="s">
        <v>890</v>
      </c>
      <c r="B845" t="s">
        <v>984</v>
      </c>
      <c r="C845" t="s">
        <v>590</v>
      </c>
      <c r="D845" t="s">
        <v>256</v>
      </c>
      <c r="E845" t="s">
        <v>307</v>
      </c>
      <c r="F845" t="s">
        <v>475</v>
      </c>
      <c r="G845" t="s">
        <v>536</v>
      </c>
      <c r="H845" t="s">
        <v>378</v>
      </c>
      <c r="I845" t="s">
        <v>985</v>
      </c>
      <c r="J845" t="s">
        <v>986</v>
      </c>
      <c r="K845" t="s">
        <v>987</v>
      </c>
      <c r="L845" t="s">
        <v>724</v>
      </c>
      <c r="M845" t="s">
        <v>988</v>
      </c>
      <c r="N845" t="s">
        <v>699</v>
      </c>
      <c r="O845">
        <v>2020</v>
      </c>
    </row>
    <row r="846" spans="1:15" x14ac:dyDescent="0.25">
      <c r="A846" t="s">
        <v>890</v>
      </c>
      <c r="B846" t="s">
        <v>989</v>
      </c>
      <c r="C846" t="s">
        <v>590</v>
      </c>
      <c r="D846" t="s">
        <v>162</v>
      </c>
      <c r="E846" t="s">
        <v>307</v>
      </c>
      <c r="F846" t="s">
        <v>475</v>
      </c>
      <c r="G846" t="s">
        <v>536</v>
      </c>
      <c r="H846" t="s">
        <v>378</v>
      </c>
      <c r="I846" t="s">
        <v>985</v>
      </c>
      <c r="J846" t="s">
        <v>941</v>
      </c>
      <c r="K846" t="s">
        <v>990</v>
      </c>
      <c r="L846" t="s">
        <v>538</v>
      </c>
      <c r="M846" t="s">
        <v>603</v>
      </c>
      <c r="N846" t="s">
        <v>604</v>
      </c>
      <c r="O846">
        <v>2020</v>
      </c>
    </row>
    <row r="847" spans="1:15" x14ac:dyDescent="0.25">
      <c r="A847" t="s">
        <v>890</v>
      </c>
      <c r="B847" t="s">
        <v>991</v>
      </c>
      <c r="C847" t="s">
        <v>789</v>
      </c>
      <c r="D847" t="s">
        <v>18</v>
      </c>
      <c r="E847" t="s">
        <v>461</v>
      </c>
      <c r="F847" t="s">
        <v>20</v>
      </c>
      <c r="G847" t="s">
        <v>992</v>
      </c>
      <c r="H847" t="s">
        <v>422</v>
      </c>
      <c r="I847" t="s">
        <v>916</v>
      </c>
      <c r="J847" t="s">
        <v>787</v>
      </c>
      <c r="K847" t="s">
        <v>636</v>
      </c>
      <c r="L847" t="s">
        <v>312</v>
      </c>
      <c r="M847" t="s">
        <v>502</v>
      </c>
      <c r="N847" t="s">
        <v>516</v>
      </c>
      <c r="O847">
        <v>2019</v>
      </c>
    </row>
    <row r="848" spans="1:15" x14ac:dyDescent="0.25">
      <c r="A848" t="s">
        <v>890</v>
      </c>
      <c r="B848" t="s">
        <v>993</v>
      </c>
      <c r="C848" t="s">
        <v>789</v>
      </c>
      <c r="D848" t="s">
        <v>18</v>
      </c>
      <c r="E848" t="s">
        <v>461</v>
      </c>
      <c r="F848" t="s">
        <v>20</v>
      </c>
      <c r="G848" t="s">
        <v>992</v>
      </c>
      <c r="H848" t="s">
        <v>422</v>
      </c>
      <c r="I848" t="s">
        <v>916</v>
      </c>
      <c r="J848" t="s">
        <v>994</v>
      </c>
      <c r="K848" t="s">
        <v>995</v>
      </c>
      <c r="L848" t="s">
        <v>471</v>
      </c>
      <c r="M848" t="s">
        <v>996</v>
      </c>
      <c r="N848" t="s">
        <v>503</v>
      </c>
      <c r="O848">
        <v>2019</v>
      </c>
    </row>
    <row r="849" spans="1:15" x14ac:dyDescent="0.25">
      <c r="A849" t="s">
        <v>890</v>
      </c>
      <c r="B849" t="s">
        <v>997</v>
      </c>
      <c r="C849" t="s">
        <v>496</v>
      </c>
      <c r="D849" t="s">
        <v>256</v>
      </c>
      <c r="E849" t="s">
        <v>307</v>
      </c>
      <c r="F849" t="s">
        <v>475</v>
      </c>
      <c r="G849" t="s">
        <v>998</v>
      </c>
      <c r="H849" t="s">
        <v>378</v>
      </c>
      <c r="I849" t="s">
        <v>999</v>
      </c>
      <c r="J849" t="s">
        <v>1000</v>
      </c>
      <c r="K849" t="s">
        <v>967</v>
      </c>
      <c r="L849" t="s">
        <v>724</v>
      </c>
      <c r="M849" t="s">
        <v>698</v>
      </c>
      <c r="N849" t="s">
        <v>699</v>
      </c>
      <c r="O849">
        <v>2019</v>
      </c>
    </row>
    <row r="850" spans="1:15" x14ac:dyDescent="0.25">
      <c r="A850" t="s">
        <v>890</v>
      </c>
      <c r="B850" t="s">
        <v>1001</v>
      </c>
      <c r="C850" t="s">
        <v>496</v>
      </c>
      <c r="D850" t="s">
        <v>256</v>
      </c>
      <c r="E850" t="s">
        <v>307</v>
      </c>
      <c r="F850" t="s">
        <v>475</v>
      </c>
      <c r="G850" t="s">
        <v>998</v>
      </c>
      <c r="H850" t="s">
        <v>378</v>
      </c>
      <c r="I850" t="s">
        <v>999</v>
      </c>
      <c r="J850" t="s">
        <v>1002</v>
      </c>
      <c r="K850" t="s">
        <v>1003</v>
      </c>
      <c r="L850" t="s">
        <v>538</v>
      </c>
      <c r="M850" t="s">
        <v>610</v>
      </c>
      <c r="N850" t="s">
        <v>959</v>
      </c>
      <c r="O850">
        <v>2019</v>
      </c>
    </row>
    <row r="851" spans="1:15" x14ac:dyDescent="0.25">
      <c r="A851" t="s">
        <v>890</v>
      </c>
      <c r="B851" t="s">
        <v>1004</v>
      </c>
      <c r="C851" t="s">
        <v>496</v>
      </c>
      <c r="D851" t="s">
        <v>18</v>
      </c>
      <c r="E851" t="s">
        <v>461</v>
      </c>
      <c r="F851" t="s">
        <v>20</v>
      </c>
      <c r="G851" t="s">
        <v>1005</v>
      </c>
      <c r="H851" t="s">
        <v>395</v>
      </c>
      <c r="I851" t="s">
        <v>1006</v>
      </c>
      <c r="J851" t="s">
        <v>931</v>
      </c>
      <c r="K851" t="s">
        <v>630</v>
      </c>
      <c r="L851" t="s">
        <v>466</v>
      </c>
      <c r="M851" t="s">
        <v>491</v>
      </c>
      <c r="N851" t="s">
        <v>503</v>
      </c>
      <c r="O851">
        <v>2019</v>
      </c>
    </row>
    <row r="852" spans="1:15" x14ac:dyDescent="0.25">
      <c r="A852" t="s">
        <v>890</v>
      </c>
      <c r="B852" t="s">
        <v>1007</v>
      </c>
      <c r="C852" t="s">
        <v>496</v>
      </c>
      <c r="D852" t="s">
        <v>18</v>
      </c>
      <c r="E852" t="s">
        <v>461</v>
      </c>
      <c r="F852" t="s">
        <v>20</v>
      </c>
      <c r="G852" t="s">
        <v>1005</v>
      </c>
      <c r="H852" t="s">
        <v>395</v>
      </c>
      <c r="I852" t="s">
        <v>1006</v>
      </c>
      <c r="J852" t="s">
        <v>787</v>
      </c>
      <c r="K852" t="s">
        <v>1008</v>
      </c>
      <c r="L852" t="s">
        <v>544</v>
      </c>
      <c r="M852" t="s">
        <v>1009</v>
      </c>
      <c r="N852" t="s">
        <v>314</v>
      </c>
      <c r="O852">
        <v>2019</v>
      </c>
    </row>
    <row r="853" spans="1:15" x14ac:dyDescent="0.25">
      <c r="A853" t="s">
        <v>890</v>
      </c>
      <c r="B853" t="s">
        <v>1010</v>
      </c>
      <c r="C853" t="s">
        <v>496</v>
      </c>
      <c r="D853" t="s">
        <v>68</v>
      </c>
      <c r="E853" t="s">
        <v>461</v>
      </c>
      <c r="F853" t="s">
        <v>20</v>
      </c>
      <c r="G853" t="s">
        <v>1011</v>
      </c>
      <c r="H853" t="s">
        <v>395</v>
      </c>
      <c r="I853" t="s">
        <v>1012</v>
      </c>
      <c r="J853" t="s">
        <v>316</v>
      </c>
      <c r="K853" t="s">
        <v>1013</v>
      </c>
      <c r="L853" t="s">
        <v>326</v>
      </c>
      <c r="M853" t="s">
        <v>331</v>
      </c>
      <c r="N853" t="s">
        <v>332</v>
      </c>
      <c r="O853">
        <v>2019</v>
      </c>
    </row>
    <row r="854" spans="1:15" x14ac:dyDescent="0.25">
      <c r="A854" t="s">
        <v>890</v>
      </c>
      <c r="B854" t="s">
        <v>1014</v>
      </c>
      <c r="C854" t="s">
        <v>496</v>
      </c>
      <c r="D854" t="s">
        <v>68</v>
      </c>
      <c r="E854" t="s">
        <v>461</v>
      </c>
      <c r="F854" t="s">
        <v>20</v>
      </c>
      <c r="G854" t="s">
        <v>1011</v>
      </c>
      <c r="H854" t="s">
        <v>395</v>
      </c>
      <c r="I854" t="s">
        <v>1012</v>
      </c>
      <c r="J854" t="s">
        <v>818</v>
      </c>
      <c r="K854" t="s">
        <v>1015</v>
      </c>
      <c r="L854" t="s">
        <v>330</v>
      </c>
      <c r="M854" t="s">
        <v>666</v>
      </c>
      <c r="N854" t="s">
        <v>667</v>
      </c>
      <c r="O854">
        <v>2019</v>
      </c>
    </row>
    <row r="855" spans="1:15" x14ac:dyDescent="0.25">
      <c r="A855" t="s">
        <v>890</v>
      </c>
      <c r="B855" t="s">
        <v>1016</v>
      </c>
      <c r="C855" t="s">
        <v>1017</v>
      </c>
      <c r="D855" t="s">
        <v>162</v>
      </c>
      <c r="E855" t="s">
        <v>307</v>
      </c>
      <c r="F855" t="s">
        <v>475</v>
      </c>
      <c r="G855" t="s">
        <v>536</v>
      </c>
      <c r="H855" t="s">
        <v>378</v>
      </c>
      <c r="I855" t="s">
        <v>1018</v>
      </c>
      <c r="J855" t="s">
        <v>957</v>
      </c>
      <c r="K855" t="s">
        <v>1019</v>
      </c>
      <c r="L855" t="s">
        <v>501</v>
      </c>
      <c r="M855" t="s">
        <v>512</v>
      </c>
      <c r="N855" t="s">
        <v>1020</v>
      </c>
      <c r="O855">
        <v>2020</v>
      </c>
    </row>
    <row r="856" spans="1:15" x14ac:dyDescent="0.25">
      <c r="A856" t="s">
        <v>890</v>
      </c>
      <c r="B856" t="s">
        <v>1021</v>
      </c>
      <c r="C856" t="s">
        <v>1017</v>
      </c>
      <c r="D856" t="s">
        <v>256</v>
      </c>
      <c r="E856" t="s">
        <v>307</v>
      </c>
      <c r="F856" t="s">
        <v>475</v>
      </c>
      <c r="G856" t="s">
        <v>536</v>
      </c>
      <c r="H856" t="s">
        <v>378</v>
      </c>
      <c r="I856" t="s">
        <v>1018</v>
      </c>
      <c r="J856" t="s">
        <v>966</v>
      </c>
      <c r="K856" t="s">
        <v>1022</v>
      </c>
      <c r="L856" t="s">
        <v>541</v>
      </c>
      <c r="M856" t="s">
        <v>610</v>
      </c>
      <c r="N856" t="s">
        <v>959</v>
      </c>
      <c r="O856">
        <v>2020</v>
      </c>
    </row>
    <row r="857" spans="1:15" x14ac:dyDescent="0.25">
      <c r="A857" t="s">
        <v>890</v>
      </c>
      <c r="B857" t="s">
        <v>1023</v>
      </c>
      <c r="C857" t="s">
        <v>1024</v>
      </c>
      <c r="D857" t="s">
        <v>162</v>
      </c>
      <c r="E857" t="s">
        <v>585</v>
      </c>
      <c r="F857" t="s">
        <v>585</v>
      </c>
      <c r="G857" t="s">
        <v>974</v>
      </c>
      <c r="H857" t="s">
        <v>422</v>
      </c>
      <c r="I857" t="s">
        <v>1006</v>
      </c>
      <c r="J857" t="s">
        <v>792</v>
      </c>
      <c r="K857" t="s">
        <v>595</v>
      </c>
      <c r="L857" t="s">
        <v>480</v>
      </c>
      <c r="M857" t="s">
        <v>502</v>
      </c>
      <c r="N857" t="s">
        <v>513</v>
      </c>
      <c r="O857">
        <v>2019</v>
      </c>
    </row>
    <row r="858" spans="1:15" x14ac:dyDescent="0.25">
      <c r="A858" t="s">
        <v>890</v>
      </c>
      <c r="B858" t="s">
        <v>1025</v>
      </c>
      <c r="C858" t="s">
        <v>1024</v>
      </c>
      <c r="D858" t="s">
        <v>18</v>
      </c>
      <c r="E858" t="s">
        <v>585</v>
      </c>
      <c r="F858" t="s">
        <v>585</v>
      </c>
      <c r="G858" t="s">
        <v>974</v>
      </c>
      <c r="H858" t="s">
        <v>422</v>
      </c>
      <c r="I858" t="s">
        <v>1006</v>
      </c>
      <c r="J858" t="s">
        <v>931</v>
      </c>
      <c r="K858" t="s">
        <v>630</v>
      </c>
      <c r="L858" t="s">
        <v>522</v>
      </c>
      <c r="M858" t="s">
        <v>491</v>
      </c>
      <c r="N858" t="s">
        <v>516</v>
      </c>
      <c r="O858">
        <v>2019</v>
      </c>
    </row>
    <row r="859" spans="1:15" x14ac:dyDescent="0.25">
      <c r="A859" t="s">
        <v>890</v>
      </c>
      <c r="B859" t="s">
        <v>1026</v>
      </c>
      <c r="C859" t="s">
        <v>1027</v>
      </c>
      <c r="D859" t="s">
        <v>18</v>
      </c>
      <c r="E859" t="s">
        <v>19</v>
      </c>
      <c r="F859" t="s">
        <v>19</v>
      </c>
      <c r="G859" t="s">
        <v>1028</v>
      </c>
      <c r="H859" t="s">
        <v>1029</v>
      </c>
      <c r="I859" t="s">
        <v>860</v>
      </c>
      <c r="J859" t="s">
        <v>787</v>
      </c>
      <c r="K859" t="s">
        <v>995</v>
      </c>
      <c r="L859" t="s">
        <v>312</v>
      </c>
      <c r="M859" t="s">
        <v>481</v>
      </c>
      <c r="N859" t="s">
        <v>314</v>
      </c>
      <c r="O859">
        <v>2018</v>
      </c>
    </row>
    <row r="860" spans="1:15" x14ac:dyDescent="0.25">
      <c r="A860" t="s">
        <v>890</v>
      </c>
      <c r="B860" t="s">
        <v>1030</v>
      </c>
      <c r="C860" t="s">
        <v>1027</v>
      </c>
      <c r="D860" t="s">
        <v>162</v>
      </c>
      <c r="E860" t="s">
        <v>19</v>
      </c>
      <c r="F860" t="s">
        <v>19</v>
      </c>
      <c r="G860" t="s">
        <v>1028</v>
      </c>
      <c r="H860" t="s">
        <v>1029</v>
      </c>
      <c r="I860" t="s">
        <v>860</v>
      </c>
      <c r="J860" t="s">
        <v>931</v>
      </c>
      <c r="K860" t="s">
        <v>1031</v>
      </c>
      <c r="L860" t="s">
        <v>637</v>
      </c>
      <c r="M860" t="s">
        <v>491</v>
      </c>
      <c r="N860" t="s">
        <v>516</v>
      </c>
      <c r="O860">
        <v>2018</v>
      </c>
    </row>
    <row r="861" spans="1:15" x14ac:dyDescent="0.25">
      <c r="A861" t="s">
        <v>890</v>
      </c>
      <c r="B861" t="s">
        <v>1032</v>
      </c>
      <c r="C861" t="s">
        <v>131</v>
      </c>
      <c r="D861" t="s">
        <v>68</v>
      </c>
      <c r="E861" t="s">
        <v>580</v>
      </c>
      <c r="F861" t="s">
        <v>907</v>
      </c>
      <c r="G861" t="s">
        <v>1033</v>
      </c>
      <c r="H861" t="s">
        <v>581</v>
      </c>
      <c r="I861" t="s">
        <v>823</v>
      </c>
      <c r="J861" t="s">
        <v>787</v>
      </c>
      <c r="K861" t="s">
        <v>531</v>
      </c>
      <c r="L861" t="s">
        <v>480</v>
      </c>
      <c r="M861" t="s">
        <v>491</v>
      </c>
      <c r="N861" t="s">
        <v>503</v>
      </c>
      <c r="O861">
        <v>2021</v>
      </c>
    </row>
    <row r="862" spans="1:15" x14ac:dyDescent="0.25">
      <c r="A862" t="s">
        <v>890</v>
      </c>
      <c r="B862" t="s">
        <v>1034</v>
      </c>
      <c r="C862" t="s">
        <v>131</v>
      </c>
      <c r="D862" t="s">
        <v>68</v>
      </c>
      <c r="E862" t="s">
        <v>580</v>
      </c>
      <c r="F862" t="s">
        <v>907</v>
      </c>
      <c r="G862" t="s">
        <v>1033</v>
      </c>
      <c r="H862" t="s">
        <v>581</v>
      </c>
      <c r="I862" t="s">
        <v>823</v>
      </c>
      <c r="J862" t="s">
        <v>994</v>
      </c>
      <c r="K862" t="s">
        <v>494</v>
      </c>
      <c r="L862" t="s">
        <v>484</v>
      </c>
      <c r="M862" t="s">
        <v>481</v>
      </c>
      <c r="N862" t="s">
        <v>314</v>
      </c>
      <c r="O862">
        <v>2021</v>
      </c>
    </row>
    <row r="863" spans="1:15" x14ac:dyDescent="0.25">
      <c r="A863" t="s">
        <v>890</v>
      </c>
      <c r="B863" t="s">
        <v>1035</v>
      </c>
      <c r="C863" t="s">
        <v>1036</v>
      </c>
      <c r="D863" t="s">
        <v>68</v>
      </c>
      <c r="E863" t="s">
        <v>585</v>
      </c>
      <c r="F863" t="s">
        <v>580</v>
      </c>
      <c r="G863" t="s">
        <v>1037</v>
      </c>
      <c r="H863" t="s">
        <v>378</v>
      </c>
      <c r="I863" t="s">
        <v>912</v>
      </c>
      <c r="J863" t="s">
        <v>931</v>
      </c>
      <c r="K863" t="s">
        <v>529</v>
      </c>
      <c r="L863" t="s">
        <v>506</v>
      </c>
      <c r="M863" t="s">
        <v>1038</v>
      </c>
      <c r="N863" t="s">
        <v>513</v>
      </c>
      <c r="O863">
        <v>2021</v>
      </c>
    </row>
    <row r="864" spans="1:15" x14ac:dyDescent="0.25">
      <c r="A864" t="s">
        <v>890</v>
      </c>
      <c r="B864" t="s">
        <v>1039</v>
      </c>
      <c r="C864" t="s">
        <v>1036</v>
      </c>
      <c r="D864" t="s">
        <v>162</v>
      </c>
      <c r="E864" t="s">
        <v>585</v>
      </c>
      <c r="F864" t="s">
        <v>580</v>
      </c>
      <c r="G864" t="s">
        <v>1037</v>
      </c>
      <c r="H864" t="s">
        <v>378</v>
      </c>
      <c r="I864" t="s">
        <v>912</v>
      </c>
      <c r="J864" t="s">
        <v>792</v>
      </c>
      <c r="K864" t="s">
        <v>510</v>
      </c>
      <c r="L864" t="s">
        <v>541</v>
      </c>
      <c r="M864" t="s">
        <v>603</v>
      </c>
      <c r="N864" t="s">
        <v>596</v>
      </c>
      <c r="O864">
        <v>2021</v>
      </c>
    </row>
    <row r="865" spans="1:15" x14ac:dyDescent="0.25">
      <c r="A865" t="s">
        <v>890</v>
      </c>
      <c r="B865" t="s">
        <v>1040</v>
      </c>
      <c r="C865" t="s">
        <v>496</v>
      </c>
      <c r="D865" t="s">
        <v>375</v>
      </c>
      <c r="E865" t="s">
        <v>461</v>
      </c>
      <c r="F865" t="s">
        <v>20</v>
      </c>
      <c r="G865" t="s">
        <v>1041</v>
      </c>
      <c r="H865" t="s">
        <v>1042</v>
      </c>
      <c r="I865" t="s">
        <v>919</v>
      </c>
      <c r="J865" t="s">
        <v>836</v>
      </c>
      <c r="K865" t="s">
        <v>716</v>
      </c>
      <c r="L865" t="s">
        <v>883</v>
      </c>
      <c r="M865" t="s">
        <v>39</v>
      </c>
      <c r="N865" t="s">
        <v>667</v>
      </c>
      <c r="O865">
        <v>2021</v>
      </c>
    </row>
    <row r="866" spans="1:15" x14ac:dyDescent="0.25">
      <c r="A866" t="s">
        <v>890</v>
      </c>
      <c r="B866" t="s">
        <v>1043</v>
      </c>
      <c r="C866" t="s">
        <v>496</v>
      </c>
      <c r="D866" t="s">
        <v>375</v>
      </c>
      <c r="E866" t="s">
        <v>461</v>
      </c>
      <c r="F866" t="s">
        <v>20</v>
      </c>
      <c r="G866" t="s">
        <v>1041</v>
      </c>
      <c r="H866" t="s">
        <v>1042</v>
      </c>
      <c r="I866" t="s">
        <v>919</v>
      </c>
      <c r="J866" t="s">
        <v>745</v>
      </c>
      <c r="K866" t="s">
        <v>665</v>
      </c>
      <c r="L866" t="s">
        <v>772</v>
      </c>
      <c r="M866" t="s">
        <v>56</v>
      </c>
      <c r="N866" t="s">
        <v>301</v>
      </c>
      <c r="O866">
        <v>2021</v>
      </c>
    </row>
    <row r="867" spans="1:15" x14ac:dyDescent="0.25">
      <c r="A867" t="s">
        <v>890</v>
      </c>
      <c r="B867" t="s">
        <v>1044</v>
      </c>
      <c r="C867" t="s">
        <v>815</v>
      </c>
      <c r="D867" t="s">
        <v>68</v>
      </c>
      <c r="E867" t="s">
        <v>906</v>
      </c>
      <c r="F867" t="s">
        <v>907</v>
      </c>
      <c r="G867" t="s">
        <v>1045</v>
      </c>
      <c r="H867" t="s">
        <v>395</v>
      </c>
      <c r="I867" t="s">
        <v>823</v>
      </c>
      <c r="J867" t="s">
        <v>310</v>
      </c>
      <c r="K867" t="s">
        <v>1046</v>
      </c>
      <c r="L867" t="s">
        <v>318</v>
      </c>
      <c r="M867" t="s">
        <v>331</v>
      </c>
      <c r="N867" t="s">
        <v>320</v>
      </c>
      <c r="O867">
        <v>2020</v>
      </c>
    </row>
    <row r="868" spans="1:15" x14ac:dyDescent="0.25">
      <c r="A868" t="s">
        <v>890</v>
      </c>
      <c r="B868" t="s">
        <v>1047</v>
      </c>
      <c r="C868" t="s">
        <v>815</v>
      </c>
      <c r="D868" t="s">
        <v>68</v>
      </c>
      <c r="E868" t="s">
        <v>906</v>
      </c>
      <c r="F868" t="s">
        <v>907</v>
      </c>
      <c r="G868" t="s">
        <v>1045</v>
      </c>
      <c r="H868" t="s">
        <v>395</v>
      </c>
      <c r="I868" t="s">
        <v>823</v>
      </c>
      <c r="J868" t="s">
        <v>827</v>
      </c>
      <c r="K868" t="s">
        <v>917</v>
      </c>
      <c r="L868" t="s">
        <v>717</v>
      </c>
      <c r="M868" t="s">
        <v>666</v>
      </c>
      <c r="N868" t="s">
        <v>583</v>
      </c>
      <c r="O868">
        <v>2020</v>
      </c>
    </row>
    <row r="869" spans="1:15" x14ac:dyDescent="0.25">
      <c r="A869" t="s">
        <v>890</v>
      </c>
      <c r="B869" t="s">
        <v>1048</v>
      </c>
      <c r="C869" t="s">
        <v>748</v>
      </c>
      <c r="D869" t="s">
        <v>68</v>
      </c>
      <c r="E869" t="s">
        <v>585</v>
      </c>
      <c r="F869" t="s">
        <v>580</v>
      </c>
      <c r="G869" t="s">
        <v>1049</v>
      </c>
      <c r="H869" t="s">
        <v>378</v>
      </c>
      <c r="I869" t="s">
        <v>912</v>
      </c>
      <c r="J869" t="s">
        <v>827</v>
      </c>
      <c r="K869" t="s">
        <v>505</v>
      </c>
      <c r="L869" t="s">
        <v>466</v>
      </c>
      <c r="M869" t="s">
        <v>481</v>
      </c>
      <c r="N869" t="s">
        <v>482</v>
      </c>
      <c r="O869">
        <v>2021</v>
      </c>
    </row>
    <row r="870" spans="1:15" x14ac:dyDescent="0.25">
      <c r="A870" t="s">
        <v>890</v>
      </c>
      <c r="B870" t="s">
        <v>1050</v>
      </c>
      <c r="C870" t="s">
        <v>748</v>
      </c>
      <c r="D870" t="s">
        <v>68</v>
      </c>
      <c r="E870" t="s">
        <v>585</v>
      </c>
      <c r="F870" t="s">
        <v>580</v>
      </c>
      <c r="G870" t="s">
        <v>1049</v>
      </c>
      <c r="H870" t="s">
        <v>378</v>
      </c>
      <c r="I870" t="s">
        <v>912</v>
      </c>
      <c r="J870" t="s">
        <v>316</v>
      </c>
      <c r="K870" t="s">
        <v>1046</v>
      </c>
      <c r="L870" t="s">
        <v>471</v>
      </c>
      <c r="M870" t="s">
        <v>327</v>
      </c>
      <c r="N870" t="s">
        <v>320</v>
      </c>
      <c r="O870">
        <v>2021</v>
      </c>
    </row>
    <row r="871" spans="1:15" x14ac:dyDescent="0.25">
      <c r="A871" t="s">
        <v>890</v>
      </c>
      <c r="B871" t="s">
        <v>1051</v>
      </c>
      <c r="C871" t="s">
        <v>496</v>
      </c>
      <c r="D871" t="s">
        <v>18</v>
      </c>
      <c r="E871" t="s">
        <v>585</v>
      </c>
      <c r="F871" t="s">
        <v>907</v>
      </c>
      <c r="G871" t="s">
        <v>1037</v>
      </c>
      <c r="H871" t="s">
        <v>378</v>
      </c>
      <c r="I871" t="s">
        <v>912</v>
      </c>
      <c r="J871" t="s">
        <v>931</v>
      </c>
      <c r="K871" t="s">
        <v>689</v>
      </c>
      <c r="L871" t="s">
        <v>506</v>
      </c>
      <c r="M871" t="s">
        <v>683</v>
      </c>
      <c r="N871" t="s">
        <v>513</v>
      </c>
      <c r="O871">
        <v>2021</v>
      </c>
    </row>
    <row r="872" spans="1:15" x14ac:dyDescent="0.25">
      <c r="A872" t="s">
        <v>890</v>
      </c>
      <c r="B872" t="s">
        <v>1052</v>
      </c>
      <c r="C872" t="s">
        <v>496</v>
      </c>
      <c r="D872" t="s">
        <v>18</v>
      </c>
      <c r="E872" t="s">
        <v>585</v>
      </c>
      <c r="F872" t="s">
        <v>907</v>
      </c>
      <c r="G872" t="s">
        <v>1037</v>
      </c>
      <c r="H872" t="s">
        <v>378</v>
      </c>
      <c r="I872" t="s">
        <v>912</v>
      </c>
      <c r="J872" t="s">
        <v>792</v>
      </c>
      <c r="K872" t="s">
        <v>958</v>
      </c>
      <c r="L872" t="s">
        <v>541</v>
      </c>
      <c r="M872" t="s">
        <v>603</v>
      </c>
      <c r="N872" t="s">
        <v>596</v>
      </c>
      <c r="O872">
        <v>2021</v>
      </c>
    </row>
    <row r="873" spans="1:15" x14ac:dyDescent="0.25">
      <c r="A873" t="s">
        <v>890</v>
      </c>
      <c r="B873" t="s">
        <v>1053</v>
      </c>
      <c r="C873" t="s">
        <v>789</v>
      </c>
      <c r="D873" t="s">
        <v>18</v>
      </c>
      <c r="E873" t="s">
        <v>461</v>
      </c>
      <c r="F873" t="s">
        <v>20</v>
      </c>
      <c r="G873" t="s">
        <v>981</v>
      </c>
      <c r="H873" t="s">
        <v>446</v>
      </c>
      <c r="I873" t="s">
        <v>1012</v>
      </c>
      <c r="J873" t="s">
        <v>994</v>
      </c>
      <c r="K873" t="s">
        <v>1046</v>
      </c>
      <c r="L873" t="s">
        <v>471</v>
      </c>
      <c r="M873" t="s">
        <v>327</v>
      </c>
      <c r="N873" t="s">
        <v>320</v>
      </c>
      <c r="O873">
        <v>2019</v>
      </c>
    </row>
    <row r="874" spans="1:15" x14ac:dyDescent="0.25">
      <c r="A874" t="s">
        <v>890</v>
      </c>
      <c r="B874" t="s">
        <v>1054</v>
      </c>
      <c r="C874" t="s">
        <v>789</v>
      </c>
      <c r="D874" t="s">
        <v>18</v>
      </c>
      <c r="E874" t="s">
        <v>461</v>
      </c>
      <c r="F874" t="s">
        <v>20</v>
      </c>
      <c r="G874" t="s">
        <v>981</v>
      </c>
      <c r="H874" t="s">
        <v>446</v>
      </c>
      <c r="I874" t="s">
        <v>1012</v>
      </c>
      <c r="J874" t="s">
        <v>310</v>
      </c>
      <c r="K874" t="s">
        <v>917</v>
      </c>
      <c r="L874" t="s">
        <v>751</v>
      </c>
      <c r="M874" t="s">
        <v>472</v>
      </c>
      <c r="N874" t="s">
        <v>583</v>
      </c>
      <c r="O874">
        <v>2019</v>
      </c>
    </row>
    <row r="875" spans="1:15" x14ac:dyDescent="0.25">
      <c r="A875" t="s">
        <v>890</v>
      </c>
      <c r="B875" t="s">
        <v>1055</v>
      </c>
      <c r="C875" t="s">
        <v>789</v>
      </c>
      <c r="D875" t="s">
        <v>68</v>
      </c>
      <c r="E875" t="s">
        <v>461</v>
      </c>
      <c r="F875" t="s">
        <v>580</v>
      </c>
      <c r="G875" t="s">
        <v>817</v>
      </c>
      <c r="H875" t="s">
        <v>1056</v>
      </c>
      <c r="I875" t="s">
        <v>919</v>
      </c>
      <c r="J875" t="s">
        <v>861</v>
      </c>
      <c r="K875" t="s">
        <v>776</v>
      </c>
      <c r="L875" t="s">
        <v>711</v>
      </c>
      <c r="M875" t="s">
        <v>289</v>
      </c>
      <c r="N875" t="s">
        <v>301</v>
      </c>
      <c r="O875">
        <v>2021</v>
      </c>
    </row>
    <row r="876" spans="1:15" x14ac:dyDescent="0.25">
      <c r="A876" t="s">
        <v>890</v>
      </c>
      <c r="B876" t="s">
        <v>1057</v>
      </c>
      <c r="C876" t="s">
        <v>789</v>
      </c>
      <c r="D876" t="s">
        <v>68</v>
      </c>
      <c r="E876" t="s">
        <v>461</v>
      </c>
      <c r="F876" t="s">
        <v>580</v>
      </c>
      <c r="G876" t="s">
        <v>817</v>
      </c>
      <c r="H876" t="s">
        <v>1056</v>
      </c>
      <c r="I876" t="s">
        <v>919</v>
      </c>
      <c r="J876" t="s">
        <v>836</v>
      </c>
      <c r="K876" t="s">
        <v>716</v>
      </c>
      <c r="L876" t="s">
        <v>768</v>
      </c>
      <c r="M876" t="s">
        <v>27</v>
      </c>
      <c r="N876" t="s">
        <v>777</v>
      </c>
      <c r="O876">
        <v>2021</v>
      </c>
    </row>
    <row r="877" spans="1:15" x14ac:dyDescent="0.25">
      <c r="A877" t="s">
        <v>890</v>
      </c>
      <c r="B877" t="s">
        <v>1058</v>
      </c>
      <c r="C877" t="s">
        <v>598</v>
      </c>
      <c r="D877" t="s">
        <v>18</v>
      </c>
      <c r="E877" t="s">
        <v>585</v>
      </c>
      <c r="F877" t="s">
        <v>580</v>
      </c>
      <c r="G877" t="s">
        <v>1059</v>
      </c>
      <c r="H877" t="s">
        <v>378</v>
      </c>
      <c r="I877" t="s">
        <v>912</v>
      </c>
      <c r="J877" t="s">
        <v>787</v>
      </c>
      <c r="K877" t="s">
        <v>529</v>
      </c>
      <c r="L877" t="s">
        <v>480</v>
      </c>
      <c r="M877" t="s">
        <v>996</v>
      </c>
      <c r="N877" t="s">
        <v>516</v>
      </c>
      <c r="O877">
        <v>2022</v>
      </c>
    </row>
    <row r="878" spans="1:15" x14ac:dyDescent="0.25">
      <c r="A878" t="s">
        <v>890</v>
      </c>
      <c r="B878" t="s">
        <v>1060</v>
      </c>
      <c r="C878" t="s">
        <v>598</v>
      </c>
      <c r="D878" t="s">
        <v>68</v>
      </c>
      <c r="E878" t="s">
        <v>585</v>
      </c>
      <c r="F878" t="s">
        <v>580</v>
      </c>
      <c r="G878" t="s">
        <v>1059</v>
      </c>
      <c r="H878" t="s">
        <v>378</v>
      </c>
      <c r="I878" t="s">
        <v>912</v>
      </c>
      <c r="J878" t="s">
        <v>994</v>
      </c>
      <c r="K878" t="s">
        <v>505</v>
      </c>
      <c r="L878" t="s">
        <v>484</v>
      </c>
      <c r="M878" t="s">
        <v>1009</v>
      </c>
      <c r="N878" t="s">
        <v>503</v>
      </c>
      <c r="O878">
        <v>2022</v>
      </c>
    </row>
    <row r="879" spans="1:15" x14ac:dyDescent="0.25">
      <c r="A879" t="s">
        <v>890</v>
      </c>
      <c r="B879" t="s">
        <v>1061</v>
      </c>
      <c r="C879" t="s">
        <v>474</v>
      </c>
      <c r="D879" t="s">
        <v>68</v>
      </c>
      <c r="E879" t="s">
        <v>461</v>
      </c>
      <c r="F879" t="s">
        <v>907</v>
      </c>
      <c r="G879" t="s">
        <v>1062</v>
      </c>
      <c r="H879" t="s">
        <v>1042</v>
      </c>
      <c r="I879" t="s">
        <v>823</v>
      </c>
      <c r="J879" t="s">
        <v>836</v>
      </c>
      <c r="K879" t="s">
        <v>1063</v>
      </c>
      <c r="L879" t="s">
        <v>1064</v>
      </c>
      <c r="M879" t="s">
        <v>39</v>
      </c>
      <c r="N879" t="s">
        <v>777</v>
      </c>
      <c r="O879">
        <v>2019</v>
      </c>
    </row>
    <row r="880" spans="1:15" x14ac:dyDescent="0.25">
      <c r="A880" t="s">
        <v>890</v>
      </c>
      <c r="B880" t="s">
        <v>1065</v>
      </c>
      <c r="C880" t="s">
        <v>474</v>
      </c>
      <c r="D880" t="s">
        <v>68</v>
      </c>
      <c r="E880" t="s">
        <v>461</v>
      </c>
      <c r="F880" t="s">
        <v>907</v>
      </c>
      <c r="G880" t="s">
        <v>1062</v>
      </c>
      <c r="H880" t="s">
        <v>1042</v>
      </c>
      <c r="I880" t="s">
        <v>823</v>
      </c>
      <c r="J880" t="s">
        <v>745</v>
      </c>
      <c r="K880" t="s">
        <v>704</v>
      </c>
      <c r="L880" t="s">
        <v>136</v>
      </c>
      <c r="M880" t="s">
        <v>50</v>
      </c>
      <c r="N880" t="s">
        <v>229</v>
      </c>
      <c r="O880">
        <v>2019</v>
      </c>
    </row>
    <row r="881" spans="1:15" x14ac:dyDescent="0.25">
      <c r="A881" t="s">
        <v>890</v>
      </c>
      <c r="B881" t="s">
        <v>1066</v>
      </c>
      <c r="C881" t="s">
        <v>1036</v>
      </c>
      <c r="D881" t="s">
        <v>68</v>
      </c>
      <c r="E881" t="s">
        <v>580</v>
      </c>
      <c r="F881" t="s">
        <v>580</v>
      </c>
      <c r="G881" t="s">
        <v>1067</v>
      </c>
      <c r="H881" t="s">
        <v>1068</v>
      </c>
      <c r="I881" t="s">
        <v>807</v>
      </c>
      <c r="J881" t="s">
        <v>297</v>
      </c>
      <c r="K881" t="s">
        <v>917</v>
      </c>
      <c r="L881" t="s">
        <v>717</v>
      </c>
      <c r="M881" t="s">
        <v>300</v>
      </c>
      <c r="N881" t="s">
        <v>583</v>
      </c>
      <c r="O881">
        <v>2023</v>
      </c>
    </row>
    <row r="882" spans="1:15" x14ac:dyDescent="0.25">
      <c r="A882" t="s">
        <v>890</v>
      </c>
      <c r="B882" t="s">
        <v>1069</v>
      </c>
      <c r="C882" t="s">
        <v>1036</v>
      </c>
      <c r="D882" t="s">
        <v>68</v>
      </c>
      <c r="E882" t="s">
        <v>580</v>
      </c>
      <c r="F882" t="s">
        <v>580</v>
      </c>
      <c r="G882" t="s">
        <v>1067</v>
      </c>
      <c r="H882" t="s">
        <v>1068</v>
      </c>
      <c r="I882" t="s">
        <v>807</v>
      </c>
      <c r="J882" t="s">
        <v>1070</v>
      </c>
      <c r="K882" t="s">
        <v>470</v>
      </c>
      <c r="L882" t="s">
        <v>838</v>
      </c>
      <c r="M882" t="s">
        <v>712</v>
      </c>
      <c r="N882" t="s">
        <v>718</v>
      </c>
      <c r="O882">
        <v>2023</v>
      </c>
    </row>
    <row r="883" spans="1:15" x14ac:dyDescent="0.25">
      <c r="A883" t="s">
        <v>890</v>
      </c>
      <c r="B883" t="s">
        <v>1071</v>
      </c>
      <c r="C883" t="s">
        <v>1036</v>
      </c>
      <c r="D883" t="s">
        <v>68</v>
      </c>
      <c r="E883" t="s">
        <v>580</v>
      </c>
      <c r="F883" t="s">
        <v>580</v>
      </c>
      <c r="G883" t="s">
        <v>1067</v>
      </c>
      <c r="H883" t="s">
        <v>1068</v>
      </c>
      <c r="I883" t="s">
        <v>807</v>
      </c>
      <c r="J883" t="s">
        <v>303</v>
      </c>
      <c r="K883" t="s">
        <v>746</v>
      </c>
      <c r="L883" t="s">
        <v>299</v>
      </c>
      <c r="M883" t="s">
        <v>167</v>
      </c>
      <c r="N883" t="s">
        <v>718</v>
      </c>
      <c r="O883">
        <v>2023</v>
      </c>
    </row>
    <row r="884" spans="1:15" x14ac:dyDescent="0.25">
      <c r="A884" t="s">
        <v>890</v>
      </c>
      <c r="B884" t="s">
        <v>1072</v>
      </c>
      <c r="C884" t="s">
        <v>1036</v>
      </c>
      <c r="D884" t="s">
        <v>68</v>
      </c>
      <c r="E884" t="s">
        <v>580</v>
      </c>
      <c r="F884" t="s">
        <v>580</v>
      </c>
      <c r="G884" t="s">
        <v>1067</v>
      </c>
      <c r="H884" t="s">
        <v>1068</v>
      </c>
      <c r="I884" t="s">
        <v>807</v>
      </c>
      <c r="J884" t="s">
        <v>865</v>
      </c>
      <c r="K884" t="s">
        <v>862</v>
      </c>
      <c r="L884" t="s">
        <v>326</v>
      </c>
      <c r="M884" t="s">
        <v>289</v>
      </c>
      <c r="N884" t="s">
        <v>301</v>
      </c>
      <c r="O884">
        <v>2023</v>
      </c>
    </row>
    <row r="885" spans="1:15" x14ac:dyDescent="0.25">
      <c r="A885" t="s">
        <v>890</v>
      </c>
      <c r="B885" t="s">
        <v>1073</v>
      </c>
      <c r="C885" t="s">
        <v>496</v>
      </c>
      <c r="D885" t="s">
        <v>68</v>
      </c>
      <c r="E885" t="s">
        <v>461</v>
      </c>
      <c r="F885" t="s">
        <v>907</v>
      </c>
      <c r="G885" t="s">
        <v>780</v>
      </c>
      <c r="H885" t="s">
        <v>1074</v>
      </c>
      <c r="I885" t="s">
        <v>919</v>
      </c>
      <c r="J885" t="s">
        <v>297</v>
      </c>
      <c r="K885" t="s">
        <v>1046</v>
      </c>
      <c r="L885" t="s">
        <v>751</v>
      </c>
      <c r="M885" t="s">
        <v>300</v>
      </c>
      <c r="N885" t="s">
        <v>978</v>
      </c>
      <c r="O885">
        <v>2022</v>
      </c>
    </row>
    <row r="886" spans="1:15" x14ac:dyDescent="0.25">
      <c r="A886" t="s">
        <v>890</v>
      </c>
      <c r="B886" t="s">
        <v>1075</v>
      </c>
      <c r="C886" t="s">
        <v>496</v>
      </c>
      <c r="D886" t="s">
        <v>68</v>
      </c>
      <c r="E886" t="s">
        <v>461</v>
      </c>
      <c r="F886" t="s">
        <v>907</v>
      </c>
      <c r="G886" t="s">
        <v>780</v>
      </c>
      <c r="H886" t="s">
        <v>1074</v>
      </c>
      <c r="I886" t="s">
        <v>919</v>
      </c>
      <c r="J886" t="s">
        <v>1076</v>
      </c>
      <c r="K886" t="s">
        <v>917</v>
      </c>
      <c r="L886" t="s">
        <v>717</v>
      </c>
      <c r="M886" t="s">
        <v>712</v>
      </c>
      <c r="N886" t="s">
        <v>332</v>
      </c>
      <c r="O886">
        <v>2022</v>
      </c>
    </row>
    <row r="887" spans="1:15" x14ac:dyDescent="0.25">
      <c r="A887" t="s">
        <v>890</v>
      </c>
      <c r="B887" t="s">
        <v>1077</v>
      </c>
      <c r="C887" t="s">
        <v>80</v>
      </c>
      <c r="D887" t="s">
        <v>375</v>
      </c>
      <c r="E887" t="s">
        <v>461</v>
      </c>
      <c r="F887" t="s">
        <v>580</v>
      </c>
      <c r="G887" t="s">
        <v>1078</v>
      </c>
      <c r="H887" t="s">
        <v>1079</v>
      </c>
      <c r="I887" t="s">
        <v>807</v>
      </c>
      <c r="J887" t="s">
        <v>765</v>
      </c>
      <c r="K887" t="s">
        <v>135</v>
      </c>
      <c r="L887" t="s">
        <v>55</v>
      </c>
      <c r="M887" t="s">
        <v>77</v>
      </c>
      <c r="N887" t="s">
        <v>89</v>
      </c>
      <c r="O887">
        <v>2022</v>
      </c>
    </row>
    <row r="888" spans="1:15" x14ac:dyDescent="0.25">
      <c r="A888" t="s">
        <v>890</v>
      </c>
      <c r="B888" t="s">
        <v>1080</v>
      </c>
      <c r="C888" t="s">
        <v>80</v>
      </c>
      <c r="D888" t="s">
        <v>375</v>
      </c>
      <c r="E888" t="s">
        <v>461</v>
      </c>
      <c r="F888" t="s">
        <v>580</v>
      </c>
      <c r="G888" t="s">
        <v>1078</v>
      </c>
      <c r="H888" t="s">
        <v>1079</v>
      </c>
      <c r="I888" t="s">
        <v>807</v>
      </c>
      <c r="J888" t="s">
        <v>874</v>
      </c>
      <c r="K888" t="s">
        <v>25</v>
      </c>
      <c r="L888" t="s">
        <v>76</v>
      </c>
      <c r="M888" t="s">
        <v>88</v>
      </c>
      <c r="N888" t="s">
        <v>159</v>
      </c>
      <c r="O888">
        <v>2022</v>
      </c>
    </row>
    <row r="889" spans="1:15" x14ac:dyDescent="0.25">
      <c r="A889" t="s">
        <v>890</v>
      </c>
      <c r="B889" t="s">
        <v>1081</v>
      </c>
      <c r="C889" t="s">
        <v>496</v>
      </c>
      <c r="D889" t="s">
        <v>68</v>
      </c>
      <c r="E889" t="s">
        <v>585</v>
      </c>
      <c r="F889" t="s">
        <v>907</v>
      </c>
      <c r="G889" t="s">
        <v>812</v>
      </c>
      <c r="H889" t="s">
        <v>422</v>
      </c>
      <c r="I889" t="s">
        <v>823</v>
      </c>
      <c r="J889" t="s">
        <v>316</v>
      </c>
      <c r="K889" t="s">
        <v>489</v>
      </c>
      <c r="L889" t="s">
        <v>484</v>
      </c>
      <c r="M889" t="s">
        <v>327</v>
      </c>
      <c r="N889" t="s">
        <v>314</v>
      </c>
      <c r="O889">
        <v>2023</v>
      </c>
    </row>
    <row r="890" spans="1:15" x14ac:dyDescent="0.25">
      <c r="A890" t="s">
        <v>890</v>
      </c>
      <c r="B890" t="s">
        <v>1082</v>
      </c>
      <c r="C890" t="s">
        <v>496</v>
      </c>
      <c r="D890" t="s">
        <v>68</v>
      </c>
      <c r="E890" t="s">
        <v>585</v>
      </c>
      <c r="F890" t="s">
        <v>907</v>
      </c>
      <c r="G890" t="s">
        <v>812</v>
      </c>
      <c r="H890" t="s">
        <v>422</v>
      </c>
      <c r="I890" t="s">
        <v>823</v>
      </c>
      <c r="J890" t="s">
        <v>818</v>
      </c>
      <c r="K890" t="s">
        <v>479</v>
      </c>
      <c r="L890" t="s">
        <v>466</v>
      </c>
      <c r="M890" t="s">
        <v>472</v>
      </c>
      <c r="N890" t="s">
        <v>467</v>
      </c>
      <c r="O890">
        <v>2023</v>
      </c>
    </row>
    <row r="891" spans="1:15" x14ac:dyDescent="0.25">
      <c r="A891" t="s">
        <v>890</v>
      </c>
      <c r="B891" t="s">
        <v>1083</v>
      </c>
      <c r="C891" t="s">
        <v>496</v>
      </c>
      <c r="D891" t="s">
        <v>68</v>
      </c>
      <c r="E891" t="s">
        <v>585</v>
      </c>
      <c r="F891" t="s">
        <v>907</v>
      </c>
      <c r="G891" t="s">
        <v>1059</v>
      </c>
      <c r="H891" t="s">
        <v>422</v>
      </c>
      <c r="I891" t="s">
        <v>823</v>
      </c>
      <c r="J891" t="s">
        <v>310</v>
      </c>
      <c r="K891" t="s">
        <v>540</v>
      </c>
      <c r="L891" t="s">
        <v>506</v>
      </c>
      <c r="M891" t="s">
        <v>491</v>
      </c>
      <c r="N891" t="s">
        <v>516</v>
      </c>
      <c r="O891">
        <v>2023</v>
      </c>
    </row>
    <row r="892" spans="1:15" x14ac:dyDescent="0.25">
      <c r="A892" t="s">
        <v>890</v>
      </c>
      <c r="B892" t="s">
        <v>1084</v>
      </c>
      <c r="C892" t="s">
        <v>496</v>
      </c>
      <c r="D892" t="s">
        <v>68</v>
      </c>
      <c r="E892" t="s">
        <v>585</v>
      </c>
      <c r="F892" t="s">
        <v>907</v>
      </c>
      <c r="G892" t="s">
        <v>1059</v>
      </c>
      <c r="H892" t="s">
        <v>422</v>
      </c>
      <c r="I892" t="s">
        <v>823</v>
      </c>
      <c r="J892" t="s">
        <v>827</v>
      </c>
      <c r="K892" t="s">
        <v>546</v>
      </c>
      <c r="L892" t="s">
        <v>480</v>
      </c>
      <c r="M892" t="s">
        <v>481</v>
      </c>
      <c r="N892" t="s">
        <v>503</v>
      </c>
      <c r="O892">
        <v>2023</v>
      </c>
    </row>
    <row r="893" spans="1:15" x14ac:dyDescent="0.25">
      <c r="A893" t="s">
        <v>890</v>
      </c>
      <c r="B893" t="s">
        <v>1085</v>
      </c>
      <c r="C893" t="s">
        <v>748</v>
      </c>
      <c r="D893" t="s">
        <v>68</v>
      </c>
      <c r="E893" t="s">
        <v>580</v>
      </c>
      <c r="F893" t="s">
        <v>907</v>
      </c>
      <c r="G893" t="s">
        <v>1086</v>
      </c>
      <c r="H893" t="s">
        <v>1042</v>
      </c>
      <c r="I893" t="s">
        <v>823</v>
      </c>
      <c r="J893" t="s">
        <v>325</v>
      </c>
      <c r="K893" t="s">
        <v>465</v>
      </c>
      <c r="L893" t="s">
        <v>751</v>
      </c>
      <c r="M893" t="s">
        <v>331</v>
      </c>
      <c r="N893" t="s">
        <v>320</v>
      </c>
      <c r="O893">
        <v>2022</v>
      </c>
    </row>
    <row r="894" spans="1:15" x14ac:dyDescent="0.25">
      <c r="A894" t="s">
        <v>890</v>
      </c>
      <c r="B894" t="s">
        <v>1087</v>
      </c>
      <c r="C894" t="s">
        <v>748</v>
      </c>
      <c r="D894" t="s">
        <v>68</v>
      </c>
      <c r="E894" t="s">
        <v>580</v>
      </c>
      <c r="F894" t="s">
        <v>907</v>
      </c>
      <c r="G894" t="s">
        <v>1086</v>
      </c>
      <c r="H894" t="s">
        <v>1042</v>
      </c>
      <c r="I894" t="s">
        <v>823</v>
      </c>
      <c r="J894" t="s">
        <v>1088</v>
      </c>
      <c r="K894" t="s">
        <v>470</v>
      </c>
      <c r="L894" t="s">
        <v>838</v>
      </c>
      <c r="M894" t="s">
        <v>666</v>
      </c>
      <c r="N894" t="s">
        <v>583</v>
      </c>
      <c r="O894">
        <v>2022</v>
      </c>
    </row>
    <row r="895" spans="1:15" x14ac:dyDescent="0.25">
      <c r="A895" t="s">
        <v>890</v>
      </c>
      <c r="B895" t="s">
        <v>1089</v>
      </c>
      <c r="C895" t="s">
        <v>59</v>
      </c>
      <c r="D895" t="s">
        <v>375</v>
      </c>
      <c r="E895" t="s">
        <v>461</v>
      </c>
      <c r="F895" t="s">
        <v>580</v>
      </c>
      <c r="G895" t="s">
        <v>743</v>
      </c>
      <c r="H895" t="s">
        <v>405</v>
      </c>
      <c r="I895" t="s">
        <v>807</v>
      </c>
      <c r="J895" t="s">
        <v>233</v>
      </c>
      <c r="K895" t="s">
        <v>577</v>
      </c>
      <c r="L895" t="s">
        <v>108</v>
      </c>
      <c r="M895" t="s">
        <v>39</v>
      </c>
      <c r="N895" t="s">
        <v>66</v>
      </c>
      <c r="O895">
        <v>2022</v>
      </c>
    </row>
    <row r="896" spans="1:15" x14ac:dyDescent="0.25">
      <c r="A896" t="s">
        <v>890</v>
      </c>
      <c r="B896" t="s">
        <v>1090</v>
      </c>
      <c r="C896" t="s">
        <v>59</v>
      </c>
      <c r="D896" t="s">
        <v>375</v>
      </c>
      <c r="E896" t="s">
        <v>461</v>
      </c>
      <c r="F896" t="s">
        <v>580</v>
      </c>
      <c r="G896" t="s">
        <v>743</v>
      </c>
      <c r="H896" t="s">
        <v>405</v>
      </c>
      <c r="I896" t="s">
        <v>807</v>
      </c>
      <c r="J896" t="s">
        <v>765</v>
      </c>
      <c r="K896" t="s">
        <v>135</v>
      </c>
      <c r="L896" t="s">
        <v>38</v>
      </c>
      <c r="M896" t="s">
        <v>56</v>
      </c>
      <c r="N896" t="s">
        <v>89</v>
      </c>
      <c r="O896">
        <v>2022</v>
      </c>
    </row>
    <row r="897" spans="1:15" x14ac:dyDescent="0.25">
      <c r="A897" t="s">
        <v>890</v>
      </c>
      <c r="B897" t="s">
        <v>1091</v>
      </c>
      <c r="C897" t="s">
        <v>1036</v>
      </c>
      <c r="D897" t="s">
        <v>162</v>
      </c>
      <c r="E897" t="s">
        <v>307</v>
      </c>
      <c r="F897" t="s">
        <v>475</v>
      </c>
      <c r="G897" t="s">
        <v>536</v>
      </c>
      <c r="H897" t="s">
        <v>378</v>
      </c>
      <c r="I897" t="s">
        <v>985</v>
      </c>
      <c r="J897" t="s">
        <v>792</v>
      </c>
      <c r="K897" t="s">
        <v>537</v>
      </c>
      <c r="L897" t="s">
        <v>541</v>
      </c>
      <c r="M897" t="s">
        <v>512</v>
      </c>
      <c r="N897" t="s">
        <v>604</v>
      </c>
      <c r="O897">
        <v>2021</v>
      </c>
    </row>
    <row r="898" spans="1:15" x14ac:dyDescent="0.25">
      <c r="A898" t="s">
        <v>890</v>
      </c>
      <c r="B898" t="s">
        <v>1092</v>
      </c>
      <c r="C898" t="s">
        <v>1036</v>
      </c>
      <c r="D898" t="s">
        <v>162</v>
      </c>
      <c r="E898" t="s">
        <v>307</v>
      </c>
      <c r="F898" t="s">
        <v>475</v>
      </c>
      <c r="G898" t="s">
        <v>536</v>
      </c>
      <c r="H898" t="s">
        <v>378</v>
      </c>
      <c r="I898" t="s">
        <v>985</v>
      </c>
      <c r="J898" t="s">
        <v>1093</v>
      </c>
      <c r="K898" t="s">
        <v>723</v>
      </c>
      <c r="L898" t="s">
        <v>538</v>
      </c>
      <c r="M898" t="s">
        <v>603</v>
      </c>
      <c r="N898" t="s">
        <v>699</v>
      </c>
      <c r="O898">
        <v>2021</v>
      </c>
    </row>
    <row r="899" spans="1:15" x14ac:dyDescent="0.25">
      <c r="A899" t="s">
        <v>890</v>
      </c>
      <c r="B899" t="s">
        <v>1094</v>
      </c>
      <c r="C899" t="s">
        <v>658</v>
      </c>
      <c r="D899" t="s">
        <v>18</v>
      </c>
      <c r="E899" t="s">
        <v>307</v>
      </c>
      <c r="F899" t="s">
        <v>475</v>
      </c>
      <c r="G899" t="s">
        <v>804</v>
      </c>
      <c r="H899" t="s">
        <v>1095</v>
      </c>
      <c r="I899" t="s">
        <v>338</v>
      </c>
      <c r="J899" t="s">
        <v>818</v>
      </c>
      <c r="K899" t="s">
        <v>746</v>
      </c>
      <c r="L899" t="s">
        <v>471</v>
      </c>
      <c r="M899" t="s">
        <v>313</v>
      </c>
      <c r="N899" t="s">
        <v>314</v>
      </c>
      <c r="O899">
        <v>2022</v>
      </c>
    </row>
    <row r="900" spans="1:15" x14ac:dyDescent="0.25">
      <c r="A900" t="s">
        <v>890</v>
      </c>
      <c r="B900" t="s">
        <v>1096</v>
      </c>
      <c r="C900" t="s">
        <v>1097</v>
      </c>
      <c r="D900" t="s">
        <v>68</v>
      </c>
      <c r="E900" t="s">
        <v>307</v>
      </c>
      <c r="F900" t="s">
        <v>580</v>
      </c>
      <c r="G900" t="s">
        <v>817</v>
      </c>
      <c r="H900" t="s">
        <v>1095</v>
      </c>
      <c r="I900" t="s">
        <v>338</v>
      </c>
      <c r="J900" t="s">
        <v>1088</v>
      </c>
      <c r="K900" t="s">
        <v>776</v>
      </c>
      <c r="L900" t="s">
        <v>838</v>
      </c>
      <c r="M900" t="s">
        <v>327</v>
      </c>
      <c r="N900" t="s">
        <v>467</v>
      </c>
      <c r="O900">
        <v>2023</v>
      </c>
    </row>
    <row r="901" spans="1:15" x14ac:dyDescent="0.25">
      <c r="A901" t="s">
        <v>890</v>
      </c>
      <c r="B901" t="s">
        <v>1098</v>
      </c>
      <c r="C901" t="s">
        <v>1099</v>
      </c>
      <c r="D901" t="s">
        <v>18</v>
      </c>
      <c r="E901" t="s">
        <v>307</v>
      </c>
      <c r="F901" t="s">
        <v>475</v>
      </c>
      <c r="G901" t="s">
        <v>804</v>
      </c>
      <c r="H901" t="s">
        <v>1095</v>
      </c>
      <c r="I901" t="s">
        <v>1100</v>
      </c>
      <c r="J901" t="s">
        <v>1101</v>
      </c>
      <c r="K901" t="s">
        <v>1102</v>
      </c>
      <c r="L901" t="s">
        <v>466</v>
      </c>
      <c r="M901" t="s">
        <v>1103</v>
      </c>
      <c r="N901" t="s">
        <v>516</v>
      </c>
      <c r="O901">
        <v>2023</v>
      </c>
    </row>
    <row r="902" spans="1:15" x14ac:dyDescent="0.25">
      <c r="A902" t="s">
        <v>890</v>
      </c>
      <c r="B902" t="s">
        <v>1104</v>
      </c>
      <c r="C902" t="s">
        <v>1105</v>
      </c>
      <c r="D902" t="s">
        <v>18</v>
      </c>
      <c r="E902" t="s">
        <v>307</v>
      </c>
      <c r="F902" t="s">
        <v>475</v>
      </c>
      <c r="G902" t="s">
        <v>826</v>
      </c>
      <c r="H902" t="s">
        <v>1095</v>
      </c>
      <c r="I902" t="s">
        <v>338</v>
      </c>
      <c r="J902" t="s">
        <v>1106</v>
      </c>
      <c r="K902" t="s">
        <v>746</v>
      </c>
      <c r="L902" t="s">
        <v>544</v>
      </c>
      <c r="M902" t="s">
        <v>481</v>
      </c>
      <c r="N902" t="s">
        <v>314</v>
      </c>
      <c r="O902">
        <v>2023</v>
      </c>
    </row>
    <row r="903" spans="1:15" x14ac:dyDescent="0.25">
      <c r="A903" t="s">
        <v>890</v>
      </c>
      <c r="B903" t="s">
        <v>1107</v>
      </c>
      <c r="C903" t="s">
        <v>880</v>
      </c>
      <c r="D903" t="s">
        <v>68</v>
      </c>
      <c r="E903" t="s">
        <v>307</v>
      </c>
      <c r="F903" t="s">
        <v>580</v>
      </c>
      <c r="G903" t="s">
        <v>639</v>
      </c>
      <c r="H903" t="s">
        <v>1095</v>
      </c>
      <c r="I903" t="s">
        <v>1108</v>
      </c>
      <c r="J903" t="s">
        <v>1070</v>
      </c>
      <c r="K903" t="s">
        <v>797</v>
      </c>
      <c r="L903" t="s">
        <v>1109</v>
      </c>
      <c r="M903" t="s">
        <v>472</v>
      </c>
      <c r="N903" t="s">
        <v>978</v>
      </c>
      <c r="O903">
        <v>2023</v>
      </c>
    </row>
    <row r="904" spans="1:15" x14ac:dyDescent="0.25">
      <c r="A904" t="s">
        <v>890</v>
      </c>
      <c r="B904" t="s">
        <v>1110</v>
      </c>
      <c r="C904" t="s">
        <v>1111</v>
      </c>
      <c r="D904" t="s">
        <v>68</v>
      </c>
      <c r="E904" t="s">
        <v>307</v>
      </c>
      <c r="F904" t="s">
        <v>580</v>
      </c>
      <c r="G904" t="s">
        <v>743</v>
      </c>
      <c r="H904" t="s">
        <v>1095</v>
      </c>
      <c r="I904" t="s">
        <v>347</v>
      </c>
      <c r="J904" t="s">
        <v>865</v>
      </c>
      <c r="K904" t="s">
        <v>665</v>
      </c>
      <c r="L904" t="s">
        <v>711</v>
      </c>
      <c r="M904" t="s">
        <v>331</v>
      </c>
      <c r="N904" t="s">
        <v>332</v>
      </c>
      <c r="O904">
        <v>2024</v>
      </c>
    </row>
    <row r="905" spans="1:15" x14ac:dyDescent="0.25">
      <c r="A905" t="s">
        <v>1549</v>
      </c>
      <c r="B905" t="s">
        <v>1550</v>
      </c>
      <c r="C905" t="s">
        <v>851</v>
      </c>
      <c r="D905" t="s">
        <v>375</v>
      </c>
      <c r="E905" t="s">
        <v>461</v>
      </c>
      <c r="F905" t="s">
        <v>1551</v>
      </c>
      <c r="G905" t="s">
        <v>1552</v>
      </c>
      <c r="H905" t="s">
        <v>1553</v>
      </c>
      <c r="I905" t="s">
        <v>1554</v>
      </c>
      <c r="J905" t="s">
        <v>765</v>
      </c>
      <c r="K905" t="s">
        <v>37</v>
      </c>
      <c r="L905" t="s">
        <v>102</v>
      </c>
      <c r="M905" t="s">
        <v>27</v>
      </c>
      <c r="N905" t="s">
        <v>173</v>
      </c>
      <c r="O905">
        <v>2024</v>
      </c>
    </row>
    <row r="906" spans="1:15" x14ac:dyDescent="0.25">
      <c r="A906" t="s">
        <v>1549</v>
      </c>
      <c r="B906" t="s">
        <v>1555</v>
      </c>
      <c r="C906" t="s">
        <v>851</v>
      </c>
      <c r="D906" t="s">
        <v>759</v>
      </c>
      <c r="E906" t="s">
        <v>461</v>
      </c>
      <c r="F906" t="s">
        <v>1551</v>
      </c>
      <c r="G906" t="s">
        <v>1552</v>
      </c>
      <c r="H906" t="s">
        <v>1553</v>
      </c>
      <c r="I906" t="s">
        <v>1554</v>
      </c>
      <c r="J906" t="s">
        <v>238</v>
      </c>
      <c r="K906" t="s">
        <v>65</v>
      </c>
      <c r="L906" t="s">
        <v>26</v>
      </c>
      <c r="M906" t="s">
        <v>39</v>
      </c>
      <c r="N906" t="s">
        <v>72</v>
      </c>
      <c r="O906">
        <v>2024</v>
      </c>
    </row>
    <row r="907" spans="1:15" x14ac:dyDescent="0.25">
      <c r="A907" t="s">
        <v>1549</v>
      </c>
      <c r="B907" t="s">
        <v>1556</v>
      </c>
      <c r="C907" t="s">
        <v>851</v>
      </c>
      <c r="D907" t="s">
        <v>759</v>
      </c>
      <c r="E907" t="s">
        <v>461</v>
      </c>
      <c r="F907" t="s">
        <v>1551</v>
      </c>
      <c r="G907" t="s">
        <v>1552</v>
      </c>
      <c r="H907" t="s">
        <v>1553</v>
      </c>
      <c r="I907" t="s">
        <v>1554</v>
      </c>
      <c r="J907" t="s">
        <v>241</v>
      </c>
      <c r="K907" t="s">
        <v>83</v>
      </c>
      <c r="L907" t="s">
        <v>38</v>
      </c>
      <c r="M907" t="s">
        <v>56</v>
      </c>
      <c r="N907" t="s">
        <v>447</v>
      </c>
      <c r="O907">
        <v>2024</v>
      </c>
    </row>
    <row r="908" spans="1:15" x14ac:dyDescent="0.25">
      <c r="A908" t="s">
        <v>1549</v>
      </c>
      <c r="B908" t="s">
        <v>1557</v>
      </c>
      <c r="C908" t="s">
        <v>496</v>
      </c>
      <c r="D908" t="s">
        <v>375</v>
      </c>
      <c r="E908" t="s">
        <v>461</v>
      </c>
      <c r="F908" t="s">
        <v>1558</v>
      </c>
      <c r="G908" t="s">
        <v>1552</v>
      </c>
      <c r="H908" t="s">
        <v>1559</v>
      </c>
      <c r="I908" t="s">
        <v>1560</v>
      </c>
      <c r="J908" t="s">
        <v>233</v>
      </c>
      <c r="K908" t="s">
        <v>25</v>
      </c>
      <c r="L908" t="s">
        <v>711</v>
      </c>
      <c r="M908" t="s">
        <v>167</v>
      </c>
      <c r="N908" t="s">
        <v>769</v>
      </c>
      <c r="O908">
        <v>2024</v>
      </c>
    </row>
    <row r="909" spans="1:15" x14ac:dyDescent="0.25">
      <c r="A909" t="s">
        <v>1549</v>
      </c>
      <c r="B909" t="s">
        <v>1561</v>
      </c>
      <c r="C909" t="s">
        <v>496</v>
      </c>
      <c r="D909" t="s">
        <v>759</v>
      </c>
      <c r="E909" t="s">
        <v>461</v>
      </c>
      <c r="F909" t="s">
        <v>1558</v>
      </c>
      <c r="G909" t="s">
        <v>1552</v>
      </c>
      <c r="H909" t="s">
        <v>1559</v>
      </c>
      <c r="I909" t="s">
        <v>1560</v>
      </c>
      <c r="J909" t="s">
        <v>765</v>
      </c>
      <c r="K909" t="s">
        <v>37</v>
      </c>
      <c r="L909" t="s">
        <v>1562</v>
      </c>
      <c r="M909" t="s">
        <v>27</v>
      </c>
      <c r="N909" t="s">
        <v>173</v>
      </c>
      <c r="O909">
        <v>2024</v>
      </c>
    </row>
    <row r="910" spans="1:15" x14ac:dyDescent="0.25">
      <c r="A910" t="s">
        <v>1549</v>
      </c>
      <c r="B910" t="s">
        <v>1563</v>
      </c>
      <c r="C910" t="s">
        <v>1564</v>
      </c>
      <c r="D910" t="s">
        <v>375</v>
      </c>
      <c r="E910" t="s">
        <v>461</v>
      </c>
      <c r="F910" t="s">
        <v>1551</v>
      </c>
      <c r="G910" t="s">
        <v>1565</v>
      </c>
      <c r="H910" t="s">
        <v>1219</v>
      </c>
      <c r="I910" t="s">
        <v>858</v>
      </c>
      <c r="J910" t="s">
        <v>231</v>
      </c>
      <c r="K910" t="s">
        <v>101</v>
      </c>
      <c r="L910" t="s">
        <v>883</v>
      </c>
      <c r="M910" t="s">
        <v>1566</v>
      </c>
      <c r="N910" t="s">
        <v>103</v>
      </c>
      <c r="O910">
        <v>2024</v>
      </c>
    </row>
    <row r="911" spans="1:15" x14ac:dyDescent="0.25">
      <c r="A911" t="s">
        <v>1549</v>
      </c>
      <c r="B911" t="s">
        <v>1567</v>
      </c>
      <c r="C911" t="s">
        <v>1564</v>
      </c>
      <c r="D911" t="s">
        <v>375</v>
      </c>
      <c r="E911" t="s">
        <v>461</v>
      </c>
      <c r="F911" t="s">
        <v>1551</v>
      </c>
      <c r="G911" t="s">
        <v>1565</v>
      </c>
      <c r="H911" t="s">
        <v>1219</v>
      </c>
      <c r="I911" t="s">
        <v>858</v>
      </c>
      <c r="J911" t="s">
        <v>343</v>
      </c>
      <c r="K911" t="s">
        <v>31</v>
      </c>
      <c r="L911" t="s">
        <v>711</v>
      </c>
      <c r="M911" t="s">
        <v>1568</v>
      </c>
      <c r="N911" t="s">
        <v>34</v>
      </c>
      <c r="O911">
        <v>2024</v>
      </c>
    </row>
    <row r="912" spans="1:15" x14ac:dyDescent="0.25">
      <c r="A912" t="s">
        <v>1549</v>
      </c>
      <c r="B912" t="s">
        <v>1569</v>
      </c>
      <c r="C912" t="s">
        <v>1564</v>
      </c>
      <c r="D912" t="s">
        <v>375</v>
      </c>
      <c r="E912" t="s">
        <v>461</v>
      </c>
      <c r="F912" t="s">
        <v>1551</v>
      </c>
      <c r="G912" t="s">
        <v>1565</v>
      </c>
      <c r="H912" t="s">
        <v>1219</v>
      </c>
      <c r="I912" t="s">
        <v>858</v>
      </c>
      <c r="J912" t="s">
        <v>1570</v>
      </c>
      <c r="K912" t="s">
        <v>49</v>
      </c>
      <c r="L912" t="s">
        <v>1562</v>
      </c>
      <c r="M912" t="s">
        <v>39</v>
      </c>
      <c r="N912" t="s">
        <v>173</v>
      </c>
      <c r="O912">
        <v>2024</v>
      </c>
    </row>
    <row r="913" spans="1:15" x14ac:dyDescent="0.25">
      <c r="A913" t="s">
        <v>1549</v>
      </c>
      <c r="B913" t="s">
        <v>1571</v>
      </c>
      <c r="C913" t="s">
        <v>421</v>
      </c>
      <c r="D913" t="s">
        <v>375</v>
      </c>
      <c r="E913" t="s">
        <v>461</v>
      </c>
      <c r="F913" t="s">
        <v>1558</v>
      </c>
      <c r="G913" t="s">
        <v>1572</v>
      </c>
      <c r="H913" t="s">
        <v>1219</v>
      </c>
      <c r="I913" t="s">
        <v>858</v>
      </c>
      <c r="J913" t="s">
        <v>288</v>
      </c>
      <c r="K913" t="s">
        <v>135</v>
      </c>
      <c r="L913" t="s">
        <v>326</v>
      </c>
      <c r="M913" t="s">
        <v>300</v>
      </c>
      <c r="N913" t="s">
        <v>229</v>
      </c>
      <c r="O913">
        <v>2024</v>
      </c>
    </row>
    <row r="914" spans="1:15" x14ac:dyDescent="0.25">
      <c r="A914" t="s">
        <v>1549</v>
      </c>
      <c r="B914" t="s">
        <v>1573</v>
      </c>
      <c r="C914" t="s">
        <v>421</v>
      </c>
      <c r="D914" t="s">
        <v>375</v>
      </c>
      <c r="E914" t="s">
        <v>461</v>
      </c>
      <c r="F914" t="s">
        <v>1558</v>
      </c>
      <c r="G914" t="s">
        <v>1572</v>
      </c>
      <c r="H914" t="s">
        <v>1219</v>
      </c>
      <c r="I914" t="s">
        <v>858</v>
      </c>
      <c r="J914" t="s">
        <v>231</v>
      </c>
      <c r="K914" t="s">
        <v>25</v>
      </c>
      <c r="L914" t="s">
        <v>330</v>
      </c>
      <c r="M914" t="s">
        <v>167</v>
      </c>
      <c r="N914" t="s">
        <v>28</v>
      </c>
      <c r="O914">
        <v>2024</v>
      </c>
    </row>
    <row r="915" spans="1:15" x14ac:dyDescent="0.25">
      <c r="A915" t="s">
        <v>1549</v>
      </c>
      <c r="B915" t="s">
        <v>1574</v>
      </c>
      <c r="C915" t="s">
        <v>59</v>
      </c>
      <c r="D915" t="s">
        <v>375</v>
      </c>
      <c r="E915" t="s">
        <v>461</v>
      </c>
      <c r="F915" t="s">
        <v>1551</v>
      </c>
      <c r="G915" t="s">
        <v>737</v>
      </c>
      <c r="H915" t="s">
        <v>1219</v>
      </c>
      <c r="I915" t="s">
        <v>1554</v>
      </c>
      <c r="J915" t="s">
        <v>343</v>
      </c>
      <c r="K915" t="s">
        <v>31</v>
      </c>
      <c r="L915" t="s">
        <v>1562</v>
      </c>
      <c r="M915" t="s">
        <v>27</v>
      </c>
      <c r="N915" t="s">
        <v>173</v>
      </c>
      <c r="O915">
        <v>2023</v>
      </c>
    </row>
    <row r="916" spans="1:15" x14ac:dyDescent="0.25">
      <c r="A916" t="s">
        <v>1549</v>
      </c>
      <c r="B916" t="s">
        <v>1575</v>
      </c>
      <c r="C916" t="s">
        <v>59</v>
      </c>
      <c r="D916" t="s">
        <v>375</v>
      </c>
      <c r="E916" t="s">
        <v>461</v>
      </c>
      <c r="F916" t="s">
        <v>1551</v>
      </c>
      <c r="G916" t="s">
        <v>737</v>
      </c>
      <c r="H916" t="s">
        <v>1219</v>
      </c>
      <c r="I916" t="s">
        <v>1554</v>
      </c>
      <c r="J916" t="s">
        <v>1570</v>
      </c>
      <c r="K916" t="s">
        <v>49</v>
      </c>
      <c r="L916" t="s">
        <v>102</v>
      </c>
      <c r="M916" t="s">
        <v>39</v>
      </c>
      <c r="N916" t="s">
        <v>72</v>
      </c>
      <c r="O916">
        <v>2023</v>
      </c>
    </row>
    <row r="917" spans="1:15" x14ac:dyDescent="0.25">
      <c r="A917" t="s">
        <v>1549</v>
      </c>
      <c r="B917" t="s">
        <v>1576</v>
      </c>
      <c r="C917" t="s">
        <v>213</v>
      </c>
      <c r="D917" t="s">
        <v>375</v>
      </c>
      <c r="E917" t="s">
        <v>461</v>
      </c>
      <c r="F917" t="s">
        <v>1558</v>
      </c>
      <c r="G917" t="s">
        <v>737</v>
      </c>
      <c r="H917" t="s">
        <v>1577</v>
      </c>
      <c r="I917" t="s">
        <v>1560</v>
      </c>
      <c r="J917" t="s">
        <v>231</v>
      </c>
      <c r="K917" t="s">
        <v>101</v>
      </c>
      <c r="L917" t="s">
        <v>883</v>
      </c>
      <c r="M917" t="s">
        <v>167</v>
      </c>
      <c r="N917" t="s">
        <v>769</v>
      </c>
      <c r="O917">
        <v>2023</v>
      </c>
    </row>
    <row r="918" spans="1:15" x14ac:dyDescent="0.25">
      <c r="A918" t="s">
        <v>1549</v>
      </c>
      <c r="B918" t="s">
        <v>1578</v>
      </c>
      <c r="C918" t="s">
        <v>213</v>
      </c>
      <c r="D918" t="s">
        <v>375</v>
      </c>
      <c r="E918" t="s">
        <v>461</v>
      </c>
      <c r="F918" t="s">
        <v>1558</v>
      </c>
      <c r="G918" t="s">
        <v>737</v>
      </c>
      <c r="H918" t="s">
        <v>1577</v>
      </c>
      <c r="I918" t="s">
        <v>1560</v>
      </c>
      <c r="J918" t="s">
        <v>343</v>
      </c>
      <c r="K918" t="s">
        <v>31</v>
      </c>
      <c r="L918" t="s">
        <v>886</v>
      </c>
      <c r="M918" t="s">
        <v>27</v>
      </c>
      <c r="N918" t="s">
        <v>173</v>
      </c>
      <c r="O918">
        <v>2023</v>
      </c>
    </row>
    <row r="919" spans="1:15" x14ac:dyDescent="0.25">
      <c r="A919" t="s">
        <v>1549</v>
      </c>
      <c r="B919" t="s">
        <v>1579</v>
      </c>
      <c r="C919" t="s">
        <v>735</v>
      </c>
      <c r="D919" t="s">
        <v>68</v>
      </c>
      <c r="E919" t="s">
        <v>585</v>
      </c>
      <c r="F919" t="s">
        <v>1580</v>
      </c>
      <c r="G919" t="s">
        <v>1581</v>
      </c>
      <c r="H919" t="s">
        <v>1582</v>
      </c>
      <c r="I919" t="s">
        <v>858</v>
      </c>
      <c r="J919" t="s">
        <v>303</v>
      </c>
      <c r="K919" t="s">
        <v>917</v>
      </c>
      <c r="L919" t="s">
        <v>471</v>
      </c>
      <c r="M919" t="s">
        <v>1583</v>
      </c>
      <c r="N919" t="s">
        <v>320</v>
      </c>
      <c r="O919">
        <v>2024</v>
      </c>
    </row>
    <row r="920" spans="1:15" x14ac:dyDescent="0.25">
      <c r="A920" t="s">
        <v>1549</v>
      </c>
      <c r="B920" t="s">
        <v>1584</v>
      </c>
      <c r="C920" t="s">
        <v>735</v>
      </c>
      <c r="D920" t="s">
        <v>375</v>
      </c>
      <c r="E920" t="s">
        <v>585</v>
      </c>
      <c r="F920" t="s">
        <v>1580</v>
      </c>
      <c r="G920" t="s">
        <v>1581</v>
      </c>
      <c r="H920" t="s">
        <v>1582</v>
      </c>
      <c r="I920" t="s">
        <v>858</v>
      </c>
      <c r="J920" t="s">
        <v>861</v>
      </c>
      <c r="K920" t="s">
        <v>470</v>
      </c>
      <c r="L920" t="s">
        <v>751</v>
      </c>
      <c r="M920" t="s">
        <v>1585</v>
      </c>
      <c r="N920" t="s">
        <v>978</v>
      </c>
      <c r="O920">
        <v>2024</v>
      </c>
    </row>
    <row r="921" spans="1:15" x14ac:dyDescent="0.25">
      <c r="A921" t="s">
        <v>1549</v>
      </c>
      <c r="B921" t="s">
        <v>1586</v>
      </c>
      <c r="C921" t="s">
        <v>735</v>
      </c>
      <c r="D921" t="s">
        <v>759</v>
      </c>
      <c r="E921" t="s">
        <v>585</v>
      </c>
      <c r="F921" t="s">
        <v>1580</v>
      </c>
      <c r="G921" t="s">
        <v>1581</v>
      </c>
      <c r="H921" t="s">
        <v>1582</v>
      </c>
      <c r="I921" t="s">
        <v>858</v>
      </c>
      <c r="J921" t="s">
        <v>836</v>
      </c>
      <c r="K921" t="s">
        <v>1587</v>
      </c>
      <c r="L921" t="s">
        <v>625</v>
      </c>
      <c r="M921" t="s">
        <v>1588</v>
      </c>
      <c r="N921" t="s">
        <v>583</v>
      </c>
      <c r="O921">
        <v>2024</v>
      </c>
    </row>
    <row r="922" spans="1:15" x14ac:dyDescent="0.25">
      <c r="A922" t="s">
        <v>1549</v>
      </c>
      <c r="B922" t="s">
        <v>1589</v>
      </c>
      <c r="C922" t="s">
        <v>421</v>
      </c>
      <c r="D922" t="s">
        <v>68</v>
      </c>
      <c r="E922" t="s">
        <v>585</v>
      </c>
      <c r="F922" t="s">
        <v>1590</v>
      </c>
      <c r="G922" t="s">
        <v>1591</v>
      </c>
      <c r="H922" t="s">
        <v>1354</v>
      </c>
      <c r="I922" t="s">
        <v>858</v>
      </c>
      <c r="J922" t="s">
        <v>297</v>
      </c>
      <c r="K922" t="s">
        <v>465</v>
      </c>
      <c r="L922" t="s">
        <v>466</v>
      </c>
      <c r="M922" t="s">
        <v>1592</v>
      </c>
      <c r="N922" t="s">
        <v>467</v>
      </c>
      <c r="O922">
        <v>2024</v>
      </c>
    </row>
    <row r="923" spans="1:15" x14ac:dyDescent="0.25">
      <c r="A923" t="s">
        <v>1549</v>
      </c>
      <c r="B923" t="s">
        <v>1593</v>
      </c>
      <c r="C923" t="s">
        <v>421</v>
      </c>
      <c r="D923" t="s">
        <v>375</v>
      </c>
      <c r="E923" t="s">
        <v>585</v>
      </c>
      <c r="F923" t="s">
        <v>1590</v>
      </c>
      <c r="G923" t="s">
        <v>1591</v>
      </c>
      <c r="H923" t="s">
        <v>1354</v>
      </c>
      <c r="I923" t="s">
        <v>858</v>
      </c>
      <c r="J923" t="s">
        <v>303</v>
      </c>
      <c r="K923" t="s">
        <v>1372</v>
      </c>
      <c r="L923" t="s">
        <v>471</v>
      </c>
      <c r="M923" t="s">
        <v>1594</v>
      </c>
      <c r="N923" t="s">
        <v>320</v>
      </c>
      <c r="O923">
        <v>2024</v>
      </c>
    </row>
    <row r="924" spans="1:15" x14ac:dyDescent="0.25">
      <c r="A924" t="s">
        <v>1549</v>
      </c>
      <c r="B924" t="s">
        <v>1595</v>
      </c>
      <c r="C924" t="s">
        <v>496</v>
      </c>
      <c r="D924" t="s">
        <v>18</v>
      </c>
      <c r="E924" t="s">
        <v>585</v>
      </c>
      <c r="F924" t="s">
        <v>1590</v>
      </c>
      <c r="G924" t="s">
        <v>1596</v>
      </c>
      <c r="H924" t="s">
        <v>1219</v>
      </c>
      <c r="I924" t="s">
        <v>858</v>
      </c>
      <c r="J924" t="s">
        <v>325</v>
      </c>
      <c r="K924" t="s">
        <v>494</v>
      </c>
      <c r="L924" t="s">
        <v>484</v>
      </c>
      <c r="M924" t="s">
        <v>1597</v>
      </c>
      <c r="N924" t="s">
        <v>314</v>
      </c>
      <c r="O924">
        <v>2024</v>
      </c>
    </row>
    <row r="925" spans="1:15" x14ac:dyDescent="0.25">
      <c r="A925" t="s">
        <v>1549</v>
      </c>
      <c r="B925" t="s">
        <v>1598</v>
      </c>
      <c r="C925" t="s">
        <v>496</v>
      </c>
      <c r="D925" t="s">
        <v>68</v>
      </c>
      <c r="E925" t="s">
        <v>585</v>
      </c>
      <c r="F925" t="s">
        <v>1590</v>
      </c>
      <c r="G925" t="s">
        <v>1596</v>
      </c>
      <c r="H925" t="s">
        <v>1219</v>
      </c>
      <c r="I925" t="s">
        <v>858</v>
      </c>
      <c r="J925" t="s">
        <v>297</v>
      </c>
      <c r="K925" t="s">
        <v>465</v>
      </c>
      <c r="L925" t="s">
        <v>312</v>
      </c>
      <c r="M925" t="s">
        <v>1599</v>
      </c>
      <c r="N925" t="s">
        <v>482</v>
      </c>
      <c r="O925">
        <v>2024</v>
      </c>
    </row>
    <row r="926" spans="1:15" x14ac:dyDescent="0.25">
      <c r="A926" t="s">
        <v>1549</v>
      </c>
      <c r="B926" t="s">
        <v>1600</v>
      </c>
      <c r="C926" t="s">
        <v>789</v>
      </c>
      <c r="D926" t="s">
        <v>18</v>
      </c>
      <c r="E926" t="s">
        <v>585</v>
      </c>
      <c r="F926" t="s">
        <v>1601</v>
      </c>
      <c r="G926" t="s">
        <v>1602</v>
      </c>
      <c r="H926" t="s">
        <v>1219</v>
      </c>
      <c r="I926" t="s">
        <v>858</v>
      </c>
      <c r="J926" t="s">
        <v>316</v>
      </c>
      <c r="K926" t="s">
        <v>505</v>
      </c>
      <c r="L926" t="s">
        <v>480</v>
      </c>
      <c r="M926" t="s">
        <v>1603</v>
      </c>
      <c r="N926" t="s">
        <v>503</v>
      </c>
      <c r="O926">
        <v>2024</v>
      </c>
    </row>
    <row r="927" spans="1:15" x14ac:dyDescent="0.25">
      <c r="A927" t="s">
        <v>1549</v>
      </c>
      <c r="B927" t="s">
        <v>1604</v>
      </c>
      <c r="C927" t="s">
        <v>789</v>
      </c>
      <c r="D927" t="s">
        <v>68</v>
      </c>
      <c r="E927" t="s">
        <v>585</v>
      </c>
      <c r="F927" t="s">
        <v>1601</v>
      </c>
      <c r="G927" t="s">
        <v>1602</v>
      </c>
      <c r="H927" t="s">
        <v>1219</v>
      </c>
      <c r="I927" t="s">
        <v>858</v>
      </c>
      <c r="J927" t="s">
        <v>325</v>
      </c>
      <c r="K927" t="s">
        <v>494</v>
      </c>
      <c r="L927" t="s">
        <v>522</v>
      </c>
      <c r="M927" t="s">
        <v>1605</v>
      </c>
      <c r="N927" t="s">
        <v>314</v>
      </c>
      <c r="O927">
        <v>2024</v>
      </c>
    </row>
    <row r="928" spans="1:15" x14ac:dyDescent="0.25">
      <c r="A928" t="s">
        <v>1549</v>
      </c>
      <c r="B928" t="s">
        <v>1606</v>
      </c>
      <c r="C928" t="s">
        <v>809</v>
      </c>
      <c r="D928" t="s">
        <v>162</v>
      </c>
      <c r="E928" t="s">
        <v>585</v>
      </c>
      <c r="F928" t="s">
        <v>1601</v>
      </c>
      <c r="G928" t="s">
        <v>1481</v>
      </c>
      <c r="H928" t="s">
        <v>1219</v>
      </c>
      <c r="I928" t="s">
        <v>858</v>
      </c>
      <c r="J928" t="s">
        <v>310</v>
      </c>
      <c r="K928" t="s">
        <v>546</v>
      </c>
      <c r="L928" t="s">
        <v>490</v>
      </c>
      <c r="M928" t="s">
        <v>1607</v>
      </c>
      <c r="N928" t="s">
        <v>516</v>
      </c>
      <c r="O928">
        <v>2024</v>
      </c>
    </row>
    <row r="929" spans="1:15" x14ac:dyDescent="0.25">
      <c r="A929" t="s">
        <v>1549</v>
      </c>
      <c r="B929" t="s">
        <v>1608</v>
      </c>
      <c r="C929" t="s">
        <v>809</v>
      </c>
      <c r="D929" t="s">
        <v>18</v>
      </c>
      <c r="E929" t="s">
        <v>585</v>
      </c>
      <c r="F929" t="s">
        <v>1601</v>
      </c>
      <c r="G929" t="s">
        <v>1481</v>
      </c>
      <c r="H929" t="s">
        <v>1219</v>
      </c>
      <c r="I929" t="s">
        <v>858</v>
      </c>
      <c r="J929" t="s">
        <v>316</v>
      </c>
      <c r="K929" t="s">
        <v>505</v>
      </c>
      <c r="L929" t="s">
        <v>637</v>
      </c>
      <c r="M929" t="s">
        <v>1603</v>
      </c>
      <c r="N929" t="s">
        <v>503</v>
      </c>
      <c r="O929">
        <v>2024</v>
      </c>
    </row>
    <row r="930" spans="1:15" x14ac:dyDescent="0.25">
      <c r="A930" t="s">
        <v>1549</v>
      </c>
      <c r="B930" t="s">
        <v>1609</v>
      </c>
      <c r="C930" t="s">
        <v>421</v>
      </c>
      <c r="D930" t="s">
        <v>162</v>
      </c>
      <c r="E930" t="s">
        <v>307</v>
      </c>
      <c r="F930" t="s">
        <v>1610</v>
      </c>
      <c r="G930" t="s">
        <v>1049</v>
      </c>
      <c r="H930" t="s">
        <v>1219</v>
      </c>
      <c r="I930" t="s">
        <v>248</v>
      </c>
      <c r="J930" t="s">
        <v>787</v>
      </c>
      <c r="K930" t="s">
        <v>510</v>
      </c>
      <c r="L930" t="s">
        <v>541</v>
      </c>
      <c r="M930" t="s">
        <v>1611</v>
      </c>
      <c r="N930" t="s">
        <v>596</v>
      </c>
      <c r="O930">
        <v>2024</v>
      </c>
    </row>
    <row r="931" spans="1:15" x14ac:dyDescent="0.25">
      <c r="A931" t="s">
        <v>1549</v>
      </c>
      <c r="B931" t="s">
        <v>1612</v>
      </c>
      <c r="C931" t="s">
        <v>421</v>
      </c>
      <c r="D931" t="s">
        <v>18</v>
      </c>
      <c r="E931" t="s">
        <v>307</v>
      </c>
      <c r="F931" t="s">
        <v>1610</v>
      </c>
      <c r="G931" t="s">
        <v>1049</v>
      </c>
      <c r="H931" t="s">
        <v>1219</v>
      </c>
      <c r="I931" t="s">
        <v>248</v>
      </c>
      <c r="J931" t="s">
        <v>994</v>
      </c>
      <c r="K931" t="s">
        <v>689</v>
      </c>
      <c r="L931" t="s">
        <v>501</v>
      </c>
      <c r="M931" t="s">
        <v>1613</v>
      </c>
      <c r="N931" t="s">
        <v>513</v>
      </c>
      <c r="O931">
        <v>2024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0E8A6A-C14D-47D4-8CFD-49D95E6CA1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Best Value by Brand</vt:lpstr>
      <vt:lpstr>Top 10 Phone by Value</vt:lpstr>
      <vt:lpstr>Chipset Value ranking</vt:lpstr>
      <vt:lpstr>Trend Line</vt:lpstr>
      <vt:lpstr>Mobile Dataset Cleaned (PQ)</vt:lpstr>
      <vt:lpstr>Mobiles Dataset (2025) main</vt:lpstr>
      <vt:lpstr>Mobiles Dataset (2025)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 Tr3nity</dc:creator>
  <cp:lastModifiedBy>ND Tr3nity</cp:lastModifiedBy>
  <cp:lastPrinted>2026-06-18T06:45:26Z</cp:lastPrinted>
  <dcterms:created xsi:type="dcterms:W3CDTF">2026-06-17T06:42:57Z</dcterms:created>
  <dcterms:modified xsi:type="dcterms:W3CDTF">2026-06-23T08:57:07Z</dcterms:modified>
</cp:coreProperties>
</file>